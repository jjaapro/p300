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tables/table3.xml" ContentType="application/vnd.openxmlformats-officedocument.spreadsheetml.table+xml"/>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Trades" sheetId="2" state="visible" r:id="rId4"/>
    <sheet name="Images" sheetId="3" state="visible" r:id="rId5"/>
    <sheet name="Chart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<sst xmlns="http://schemas.openxmlformats.org/spreadsheetml/2006/main" count="9204" uniqueCount="2876">
  <si>
    <t xml:space="preserve">Paladin (ScalpX) — trading information extracted from posted images</t>
  </si>
  <si>
    <r>
      <rPr>
        <i val="true"/>
        <sz val="10"/>
        <rFont val="Arial"/>
        <family val="0"/>
        <charset val="1"/>
      </rPr>
      <t xml:space="preserve">Channel #🔮</t>
    </r>
    <r>
      <rPr>
        <i val="true"/>
        <sz val="10"/>
        <rFont val="Noto Sans CJK SC"/>
        <family val="2"/>
      </rPr>
      <t xml:space="preserve">｜</t>
    </r>
    <r>
      <rPr>
        <i val="true"/>
        <sz val="10"/>
        <rFont val="Arial"/>
        <family val="0"/>
        <charset val="1"/>
      </rPr>
      <t xml:space="preserve">paladin, 2026-05-06 to 2026-08-21. Every one of the 320 images (incl. 2 screen recordings) was viewed and transcribed; numbers are copied from the image, never inferred.</t>
    </r>
  </si>
  <si>
    <t xml:space="preserve">Coverage</t>
  </si>
  <si>
    <t xml:space="preserve">Images analysed</t>
  </si>
  <si>
    <t xml:space="preserve">Images with trading information</t>
  </si>
  <si>
    <t xml:space="preserve">Images with no trading information</t>
  </si>
  <si>
    <t xml:space="preserve">Trade rows extracted</t>
  </si>
  <si>
    <t xml:space="preserve">Price charts captured</t>
  </si>
  <si>
    <t xml:space="preserve">Rows flagged medium confidence</t>
  </si>
  <si>
    <t xml:space="preserve">Field fill rate (of trade rows)</t>
  </si>
  <si>
    <t xml:space="preserve">Entry price</t>
  </si>
  <si>
    <t xml:space="preserve">Exit / close price</t>
  </si>
  <si>
    <t xml:space="preserve">ROI %</t>
  </si>
  <si>
    <t xml:space="preserve">Leverage</t>
  </si>
  <si>
    <t xml:space="preserve">Side (long/short)</t>
  </si>
  <si>
    <t xml:space="preserve">Stop loss</t>
  </si>
  <si>
    <t xml:space="preserve">Take profit</t>
  </si>
  <si>
    <t xml:space="preserve">Liquidation price</t>
  </si>
  <si>
    <t xml:space="preserve">PnL in USD</t>
  </si>
  <si>
    <t xml:space="preserve">Stop losses and take profits are almost never in the images — he writes them in the message text instead (323 messages mention an SL, 280 mention a TP/target).</t>
  </si>
  <si>
    <t xml:space="preserve">Most traded symbols (by trade rows)</t>
  </si>
  <si>
    <t xml:space="preserve">Symbol</t>
  </si>
  <si>
    <t xml:space="preserve">Rows</t>
  </si>
  <si>
    <t xml:space="preserve">Long</t>
  </si>
  <si>
    <t xml:space="preserve">Short</t>
  </si>
  <si>
    <t xml:space="preserve">Avg ROI % shown</t>
  </si>
  <si>
    <t xml:space="preserve">BTC</t>
  </si>
  <si>
    <t xml:space="preserve">ETH</t>
  </si>
  <si>
    <t xml:space="preserve">SOL</t>
  </si>
  <si>
    <t xml:space="preserve">SUI</t>
  </si>
  <si>
    <t xml:space="preserve">HYPE</t>
  </si>
  <si>
    <t xml:space="preserve">ZEC</t>
  </si>
  <si>
    <t xml:space="preserve">XRP</t>
  </si>
  <si>
    <t xml:space="preserve">WLD</t>
  </si>
  <si>
    <t xml:space="preserve">STABLE</t>
  </si>
  <si>
    <t xml:space="preserve">FIL</t>
  </si>
  <si>
    <t xml:space="preserve">TAO</t>
  </si>
  <si>
    <t xml:space="preserve">BNB</t>
  </si>
  <si>
    <t xml:space="preserve">ZRO</t>
  </si>
  <si>
    <t xml:space="preserve">ENS</t>
  </si>
  <si>
    <t xml:space="preserve">BEAT</t>
  </si>
  <si>
    <t xml:space="preserve">Leverage used (where the image shows it)</t>
  </si>
  <si>
    <t xml:space="preserve">Trade rows</t>
  </si>
  <si>
    <t xml:space="preserve">How to read this workbook</t>
  </si>
  <si>
    <t xml:space="preserve">Trades — one row per position visible in an image (335 rows). Blank cells mean the value was not shown in that image; nothing here is inferred or calculated.</t>
  </si>
  <si>
    <t xml:space="preserve">Images — one row per image (320), including the message he posted with it, a verbatim transcription of the text in the image, and what a chart was showing.</t>
  </si>
  <si>
    <t xml:space="preserve">Charts — the 24 price charts only, with timeframe, indicators, levels and drawings.</t>
  </si>
  <si>
    <t xml:space="preserve">Confidence "medium" and the Issues column flag crops where the symbol, platform or a price had to be read from context rather than from the image itself.</t>
  </si>
  <si>
    <t xml:space="preserve">Image file names match the files in the images folder; the Discord link opens the original message.</t>
  </si>
  <si>
    <t xml:space="preserve">Date</t>
  </si>
  <si>
    <t xml:space="preserve">Time</t>
  </si>
  <si>
    <t xml:space="preserve">Base</t>
  </si>
  <si>
    <t xml:space="preserve">Side</t>
  </si>
  <si>
    <t xml:space="preserve">Margin mode</t>
  </si>
  <si>
    <t xml:space="preserve">Exit price</t>
  </si>
  <si>
    <t xml:space="preserve">Exit price type</t>
  </si>
  <si>
    <t xml:space="preserve">PnL USD</t>
  </si>
  <si>
    <t xml:space="preserve">Position size</t>
  </si>
  <si>
    <t xml:space="preserve">Margin USD</t>
  </si>
  <si>
    <t xml:space="preserve">Take profits</t>
  </si>
  <si>
    <t xml:space="preserve">Liq. price</t>
  </si>
  <si>
    <t xml:space="preserve">Status</t>
  </si>
  <si>
    <t xml:space="preserve">Platform</t>
  </si>
  <si>
    <t xml:space="preserve">Image type</t>
  </si>
  <si>
    <t xml:space="preserve">Trade notes</t>
  </si>
  <si>
    <t xml:space="preserve">Message posted with image</t>
  </si>
  <si>
    <t xml:space="preserve">Image file</t>
  </si>
  <si>
    <t xml:space="preserve">Confidence</t>
  </si>
  <si>
    <t xml:space="preserve">Discord link</t>
  </si>
  <si>
    <t xml:space="preserve">2026-05-06</t>
  </si>
  <si>
    <t xml:space="preserve">23:47:41</t>
  </si>
  <si>
    <t xml:space="preserve">ASTERUSDT</t>
  </si>
  <si>
    <t xml:space="preserve">ASTER</t>
  </si>
  <si>
    <t xml:space="preserve">closed</t>
  </si>
  <si>
    <t xml:space="preserve">Discord</t>
  </si>
  <si>
    <t xml:space="preserve">discord_message_screenshot</t>
  </si>
  <si>
    <t xml:space="preserve">Listed as a winning trade in the recap (symbol written as base ticker only).</t>
  </si>
  <si>
    <t xml:space="preserve">I have been trading for the past month in journals and here's my progress so far
**25** trades
**22** Wins
**3** BE 
**0** loss
Can track it all in the journal -&gt; https://discord.com/channels/1042855255089623100/1496387902140321885/1501536396127633418
@Paladin Notify</t>
  </si>
  <si>
    <t xml:space="preserve">001_2026-05-06_234741_Screenshot_20260507-014653.png</t>
  </si>
  <si>
    <t xml:space="preserve">high</t>
  </si>
  <si>
    <t xml:space="preserve">https://discord.com/channels/1042855255089623100/1501271173588193290/1501686917828448277</t>
  </si>
  <si>
    <t xml:space="preserve">AXSUSDT</t>
  </si>
  <si>
    <t xml:space="preserve">AXS</t>
  </si>
  <si>
    <t xml:space="preserve">Listed as a winning trade in the recap.</t>
  </si>
  <si>
    <t xml:space="preserve">IRYSUSDT</t>
  </si>
  <si>
    <t xml:space="preserve">IRYS</t>
  </si>
  <si>
    <t xml:space="preserve">BTCUSDT</t>
  </si>
  <si>
    <t xml:space="preserve">Listed as a winning trade in the recap (BTC win 1 of 13 listed).</t>
  </si>
  <si>
    <t xml:space="preserve">Listed as a winning trade in the recap (BTC win 2 of 13 listed).</t>
  </si>
  <si>
    <t xml:space="preserve">Listed as a winning trade in the recap (BTC win 3 of 13 listed).</t>
  </si>
  <si>
    <t xml:space="preserve">ETHUSDT</t>
  </si>
  <si>
    <t xml:space="preserve">Listed as a winning trade in the recap (ETH win 1 of 3 listed).</t>
  </si>
  <si>
    <t xml:space="preserve">HYPEUSDT</t>
  </si>
  <si>
    <t xml:space="preserve">PEPEUSDT</t>
  </si>
  <si>
    <t xml:space="preserve">PEPE</t>
  </si>
  <si>
    <t xml:space="preserve">Listed as a winning trade in the recap (ETH win 2 of 3 listed).</t>
  </si>
  <si>
    <t xml:space="preserve">Listed as a winning trade in the recap (BTC win 4 of 13 listed).</t>
  </si>
  <si>
    <t xml:space="preserve">Listed as a winning trade in the recap (BTC win 5 of 13 listed).</t>
  </si>
  <si>
    <t xml:space="preserve">Listed as a winning trade in the recap (BTC win 6 of 13 listed).</t>
  </si>
  <si>
    <t xml:space="preserve">Listed as a winning trade in the recap (BTC win 7 of 13 listed).</t>
  </si>
  <si>
    <t xml:space="preserve">Listed as a winning trade in the recap (BTC win 8 of 13 listed).</t>
  </si>
  <si>
    <t xml:space="preserve">Listed as a winning trade in the recap (ETH win 3 of 3 listed).</t>
  </si>
  <si>
    <t xml:space="preserve">Listed as a winning trade in the recap (BTC win 9 of 13 listed).</t>
  </si>
  <si>
    <t xml:space="preserve">Listed as a winning trade in the recap (BTC win 10 of 13 listed).</t>
  </si>
  <si>
    <t xml:space="preserve">Listed as a winning trade in the recap (BTC win 11 of 13 listed).</t>
  </si>
  <si>
    <t xml:space="preserve">Listed as a winning trade in the recap (BTC win 12 of 13 listed).</t>
  </si>
  <si>
    <t xml:space="preserve">Listed as a winning trade in the recap (BTC win 13 of 13 listed).</t>
  </si>
  <si>
    <t xml:space="preserve">SOLUSDT</t>
  </si>
  <si>
    <t xml:space="preserve">Listed as a break-even (BE) trade in the recap.</t>
  </si>
  <si>
    <t xml:space="preserve">ALGOUSDT</t>
  </si>
  <si>
    <t xml:space="preserve">ALGO</t>
  </si>
  <si>
    <t xml:space="preserve">2026-05-08</t>
  </si>
  <si>
    <t xml:space="preserve">13:48:41</t>
  </si>
  <si>
    <t xml:space="preserve">long</t>
  </si>
  <si>
    <t xml:space="preserve">open</t>
  </si>
  <si>
    <t xml:space="preserve">unknown</t>
  </si>
  <si>
    <t xml:space="preserve">open_positions_screenshot</t>
  </si>
  <si>
    <t xml:space="preserve">Only the field 'Entry Price (USDT) 79,564.80' is visible. Symbol and side are NOT shown in the image: BTC is taken from the accompanying message context and 'long' from the message suggesting taking 20% profit at 80.5k above this entry. Note this entry (79,564.80) differs from the 79,764.40 entry shown on the later BTCUSDT Long 100X Bybit share cards (images 014/017).</t>
  </si>
  <si>
    <t xml:space="preserve">BTC started moving, you can take 20% @ 80.5k if you want, I'll update whenever I close!</t>
  </si>
  <si>
    <t xml:space="preserve">002_2026-05-08_134841_Screenshot_20260508-1547142.png</t>
  </si>
  <si>
    <t xml:space="preserve">medium</t>
  </si>
  <si>
    <t xml:space="preserve">https://discord.com/channels/1042855255089623100/1501271173588193290/1502260952098279615</t>
  </si>
  <si>
    <t xml:space="preserve">18:44:20</t>
  </si>
  <si>
    <t xml:space="preserve">UNIUSDT</t>
  </si>
  <si>
    <t xml:space="preserve">UNI</t>
  </si>
  <si>
    <t xml:space="preserve">Bybit</t>
  </si>
  <si>
    <t xml:space="preserve">pnl_share_card</t>
  </si>
  <si>
    <t xml:space="preserve">Cropped share card: only header and ROI visible. Same card appears in full as image 015 (Entry 3.458 / Exit 3.528). Per message this was a 50% partial close (~0.7R); remaining half held with SL moved to BE 3.46, his own TP 3.7, followers could hold to 4 (those levels are from the message, not the image).</t>
  </si>
  <si>
    <t xml:space="preserve">Okay let's treat as our first win 
Closing 50% UNI for 0.7 R move, I'll take personally  fully TP @ 3.7
You can hold till 4
SL @ BE 3.46
@Paladin Notify</t>
  </si>
  <si>
    <t xml:space="preserve">003_2026-05-08_184420_Screenshot_20260508-203512.png</t>
  </si>
  <si>
    <t xml:space="preserve">https://discord.com/channels/1042855255089623100/1501271173588193290/1502335355628687451</t>
  </si>
  <si>
    <t xml:space="preserve">2026-05-09</t>
  </si>
  <si>
    <t xml:space="preserve">04:45:42</t>
  </si>
  <si>
    <t xml:space="preserve">KERNELUSDT</t>
  </si>
  <si>
    <t xml:space="preserve">KERNEL</t>
  </si>
  <si>
    <t xml:space="preserve">mark</t>
  </si>
  <si>
    <t xml:space="preserve">Card label reads 'Current Price' (position still open). Per message this is TP1 with the next TP at 0.0673 (not shown on the card).</t>
  </si>
  <si>
    <t xml:space="preserve">KERNEL TP1 here, next TP @ 0.0673
@Paladin Notify</t>
  </si>
  <si>
    <t xml:space="preserve">009_2026-05-09_044542_Screenshot_20260509-064308.png</t>
  </si>
  <si>
    <t xml:space="preserve">https://discord.com/channels/1042855255089623100/1501271173588193290/1502486692232298586</t>
  </si>
  <si>
    <t xml:space="preserve">04:48:32</t>
  </si>
  <si>
    <t xml:space="preserve">Card label reads 'Current Price' (position still open). Identical screenshot to image 009 (same file name Screenshot_20260509-064308), re-posted in the batch of running trades.</t>
  </si>
  <si>
    <t xml:space="preserve">All trades running in good profits, take TP whenever you want, don't let them round trip. 
I'll update when I close.</t>
  </si>
  <si>
    <t xml:space="preserve">010_2026-05-09_044832_Screenshot_20260509-064308.png</t>
  </si>
  <si>
    <t xml:space="preserve">https://discord.com/channels/1042855255089623100/1501271173588193290/1502487407654862971</t>
  </si>
  <si>
    <t xml:space="preserve">AVNTUSDT</t>
  </si>
  <si>
    <t xml:space="preserve">AVNT</t>
  </si>
  <si>
    <t xml:space="preserve">Card label reads 'Current Price' (position still open).</t>
  </si>
  <si>
    <t xml:space="preserve">011_2026-05-09_044832_Screenshot_20260509-064552.png</t>
  </si>
  <si>
    <t xml:space="preserve">SNXUSDT</t>
  </si>
  <si>
    <t xml:space="preserve">SNX</t>
  </si>
  <si>
    <t xml:space="preserve">012_2026-05-09_044832_Screenshot_20260509-064638.png</t>
  </si>
  <si>
    <t xml:space="preserve">ZROUSDT</t>
  </si>
  <si>
    <t xml:space="preserve">013_2026-05-09_044832_Screenshot_20260509-064657.png</t>
  </si>
  <si>
    <t xml:space="preserve">Card label reads 'Current Price' (position still open). Same position later closed at 80,341.20 (image 017).</t>
  </si>
  <si>
    <t xml:space="preserve">014_2026-05-09_044832_Screenshot_20260509-064717.png</t>
  </si>
  <si>
    <t xml:space="preserve">close</t>
  </si>
  <si>
    <t xml:space="preserve">Card label reads 'Exit Price' (closed). Full version of the cropped card in image 003; this is the 50% partial close at ~0.7R announced on May 8 (the remainder was exited at 3.7 per his later message).</t>
  </si>
  <si>
    <t xml:space="preserve">015_2026-05-09_044832_Screenshot_20260509-063448.png</t>
  </si>
  <si>
    <t xml:space="preserve">04:52:10</t>
  </si>
  <si>
    <t xml:space="preserve">SYRUPUSDT</t>
  </si>
  <si>
    <t xml:space="preserve">SYRUP</t>
  </si>
  <si>
    <t xml:space="preserve">Card label reads 'Exit Price' (closed). Per message this was a journal trade held for ~10 days and closed out of impatience despite conviction it would 'blow up'.</t>
  </si>
  <si>
    <t xml:space="preserve">Also closing this trade from Journals, 100% this is gonna blow up but I have been holding for 10 days, its getting annoying. 
https://discord.com/channels/1042855255089623100/1496387902140321885/1497875763314298912
@Paladin Notify</t>
  </si>
  <si>
    <t xml:space="preserve">016_2026-05-09_045210_Screenshot_20260509-063054.png</t>
  </si>
  <si>
    <t xml:space="preserve">https://discord.com/channels/1042855255089623100/1501271173588193290/1502488322143162518</t>
  </si>
  <si>
    <t xml:space="preserve">06:06:56</t>
  </si>
  <si>
    <t xml:space="preserve">Card label reads 'Exit Price' (closed). Same position shown open in image 014 (current 80,333.90 / +67.25%).</t>
  </si>
  <si>
    <t xml:space="preserve">Closing BTC @ 80.4k
@Paladin Notify</t>
  </si>
  <si>
    <t xml:space="preserve">017_2026-05-09_060656_Screenshot_20260509-080604.png</t>
  </si>
  <si>
    <t xml:space="preserve">https://discord.com/channels/1042855255089623100/1501271173588193290/1502507137337786561</t>
  </si>
  <si>
    <t xml:space="preserve">2026-05-10</t>
  </si>
  <si>
    <t xml:space="preserve">18:45:44</t>
  </si>
  <si>
    <t xml:space="preserve">Card label reads 'Exit Price' (closed). Described in the message as a weekend scalp.</t>
  </si>
  <si>
    <t xml:space="preserve">Alright guys good enough for a weekend scalp, closing it here!
@Paladin Notify</t>
  </si>
  <si>
    <t xml:space="preserve">018_2026-05-10_184544_Screenshot_20260510-204502.png</t>
  </si>
  <si>
    <t xml:space="preserve">https://discord.com/channels/1042855255089623100/1501271173588193290/1503060481118568578</t>
  </si>
  <si>
    <t xml:space="preserve">21:01:23</t>
  </si>
  <si>
    <t xml:space="preserve">Card label reads 'Current Price' (position still open). Per message this is TP1 with a full close planned at 0.1746 (not shown on the card). Same position as image 011 (then at 0.16787 / +265.55%).</t>
  </si>
  <si>
    <t xml:space="preserve">AVNT TP1 here, fully close @ 0.1746
@Paladin Notify</t>
  </si>
  <si>
    <t xml:space="preserve">019_2026-05-10_210123_Screenshot_20260510-224944.png</t>
  </si>
  <si>
    <t xml:space="preserve">https://discord.com/channels/1042855255089623100/1501271173588193290/1503094618345181387</t>
  </si>
  <si>
    <t xml:space="preserve">22:10:30</t>
  </si>
  <si>
    <t xml:space="preserve">Card label reads 'Current Price' (position still open). Per message he took 25% off here and plans a full exit around 1.55+ (not shown on the card). Same position as image 013 (then at 1.4849 / +34.43%).</t>
  </si>
  <si>
    <t xml:space="preserve">25% here, fully exit around 1.55+ 
Will update if I see weakness
@Paladin Notify</t>
  </si>
  <si>
    <t xml:space="preserve">020_2026-05-10_221030_Screenshot_20260511-000006.png</t>
  </si>
  <si>
    <t xml:space="preserve">https://discord.com/channels/1042855255089623100/1501271173588193290/1503112014283673735</t>
  </si>
  <si>
    <t xml:space="preserve">23:33:31</t>
  </si>
  <si>
    <t xml:space="preserve">Bybit rocket share card. Price label on the card is 'Current Price' (position still open when the card was generated). No date, size or PnL in USD shown.</t>
  </si>
  <si>
    <t xml:space="preserve">Closing SNX in some profits, we're gonna have a pullback will open again after Monday 
@Paladin Notify</t>
  </si>
  <si>
    <t xml:space="preserve">021_2026-05-10_233331_Screenshot_20260511-013234.png</t>
  </si>
  <si>
    <t xml:space="preserve">https://discord.com/channels/1042855255089623100/1501271173588193290/1503132904983756810</t>
  </si>
  <si>
    <t xml:space="preserve">2026-05-11</t>
  </si>
  <si>
    <t xml:space="preserve">03:58:37</t>
  </si>
  <si>
    <t xml:space="preserve">short</t>
  </si>
  <si>
    <t xml:space="preserve">Bybit rocket share card with 'Exit Price' label (closed trade). Short label shown in red. No date, size or USD PnL shown.</t>
  </si>
  <si>
    <t xml:space="preserve">TPed, fast top short, closed.
@Paladin Notify</t>
  </si>
  <si>
    <t xml:space="preserve">022_2026-05-11_035837_Screenshot_20260511-055757.png</t>
  </si>
  <si>
    <t xml:space="preserve">https://discord.com/channels/1042855255089623100/1501271173588193290/1503199620715642910</t>
  </si>
  <si>
    <t xml:space="preserve">09:12:24</t>
  </si>
  <si>
    <t xml:space="preserve">Bybit rocket share card; price label is 'Current Price' (position open). No date, size or USD PnL shown.</t>
  </si>
  <si>
    <t xml:space="preserve">And the streak continues, 20% here not moving SL to entry.
@Paladin Notify</t>
  </si>
  <si>
    <t xml:space="preserve">023_2026-05-11_091224_17784798553272.jpg</t>
  </si>
  <si>
    <t xml:space="preserve">https://discord.com/channels/1042855255089623100/1501271173588193290/1503278586050777149</t>
  </si>
  <si>
    <t xml:space="preserve">09:13:29</t>
  </si>
  <si>
    <t xml:space="preserve">Blofin</t>
  </si>
  <si>
    <t xml:space="preserve">Header reads 'Unrealized PnL' (open position). Card is cropped to the top part: entry price, mark price, date and size are not visible. 150X leverage and the card layout (pair | Long | 150X with a character figure on the right) match Blofin share cards.</t>
  </si>
  <si>
    <t xml:space="preserve">I have started to scale in BTC long as well will give out once I'm confident enough 
For an idea I'm long since 80.6k SL @ 79.5k</t>
  </si>
  <si>
    <t xml:space="preserve">024_2026-05-11_091329_Screenshot_20260511-111236.png</t>
  </si>
  <si>
    <t xml:space="preserve">https://discord.com/channels/1042855255089623100/1501271173588193290/1503278860400332892</t>
  </si>
  <si>
    <t xml:space="preserve">12:32:58</t>
  </si>
  <si>
    <t xml:space="preserve">Bybit rocket share card; price label is 'Current Price' (card generated while the position was still open, even though the message announces the TP was hit). Same entry 1.4772 as the earlier ZRO card.</t>
  </si>
  <si>
    <t xml:space="preserve">ZRO TP hit 
@Paladin Notify</t>
  </si>
  <si>
    <t xml:space="preserve">025_2026-05-11_123258_17784899060412.jpg</t>
  </si>
  <si>
    <t xml:space="preserve">https://discord.com/channels/1042855255089623100/1501271173588193290/1503329058543370330</t>
  </si>
  <si>
    <t xml:space="preserve">19:33:50</t>
  </si>
  <si>
    <t xml:space="preserve">Bybit rocket share card with 'Exit Price' label (closed trade). No date, size or USD PnL shown.</t>
  </si>
  <si>
    <t xml:space="preserve">026_2026-05-11_193350_Screenshot_20260511-213326.png</t>
  </si>
  <si>
    <t xml:space="preserve">https://discord.com/channels/1042855255089623100/1501271173588193290/1503434974102163536</t>
  </si>
  <si>
    <t xml:space="preserve">2026-05-12</t>
  </si>
  <si>
    <t xml:space="preserve">06:19:25</t>
  </si>
  <si>
    <t xml:space="preserve">STABLEUSDT</t>
  </si>
  <si>
    <t xml:space="preserve">Bybit rocket share card; price label is 'Current Price' (position open). OCR missed the ROI value; the card clearly shows +144.12%.</t>
  </si>
  <si>
    <t xml:space="preserve">TP1 @ 0.03737</t>
  </si>
  <si>
    <t xml:space="preserve">027_2026-05-12_061925_Screenshot_20260512-081814.png</t>
  </si>
  <si>
    <t xml:space="preserve">https://discord.com/channels/1042855255089623100/1501271173588193290/1503597441675558924</t>
  </si>
  <si>
    <t xml:space="preserve">06:49:52</t>
  </si>
  <si>
    <t xml:space="preserve">Bybit rocket share card with 'Exit Price' label (closed). Exit 0.037370 equals the TP1 level he had announced (0.03737).</t>
  </si>
  <si>
    <t xml:space="preserve">I accidentally closed 100% here but 0.04 TP is valid, take at least 50% as this is resistance.
@Paladin Notify</t>
  </si>
  <si>
    <t xml:space="preserve">028_2026-05-12_064952_Screenshot_20260512-084847.png</t>
  </si>
  <si>
    <t xml:space="preserve">https://discord.com/channels/1042855255089623100/1501271173588193290/1503605103997882428</t>
  </si>
  <si>
    <t xml:space="preserve">15:11:23</t>
  </si>
  <si>
    <t xml:space="preserve">last</t>
  </si>
  <si>
    <t xml:space="preserve">10,000</t>
  </si>
  <si>
    <t xml:space="preserve">MEXC</t>
  </si>
  <si>
    <t xml:space="preserve">chart</t>
  </si>
  <si>
    <t xml:space="preserve">MEXC app: dashed green position line at 0.03453 with tag 'PNL +43.1294 | 10,000' (10,000 = contracts/STABLE size). Side inferred from positive PnL with price above the entry line; leverage not shown on the chart. Exit price = Last Price 0.03884 shown at the top. A red 'S' (sell) marker sits on the big green impulse candle near ~0.0378, likely a partial sell / TP fill.</t>
  </si>
  <si>
    <t xml:space="preserve">Guys I would like to clarify something since I shared this screenshot it says DEMO, I got like 5 DMs saying I'm trading on DEMO 
It is CFT funded account so it shows demo, I trade on other exchanges with real money.
Even if it's demo are the trades hitting TPs or not? Just wanted to clarify it once.</t>
  </si>
  <si>
    <t xml:space="preserve">030_2026-05-12_151123_Screenshot_20260512-170605.png</t>
  </si>
  <si>
    <t xml:space="preserve">https://discord.com/channels/1042855255089623100/1501271173588193290/1503731313855692950</t>
  </si>
  <si>
    <t xml:space="preserve">MEXC share card ('0% Liquidity NO.1' graphic). Price label is 'Fair Price' (MEXC's mark price) so the position was still open. PnL shown as +43.2294 USDT. No date shown.</t>
  </si>
  <si>
    <t xml:space="preserve">031_2026-05-12_151123_Screenshot_20260512-170852.png</t>
  </si>
  <si>
    <t xml:space="preserve">2026-05-13</t>
  </si>
  <si>
    <t xml:space="preserve">06:13:16</t>
  </si>
  <si>
    <t xml:space="preserve">Cropped MEXC 'Closed PNL' share card (same layout as the MEXC open-position card). Only header, pair, side, leverage and ROI are visible; entry/close price, USDT PnL and date are cut off. Decorative mini line graphic with green 'B' (buy) and red 'S' (sell) markers on the right.</t>
  </si>
  <si>
    <t xml:space="preserve">STABLE hit full TP of 0.04, 20% unleveraged move!
@Paladin Notify</t>
  </si>
  <si>
    <t xml:space="preserve">032_2026-05-13_061316_Screenshot_20260513-081109.png</t>
  </si>
  <si>
    <t xml:space="preserve">https://discord.com/channels/1042855255089623100/1501271173588193290/1503958280999796848</t>
  </si>
  <si>
    <t xml:space="preserve">12:11:15</t>
  </si>
  <si>
    <t xml:space="preserve">Bybit rocket share card with 'Exit Price' label (closed). Small move (0.17) amplified by 100x leverage.</t>
  </si>
  <si>
    <t xml:space="preserve">Closing SOL here personally, I want to be on the safe side and keep my streak.
We already have 3 longs and they are running good enough, expect TPs soon InshaAllah!
@Paladin Notify</t>
  </si>
  <si>
    <t xml:space="preserve">033_2026-05-13_121115_Screenshot_20260513-140807.png</t>
  </si>
  <si>
    <t xml:space="preserve">https://discord.com/channels/1042855255089623100/1501271173588193290/1504048372351504406</t>
  </si>
  <si>
    <t xml:space="preserve">2026-05-14</t>
  </si>
  <si>
    <t xml:space="preserve">17:30:30</t>
  </si>
  <si>
    <t xml:space="preserve">Bybit rocket share card with 'Exit Price' label (closed). No date, size or USD PnL shown.</t>
  </si>
  <si>
    <t xml:space="preserve">Closing SOL and XRP in minor profits 
BTC avg 79.2k with a DCA running in heavy profits 
@Paladin Notify</t>
  </si>
  <si>
    <t xml:space="preserve">034_2026-05-14_173030_Screenshot_20260514-192753.png</t>
  </si>
  <si>
    <t xml:space="preserve">https://discord.com/channels/1042855255089623100/1501271173588193290/1504491099048251594</t>
  </si>
  <si>
    <t xml:space="preserve">XRPUSDT</t>
  </si>
  <si>
    <t xml:space="preserve">035_2026-05-14_173030_Screenshot_20260514-192733.png</t>
  </si>
  <si>
    <t xml:space="preserve">17:38:18</t>
  </si>
  <si>
    <t xml:space="preserve">Bybit rocket share card; price label is 'Current Price' (position open). Entry 79,284.35 is the DCA average he referred to as 'avg 79.2k'.</t>
  </si>
  <si>
    <t xml:space="preserve">Holding onto these 🤘🏻
Let's pray we enjoy some fat profits on these!</t>
  </si>
  <si>
    <t xml:space="preserve">036_2026-05-14_173818_Screenshot_20260514-193711.png</t>
  </si>
  <si>
    <t xml:space="preserve">https://discord.com/channels/1042855255089623100/1501271173588193290/1504493064947761242</t>
  </si>
  <si>
    <t xml:space="preserve">ENSUSDT</t>
  </si>
  <si>
    <t xml:space="preserve">037_2026-05-14_173818_Screenshot_20260514-193728.png</t>
  </si>
  <si>
    <t xml:space="preserve">18:02:51</t>
  </si>
  <si>
    <t xml:space="preserve">Bybit rocket share card with 'Exit Price' label (closed). Same entry 79,284.35 as the open card posted ~25 minutes earlier; closed at 80,893.80.</t>
  </si>
  <si>
    <t xml:space="preserve">BTC closed at 81k guys, FATASS PROFITS!
Made profits back from both SLs 
@Paladin Notify</t>
  </si>
  <si>
    <t xml:space="preserve">040_2026-05-14_180251_Screenshot_20260514-200201.png</t>
  </si>
  <si>
    <t xml:space="preserve">https://discord.com/channels/1042855255089623100/1501271173588193290/1504499241316253918</t>
  </si>
  <si>
    <t xml:space="preserve">18:03:36</t>
  </si>
  <si>
    <t xml:space="preserve">Card label is 'Current Price' (position still open when shared). Per the accompanying message he took 50% profit here and told followers they could close completely.</t>
  </si>
  <si>
    <t xml:space="preserve">Took 50% from this too, you can close completely 
@Paladin Notify</t>
  </si>
  <si>
    <t xml:space="preserve">041_2026-05-14_180336_Screenshot_20260514-200301.png</t>
  </si>
  <si>
    <t xml:space="preserve">https://discord.com/channels/1042855255089623100/1501271173588193290/1504499432530509967</t>
  </si>
  <si>
    <t xml:space="preserve">18:13:38</t>
  </si>
  <si>
    <t xml:space="preserve">BloFin standard share card (not the War of Whales template). 'Buy 30X' = long at 30x. Close time printed 2026-05-14 16:09:25.</t>
  </si>
  <si>
    <t xml:space="preserve">Man I'm happy not did I survived the dump but mentioned the plan on point!</t>
  </si>
  <si>
    <t xml:space="preserve">042_2026-05-14_181338_Screenshot_20260514-201004.png</t>
  </si>
  <si>
    <t xml:space="preserve">https://discord.com/channels/1042855255089623100/1501271173588193290/1504501955467153569</t>
  </si>
  <si>
    <t xml:space="preserve">18:13:42</t>
  </si>
  <si>
    <t xml:space="preserve">Cropped 'Closed PNL' share card; only the ROI is shown, no entry/close prices. Decorative sparkline on the right with a green 'B' (buy) marker at a dip and a red 'S' (sell) marker higher up to the right. 'BTCUSDT Perpetual | Long | 250X'.</t>
  </si>
  <si>
    <t xml:space="preserve">043_2026-05-14_181342_Screenshot_20260514-200907.png</t>
  </si>
  <si>
    <t xml:space="preserve">https://discord.com/channels/1042855255089623100/1501271173588193290/1504501973599387790</t>
  </si>
  <si>
    <t xml:space="preserve">19:03:51</t>
  </si>
  <si>
    <t xml:space="preserve">BBUSDT</t>
  </si>
  <si>
    <t xml:space="preserve">BB</t>
  </si>
  <si>
    <t xml:space="preserve">screen_recording</t>
  </si>
  <si>
    <t xml:space="preserve">Bitunix share card posted by member 'MB' (MM role) 'Today at 6:24 AM' with text 'thank you paladin' (edited). Card footer 'MBZ 2026-05-13 21:22'. Shows 'Last Price' so position still open when shared. Follower's trade on Paladin's BB long call, not Paladin's own account.</t>
  </si>
  <si>
    <t xml:space="preserve">Thankyou guys!</t>
  </si>
  <si>
    <t xml:space="preserve">044_2026-05-14_190351_screen-20260514-210325-1778774593947.mp4</t>
  </si>
  <si>
    <t xml:space="preserve">https://discord.com/channels/1042855255089623100/1501271173588193290/1504514593899413596</t>
  </si>
  <si>
    <t xml:space="preserve">BloFin share card posted by 'dekees' (VIP) 'Today at 5:50 PM' with text 'closed 50% thanks Paladin' (partial close of half the position). Referral Code BCJAsU, Sharing Time 05-14 14:49:52. 2 heart reactions. Follower's trade.</t>
  </si>
  <si>
    <t xml:space="preserve">Share card (exchange not identifiable: bitcoin logo, 'BTCUSDT Perpetual | Long', big 3D arrow graphic) posted by 'CJR' (SX, VIP) 'Today at 7:55 PM' tagging '@Paladin [Will not DM]' (edited). No prices or leverage on the card. Follower's trade.</t>
  </si>
  <si>
    <t xml:space="preserve">INTCUSDT</t>
  </si>
  <si>
    <t xml:space="preserve">INTC</t>
  </si>
  <si>
    <t xml:space="preserve">Same card style (Intel logo, 'INTCUSDT Perpetual | Short') posted by 'CJR' 'Today at 8:00 PM' tagging '@Nick Scalps' -- credited to Nick Scalps, not Paladin. No prices or leverage; a caption line at the bottom of the card is cut off/unreadable.</t>
  </si>
  <si>
    <t xml:space="preserve">MEXC share card in Spanish: 'BTCUSDT Perpetuo', 'Cerrar Long | 100X' (= Close Long), '+252.15%', 'Fecha 2026-05-14 16:03:08', 'Compartido el 2026-05-14 16:04:4?' (top line partly cut off), 'Código de Referencia 1hXLr'. Author line scrolled out of frame; most likely 'saralhr' 'Today at 8:06 PM' (the message between CJR 8:00 PM and dekees 8:08 PM). No prices on the card. Follower's trade.</t>
  </si>
  <si>
    <t xml:space="preserve">Second MEXC card (Spanish) from the same member/referral code 1hXLr: 'Racha de 2 victoria(s)' (2-win streak), 'Título desbloqueado: Despertador on-chain', 'PNL de cierre: XRPUSDT Perpetuo Long | 50X +43.65%', 'Compartido el 2026-05-14 16:05:06'. 1 heart reaction. Follower's trade.</t>
  </si>
  <si>
    <t xml:space="preserve">BloFin share card posted by 'dekees' (VIP) 'Today at 8:08 PM' with text 'again Paladin🥰'. Referral Code BCJAsU, Sharing Time 05-14 17:07:03. 1 heart. Follower's trade on Paladin's ENS long.</t>
  </si>
  <si>
    <t xml:space="preserve">BloFin share card ('BTCUSDT Perp', 'Buy 75X') posted by 'The CEOsCEO' (VIP) 'Today at 8:19 PM' with text '@Paladin [Will not DM] Thanks mate!'. Referral Code KYAIKx, Share Time 05/14 17:16:26. 1 heart. Follower's trade on Paladin's BTC long.</t>
  </si>
  <si>
    <t xml:space="preserve">BingX 'Realized PnL' card posted by 'Jokerxo' 'Today at 8:19 PM' tagging '@Paladin [Will not DM]'. Account 'ja***s@gmail.com', card time 05/14 18:19, Referral Code EO3CKZ. 1 heart. Follower's trade (low 3X leverage).</t>
  </si>
  <si>
    <t xml:space="preserve">MEXC share card posted by 'Netteffect11' (OG) 'Today at 8:46 PM' with text '@Paladin [Will not DM] 🔥👑'. 'Shared on 2026-05-15 01:42:15', 'BTCUSDT Perpetual', 'Low-fee saved you: 4.7289 USDT', 'Long | 100X', 'Avg Entry Price $78,977.2', 'Avg Close Price $80,488.5', 'Open Time 2026-05-14 02:00:48', 'Close Time 2026-05-15 01:03:00', Referral Code 1gPto. 1 heart. Follower's trade; gives the approximate open/close times of the BTC long (card times are in the member's own timezone).</t>
  </si>
  <si>
    <t xml:space="preserve">BingX 'Realized PnL' card posted by 'Jokerxo' 'Today at 8:53 PM' tagging '@Paladin [Will not DM]'. Account 'ja***s@gmail.com', card time 05/14 18:53, Referral Code EO3CKZ. 1 heart. Last message in the channel at recording time. Follower's trade.</t>
  </si>
  <si>
    <t xml:space="preserve">19:19:52</t>
  </si>
  <si>
    <t xml:space="preserve">Card label is 'Current Price' (share taken while the position was still open). Per the accompanying message he closed the remaining position here ('completely out'), having taken the first 50% earlier around 7.2 (see the +190.71% card at 7.171). Same ENSUSDT 50x long, entry 6.900.</t>
  </si>
  <si>
    <t xml:space="preserve">Completely out here after taking 50% earlier around 7.2</t>
  </si>
  <si>
    <t xml:space="preserve">045_2026-05-14_191952_Screenshot_20260514-211824.png</t>
  </si>
  <si>
    <t xml:space="preserve">https://discord.com/channels/1042855255089623100/1501271173588193290/1504518622083551303</t>
  </si>
  <si>
    <t xml:space="preserve">21:54:01</t>
  </si>
  <si>
    <t xml:space="preserve">Only an exchange 'S' (sell/close) execution marker is visible on the chart, sitting on a green 1h candle roughly around 1.47 (estimated from the price axis), i.e. the long was closed in the early part of the breakout before price ran to 1.5431. Side inferred from the sell marker plus his message ('hit full TP ... closed early'). No entry, size or ROI printed.</t>
  </si>
  <si>
    <t xml:space="preserve">Fumbled XRP, hit full TP, was a great setup closed early but at least the idea was right!</t>
  </si>
  <si>
    <t xml:space="preserve">047_2026-05-14_215401_Screenshot_20260514-235326.png</t>
  </si>
  <si>
    <t xml:space="preserve">https://discord.com/channels/1042855255089623100/1501271173588193290/1504557414853115985</t>
  </si>
  <si>
    <t xml:space="preserve">2026-05-15</t>
  </si>
  <si>
    <t xml:space="preserve">03:20:30</t>
  </si>
  <si>
    <t xml:space="preserve">Card label is 'Current Price' (still open when shared). Per the accompanying message he had forgotten about this position and was closing it early for decent profit; HBAR and BTC positions still held.</t>
  </si>
  <si>
    <t xml:space="preserve">Totally forgot about this one, closing early for decent profits
HBAR and BTC holding now.
@Paladin Notify</t>
  </si>
  <si>
    <t xml:space="preserve">048_2026-05-15_032030_Screenshot_20260515-051356.png</t>
  </si>
  <si>
    <t xml:space="preserve">https://discord.com/channels/1042855255089623100/1501271173588193290/1504639581050638448</t>
  </si>
  <si>
    <t xml:space="preserve">2026-05-16</t>
  </si>
  <si>
    <t xml:space="preserve">10:05:03</t>
  </si>
  <si>
    <t xml:space="preserve">planned</t>
  </si>
  <si>
    <t xml:space="preserve">Scenario plan, not an executed trade. Symbol not printed; BTC inferred from the price levels (77.7-78.1k). Bull case: first reversal zone 77.7-78.1k, a bounce there targets 79-80k for the weekend. Bear case: a 4h candle close below 77.7k targets 75-76k.</t>
  </si>
  <si>
    <t xml:space="preserve">049_2026-05-16_100503_Screenshot_20260516-120450.png</t>
  </si>
  <si>
    <t xml:space="preserve">https://discord.com/channels/1042855255089623100/1501271173588193290/1505103774262493225</t>
  </si>
  <si>
    <t xml:space="preserve">2026-05-17</t>
  </si>
  <si>
    <t xml:space="preserve">13:34:36</t>
  </si>
  <si>
    <t xml:space="preserve">Card label is 'Current Price' (open). Per the accompanying message the trade is over 1R and he suggests taking 25-50% partial here.</t>
  </si>
  <si>
    <t xml:space="preserve">ETH over 1R, you can take 25-50% here
@Paladin Notify</t>
  </si>
  <si>
    <t xml:space="preserve">050_2026-05-17_133436_Screenshot_20260517-153149.png</t>
  </si>
  <si>
    <t xml:space="preserve">https://discord.com/channels/1042855255089623100/1501271173588193290/1505518897707876503</t>
  </si>
  <si>
    <t xml:space="preserve">13:37:15</t>
  </si>
  <si>
    <t xml:space="preserve">BloFin 'War of Whales 2026' template, 'Buy 150X' = long at 150x. Mark price shown, so still open. Referral code DwquXN. Posted as 'BTC moving too if anyone took that idea', i.e. a BTC long off the 77.7-78.1k reversal-zone plan.</t>
  </si>
  <si>
    <t xml:space="preserve">BTC moving too if anyone took that idea</t>
  </si>
  <si>
    <t xml:space="preserve">051_2026-05-17_133715_blofin_1779014226326.png</t>
  </si>
  <si>
    <t xml:space="preserve">https://discord.com/channels/1042855255089623100/1501271173588193290/1505519562949394503</t>
  </si>
  <si>
    <t xml:space="preserve">2026-05-19</t>
  </si>
  <si>
    <t xml:space="preserve">04:02:19</t>
  </si>
  <si>
    <t xml:space="preserve">BOMEUSDT</t>
  </si>
  <si>
    <t xml:space="preserve">BOME</t>
  </si>
  <si>
    <t xml:space="preserve">Card label is 'Current Price' (open). Per the accompanying message: take 25% here and move SL to entry; small accounts should close entirely here, or SL to entry and exit at the first TP. No SL/TP values printed on the card.</t>
  </si>
  <si>
    <t xml:space="preserve">Take 25% SL to entry, if you have a small account close entirely here or just SL to entry and exit at first TP.
Hopefully we print big on ZEC!
@Paladin Notify</t>
  </si>
  <si>
    <t xml:space="preserve">052_2026-05-19_040219_Screenshot_20260519-055828.png</t>
  </si>
  <si>
    <t xml:space="preserve">https://discord.com/channels/1042855255089623100/1501271173588193290/1506099654516019330</t>
  </si>
  <si>
    <t xml:space="preserve">04:26:18</t>
  </si>
  <si>
    <t xml:space="preserve">ZECUSDT</t>
  </si>
  <si>
    <t xml:space="preserve">BloFin 'War of Whales 2026' template, 'Buy 75X' = long at 75x; mark price shown, so still open. Referral code DwquXN. Per the accompanying message he took 20% here, moved SL to entry and is holding the majority for TPs.</t>
  </si>
  <si>
    <t xml:space="preserve">ZEC going hard, took 20% SL to entry, saving majority for TPs 
@Paladin Notify</t>
  </si>
  <si>
    <t xml:space="preserve">053_2026-05-19_042618_blofin_1779153685809.png</t>
  </si>
  <si>
    <t xml:space="preserve">https://discord.com/channels/1042855255089623100/1501271173588193290/1506105688991207505</t>
  </si>
  <si>
    <t xml:space="preserve">10:30:37</t>
  </si>
  <si>
    <t xml:space="preserve">Card label is 'Current Price' (share taken while open). Same BOMEUSDT 25x long (entry 0.0005998) shown earlier at +80.80%; per the accompanying message 'BOME exploded, TP' - this is where he took profit.</t>
  </si>
  <si>
    <t xml:space="preserve">Well BOME exploded, TP.
@Paladin Notify</t>
  </si>
  <si>
    <t xml:space="preserve">054_2026-05-19_103037_Screenshot_20260519-122717.png</t>
  </si>
  <si>
    <t xml:space="preserve">https://discord.com/channels/1042855255089623100/1501271173588193290/1506197374182228020</t>
  </si>
  <si>
    <t xml:space="preserve">21:04:20</t>
  </si>
  <si>
    <t xml:space="preserve">BloFin 'War of Whales 2026' template; 'Close Price' shown, so this portion is closed. Same ZECUSDT 75x long (entry 545.99) shown open at +358.87% earlier that morning. Per the accompanying message the TP hit around 1R, he booked the majority here and intends to full-TP at 592 (not printed on the card).</t>
  </si>
  <si>
    <t xml:space="preserve">ZEC TP hit, around 1R, booked majority here, I'll full TP @ 592
Decent day for a shit market
@Paladin Notify</t>
  </si>
  <si>
    <t xml:space="preserve">055_2026-05-19_210420_blofin_1779213774283.png</t>
  </si>
  <si>
    <t xml:space="preserve">https://discord.com/channels/1042855255089623100/1501271173588193290/1506356854207545494</t>
  </si>
  <si>
    <t xml:space="preserve">2026-05-20</t>
  </si>
  <si>
    <t xml:space="preserve">04:16:21</t>
  </si>
  <si>
    <t xml:space="preserve">BloFin 'War of Whales 2026' template, 'Buy 150X' = long at 150x; mark price shown, so open. Entry 76,704.7 is an averaged entry after a DCA fill (per message). He expects 78k+ today. Referral code DwquXN.</t>
  </si>
  <si>
    <t xml:space="preserve">Still holding this BTC trade, DCA filled trade, expecting 78k+ today so should give some good good profits!</t>
  </si>
  <si>
    <t xml:space="preserve">056_2026-05-20_041621_blofin_1779239695170.png</t>
  </si>
  <si>
    <t xml:space="preserve">https://discord.com/channels/1042855255089623100/1501271173588193290/1506465574434246768</t>
  </si>
  <si>
    <t xml:space="preserve">09:20:54</t>
  </si>
  <si>
    <t xml:space="preserve">BloFin 'War of Whales 2026' template; 'Close Price' shown, so closed. Entry 580.25 differs from the earlier ZEC long (545.99), so this is a separate/re-entered ZECUSDT 75x long closed at 591.75, essentially at the 592 full-TP level he had mentioned the night before. No message accompanied this image.</t>
  </si>
  <si>
    <t xml:space="preserve">057_2026-05-20_092054_blofin_1779257847868.png</t>
  </si>
  <si>
    <t xml:space="preserve">https://discord.com/channels/1042855255089623100/1501271173588193290/1506542215424376922</t>
  </si>
  <si>
    <t xml:space="preserve">16:23:21</t>
  </si>
  <si>
    <t xml:space="preserve">BloFin 'War of Whales 2026' template; mark price shown, so still open. Same BTCUSDT 150x long (entry 76,704.7) shown at +29.14% that morning. Per the accompanying message BTC has moved about 1R, he is aiming for around 78.5k, followers may take partials but he personally avoids partials on BTC.</t>
  </si>
  <si>
    <t xml:space="preserve">Guys BTC already have moved around 1R, I'm trying for around 78.5k around but don't wait for me you can take partials as you like. I personally avoid partials especially on BTC 
@Paladin Notify</t>
  </si>
  <si>
    <t xml:space="preserve">058_2026-05-20_162321_blofin_1779282839848.png</t>
  </si>
  <si>
    <t xml:space="preserve">https://discord.com/channels/1042855255089623100/1501271173588193290/1506648527345025034</t>
  </si>
  <si>
    <t xml:space="preserve">2026-05-21</t>
  </si>
  <si>
    <t xml:space="preserve">04:30:48</t>
  </si>
  <si>
    <t xml:space="preserve">BloFin 'War of Whales 2026' template; 'Close Price' shown, so closed. Final card of the DCA'd BTCUSDT 150x long (entry 76,704.7): closed at 77,826.3, short of the ~78.5k he was aiming for. Per the message: closed here, over 1R, with a DCA great profits.</t>
  </si>
  <si>
    <t xml:space="preserve">BTC closed here, over 1R + with a DCA great profits for me
@Paladin Notify</t>
  </si>
  <si>
    <t xml:space="preserve">059_2026-05-21_043048_blofin_1779326995023.png</t>
  </si>
  <si>
    <t xml:space="preserve">https://discord.com/channels/1042855255089623100/1501271173588193290/1506831598707019827</t>
  </si>
  <si>
    <t xml:space="preserve">05:03:46</t>
  </si>
  <si>
    <t xml:space="preserve">SUIUSDT</t>
  </si>
  <si>
    <t xml:space="preserve">Card label is 'Current Price' (open). Per the accompanying message his TP is at 1.14 and TP2 at 1.23 for anyone holding longer; these targets are not printed on the card.</t>
  </si>
  <si>
    <t xml:space="preserve">SUI running really well too, I'll TP @ 1.14
TP2 @ 1.23 if someone likes to hold longer</t>
  </si>
  <si>
    <t xml:space="preserve">060_2026-05-21_050346_Screenshot_20260521-065728.png</t>
  </si>
  <si>
    <t xml:space="preserve">https://discord.com/channels/1042855255089623100/1501271173588193290/1506839893358284901</t>
  </si>
  <si>
    <t xml:space="preserve">05:57:24</t>
  </si>
  <si>
    <t xml:space="preserve">Card label is 'Exit Price' (closed). Exit 1.14000 matches exactly the TP1 of 1.14 he announced an hour earlier; per the message the TP was hit immediately after that message. Same SUIUSDT 50x long, entry 1.07380.</t>
  </si>
  <si>
    <t xml:space="preserve">SUI TP got hit immediately after this message.
Good start of the day!
@Paladin Notify</t>
  </si>
  <si>
    <t xml:space="preserve">061_2026-05-21_055724_Screenshot_20260521-075544.png</t>
  </si>
  <si>
    <t xml:space="preserve">https://discord.com/channels/1042855255089623100/1501271173588193290/1506853391668613170</t>
  </si>
  <si>
    <t xml:space="preserve">05:57:39</t>
  </si>
  <si>
    <t xml:space="preserve">Blofin 'WOW War of Whales 2026' share card, shown as 'Buy 100X'. Referral code DwquXN. Per the accompanying message this entry (1.0481) was a DCA add to his SUI long, closed at 1.1401.</t>
  </si>
  <si>
    <t xml:space="preserve">Entry from my DCA 👇🏻</t>
  </si>
  <si>
    <t xml:space="preserve">062_2026-05-21_055739_blofin_1779332116390.png</t>
  </si>
  <si>
    <t xml:space="preserve">https://discord.com/channels/1042855255089623100/1501271173588193290/1506853455929544744</t>
  </si>
  <si>
    <t xml:space="preserve">20:21:34</t>
  </si>
  <si>
    <t xml:space="preserve">Blofin 'WOW War of Whales 2026' share card, 'Buy 150X', still open (Mark Price shown). Referral code on this card is hrk3ES, different from the DwquXN code on his other Blofin cards, so possibly a different Blofin account.</t>
  </si>
  <si>
    <t xml:space="preserve">I saw some in chat saying I'm getting rekt because everyone else is shorting 😐
@Paladin Notify</t>
  </si>
  <si>
    <t xml:space="preserve">064_2026-05-21_202134_blofin_1779384057207.png</t>
  </si>
  <si>
    <t xml:space="preserve">https://discord.com/channels/1042855255089623100/1501271173588193290/1507070864791703704</t>
  </si>
  <si>
    <t xml:space="preserve">2026-05-22</t>
  </si>
  <si>
    <t xml:space="preserve">16:02:49</t>
  </si>
  <si>
    <t xml:space="preserve">1000BONKUSDT</t>
  </si>
  <si>
    <t xml:space="preserve">1000BONK</t>
  </si>
  <si>
    <t xml:space="preserve">Blofin 'WOW War of Whales 2026' card, 'Buy 75X'. Referral code DwquXN. Per message this was TP1 where he took only 20-25% off and kept the majority of the position.</t>
  </si>
  <si>
    <t xml:space="preserve">BONK TP1, taking 20-25% only saving majority 
@Paladin Notify</t>
  </si>
  <si>
    <t xml:space="preserve">066_2026-05-22_160249_blofin_1779454878921.png</t>
  </si>
  <si>
    <t xml:space="preserve">https://discord.com/channels/1042855255089623100/1501271173588193290/1507368138889494681</t>
  </si>
  <si>
    <t xml:space="preserve">16:41:48</t>
  </si>
  <si>
    <t xml:space="preserve">WLDUSDT</t>
  </si>
  <si>
    <t xml:space="preserve">Yubit</t>
  </si>
  <si>
    <t xml:space="preserve">Card shows 'Fair Price' (this exchange's term for mark price) so the position was still open. Per message: WLD missed his TP by 0.002, was up 1.5R from the limit entry / 0.9R from CMP, and he advised taking 25-50% and moving SL to entry.</t>
  </si>
  <si>
    <t xml:space="preserve">WLD missed TP by 0.002, almost missed TP, moved up 1.5 R from limit, up 0.9 from CMP 
Take 25-50% SL to entry 
@Paladin Notify</t>
  </si>
  <si>
    <t xml:space="preserve">067_2026-05-22_164148_Screenshot_20260522-183856.png</t>
  </si>
  <si>
    <t xml:space="preserve">https://discord.com/channels/1042855255089623100/1501271173588193290/1507377949874192516</t>
  </si>
  <si>
    <t xml:space="preserve">18:35:51</t>
  </si>
  <si>
    <t xml:space="preserve">'Closed PNL' header; entry/close prices not included in the crop. Earlier card (067) showed entry $0.284. Per message the TP was hit at 1.5R from the limit entry / 1R from CMP and he exited fully at the first TP.</t>
  </si>
  <si>
    <t xml:space="preserve">TP hit 1.5R from limit, 1R from CMP 
I'm out at first TP but confident weekend might give us ful TP 
@Paladin Notify</t>
  </si>
  <si>
    <t xml:space="preserve">068_2026-05-22_183551_Screenshot_20260522-203419.png</t>
  </si>
  <si>
    <t xml:space="preserve">https://discord.com/channels/1042855255089623100/1501271173588193290/1507406648829022390</t>
  </si>
  <si>
    <t xml:space="preserve">2026-05-23</t>
  </si>
  <si>
    <t xml:space="preserve">09:21:38</t>
  </si>
  <si>
    <t xml:space="preserve">BEATUSDT</t>
  </si>
  <si>
    <t xml:space="preserve">Card header 'Close Short | 100X' with Avg Entry Price $1.2875 and Avg Close Price $1.169. Per message he was up 1.5R and closed 60% of the position to recover one earlier stop loss (a later Discord message says the trade went 2R and TP was taken at 1.7R).</t>
  </si>
  <si>
    <t xml:space="preserve">Up 1.5R, took 60% to recover 1SL
@Paladin Notify</t>
  </si>
  <si>
    <t xml:space="preserve">069_2026-05-23_092138_Screenshot_20260523-112019.png</t>
  </si>
  <si>
    <t xml:space="preserve">https://discord.com/channels/1042855255089623100/1501271173588193290/1507629563000258671</t>
  </si>
  <si>
    <t xml:space="preserve">10:52:47</t>
  </si>
  <si>
    <t xml:space="preserve">JCTUSDT</t>
  </si>
  <si>
    <t xml:space="preserve">JCT</t>
  </si>
  <si>
    <t xml:space="preserve">Shows 'Fair Price' (mark price) so still open. Per message JCT dumped nearly 0.5R; he took only 10% and moved SL to entry, advising 10-20% max partials on shorts because BTC may bounce.</t>
  </si>
  <si>
    <t xml:space="preserve">JCT dumped nearly 0.5 R, taking 10% only, SL to entry.
BTC may bounce so securinh my shorts, take 10-20% MAX!
@Paladin Notify</t>
  </si>
  <si>
    <t xml:space="preserve">070_2026-05-23_105247_Screenshot_20260523-125146.png</t>
  </si>
  <si>
    <t xml:space="preserve">https://discord.com/channels/1042855255089623100/1501271173588193290/1507652503599059055</t>
  </si>
  <si>
    <t xml:space="preserve">10:57:00</t>
  </si>
  <si>
    <t xml:space="preserve">Shows 'Fair Price' (mark price) so still open. Message: 'HYPE 0.5 R up'.</t>
  </si>
  <si>
    <t xml:space="preserve">And HYPE 0.5 R up :KEKLaugh:</t>
  </si>
  <si>
    <t xml:space="preserve">071_2026-05-23_105700_Screenshot_20260523-125632.png</t>
  </si>
  <si>
    <t xml:space="preserve">https://discord.com/channels/1042855255089623100/1501271173588193290/1507653565022212139</t>
  </si>
  <si>
    <t xml:space="preserve">11:50:21</t>
  </si>
  <si>
    <t xml:space="preserve">'Closed PNL' header; prices not in the crop (entry was $54.991 per card 071). Per message he closed here at 1.2R and set 58 as the next TP for those still holding.</t>
  </si>
  <si>
    <t xml:space="preserve">HYPE up 1.2R, I'm out here, but 58 next TP for those holding 
@Paladin Notify</t>
  </si>
  <si>
    <t xml:space="preserve">072_2026-05-23_115021_Screenshot_20260523-134519.png</t>
  </si>
  <si>
    <t xml:space="preserve">https://discord.com/channels/1042855255089623100/1501271173588193290/1507666989454200832</t>
  </si>
  <si>
    <t xml:space="preserve">16:15:56</t>
  </si>
  <si>
    <t xml:space="preserve">Blofin 'WOW War of Whales 2026' card, 'Buy 100X', open (Mark Price shown). Referral code DwquXN. Message: '1R soon!' - per his later explanation this trade had SL 0.95 and TP 1.05 (entry ~1).</t>
  </si>
  <si>
    <t xml:space="preserve">1R soon!</t>
  </si>
  <si>
    <t xml:space="preserve">073_2026-05-23_161556_blofin_1779542139382.png</t>
  </si>
  <si>
    <t xml:space="preserve">https://discord.com/channels/1042855255089623100/1501271173588193290/1507733827601301525</t>
  </si>
  <si>
    <t xml:space="preserve">16:36:55</t>
  </si>
  <si>
    <t xml:space="preserve">1.05</t>
  </si>
  <si>
    <t xml:space="preserve">Stated as 'SUI is running from 1, SL 0.95 (-0.5) TP 1.05 (+0.5)' - entry '1' is his rounded figure for the live SUI long (actual entry 1.0014 on the Blofin cards); this defines a 1:1 R trade (1R = 0.05 move).</t>
  </si>
  <si>
    <t xml:space="preserve">For those who don't know what is R, I tried explaining in the simplest way!
Also guys, I risk 1-2% on ALTs and 3-5% on BTC trades
@Paladin Notify</t>
  </si>
  <si>
    <t xml:space="preserve">074_2026-05-23_163655_Screenshot_20260523-183520.png</t>
  </si>
  <si>
    <t xml:space="preserve">https://discord.com/channels/1042855255089623100/1501271173588193290/1507739108884348969</t>
  </si>
  <si>
    <t xml:space="preserve">Recap only: 'we did beat short it went 2R ... (We took TP @ 1.7 R)'.</t>
  </si>
  <si>
    <t xml:space="preserve">16:42:48</t>
  </si>
  <si>
    <t xml:space="preserve">cross</t>
  </si>
  <si>
    <t xml:space="preserve">order_screenshot</t>
  </si>
  <si>
    <t xml:space="preserve">Blofin limit order form for SUIUSDT Perp (Cross, 100X) with Price(USDT) field = 1.1 and Amount field empty, unit SUI; buy/sell side not visible. Screenshot is a tutorial on the 'Futures Unit Setting' (By Amount in SUI vs By Cost in USDT), red hand-drawn marks under the 'SUI' unit selector; the 1.1 price is likely illustrative rather than a placed order. Available balance 794.72 USDT, SUI 24h change -9.33%, funding 0.0138%, last price 1.0172.</t>
  </si>
  <si>
    <t xml:space="preserve">Go to your exchanges and set by amount I'm doing this on blofin but every exchange has it the same.</t>
  </si>
  <si>
    <t xml:space="preserve">077_2026-05-23_164248_Screenshot_20260523-184152.png</t>
  </si>
  <si>
    <t xml:space="preserve">https://discord.com/channels/1042855255089623100/1501271173588193290/1507740588563370145</t>
  </si>
  <si>
    <t xml:space="preserve">17:16:47</t>
  </si>
  <si>
    <t xml:space="preserve">0.0090 BTC</t>
  </si>
  <si>
    <t xml:space="preserve">Position TP/SL shows '-- / 72,200.0' (no TP set, SL 72,200.0). Margin Rate 2.29%. Unrealized PnL -0.0657 USDT (≈ -$0.06). First trade of his 89.36 USDT BTC-scalp challenge account.</t>
  </si>
  <si>
    <t xml:space="preserve">First scalp trade.</t>
  </si>
  <si>
    <t xml:space="preserve">079_2026-05-23_171647_Screenshot_20260523-191624.png</t>
  </si>
  <si>
    <t xml:space="preserve">https://discord.com/channels/1042855255089623100/1501271173588193290/1507749138832298015</t>
  </si>
  <si>
    <t xml:space="preserve">21:18:48</t>
  </si>
  <si>
    <t xml:space="preserve">Blofin 'WOW War of Whales 2026' card, 'Buy 100X', Mark Price shown so position still open at card time. Referral code DwquXN. Message 'took some here' indicates a partial profit taken around 1.0539, slightly above the 1.05 TP he had described (entry ~1, SL 0.95, TP 1.05).</t>
  </si>
  <si>
    <t xml:space="preserve">Alright boys took some here
@Paladin Notify</t>
  </si>
  <si>
    <t xml:space="preserve">081_2026-05-23_211848_blofin_1779560270446.png</t>
  </si>
  <si>
    <t xml:space="preserve">https://discord.com/channels/1042855255089623100/1501271173588193290/1507810046959161707</t>
  </si>
  <si>
    <t xml:space="preserve">23:42:34</t>
  </si>
  <si>
    <t xml:space="preserve">FILUSDT</t>
  </si>
  <si>
    <t xml:space="preserve">Blofin 'WOW War of Whales 2026' share card. Low-leverage (3X) FIL long closed exactly at the 1.000 round number. Card generated 05-24 01:41:28.</t>
  </si>
  <si>
    <t xml:space="preserve">FIL TP
@Paladin Notify</t>
  </si>
  <si>
    <t xml:space="preserve">082_2026-05-23_234234_blofin_1779568888498.png</t>
  </si>
  <si>
    <t xml:space="preserve">https://discord.com/channels/1042855255089623100/1501271173588193290/1507846224202694776</t>
  </si>
  <si>
    <t xml:space="preserve">23:42:51</t>
  </si>
  <si>
    <t xml:space="preserve">Blofin 'WOW War of Whales 2026' share card of an open position (Mark Price shown). Card generated 05-24 01:41:18.</t>
  </si>
  <si>
    <t xml:space="preserve">BTC feel free to trim wherever you want.
@Paladin Notify</t>
  </si>
  <si>
    <t xml:space="preserve">083_2026-05-23_234251_blofin_1779568879556.png</t>
  </si>
  <si>
    <t xml:space="preserve">https://discord.com/channels/1042855255089623100/1501271173588193290/1507846295732228228</t>
  </si>
  <si>
    <t xml:space="preserve">23:43:25</t>
  </si>
  <si>
    <t xml:space="preserve">Blofin 'WOW War of Whales 2026' share card of an open position (Mark Price shown). Per the accompanying message he is near full TP but still holding the majority with a target of 1.1+. Card generated 05-24 01:42:58.</t>
  </si>
  <si>
    <t xml:space="preserve">SUI nearly full TP, still holding majority, Target 1.1+ 
@Paladin Notify</t>
  </si>
  <si>
    <t xml:space="preserve">084_2026-05-23_234325_blofin_1779568979638.png</t>
  </si>
  <si>
    <t xml:space="preserve">https://discord.com/channels/1042855255089623100/1501271173588193290/1507846441123709070</t>
  </si>
  <si>
    <t xml:space="preserve">23:57:10</t>
  </si>
  <si>
    <t xml:space="preserve">Unrealized PnL +17.1504 USDT (~ +$17.15), ROI +507.03%. Margin Rate 5.97%. Position TP/SL shows '-- / 72,220.0' (no TP set, stop loss at 72,220.0). 'Pending Orders (2)' collapsed. Entry 75,166.5 differs slightly from the 75,197.2 on his Blofin share cards - this appears to be a separate small (~$90) account at 200X.</t>
  </si>
  <si>
    <t xml:space="preserve">Making 20% of this :KEKLaugh:</t>
  </si>
  <si>
    <t xml:space="preserve">086_2026-05-23_235710_Screenshot_20260524-015655.png</t>
  </si>
  <si>
    <t xml:space="preserve">https://discord.com/channels/1042855255089623100/1501271173588193290/1507849900690247901</t>
  </si>
  <si>
    <t xml:space="preserve">2026-05-24</t>
  </si>
  <si>
    <t xml:space="preserve">00:01:23</t>
  </si>
  <si>
    <t xml:space="preserve">Blofin 'WOW War of Whales 2026' share card of the same open BTC long (entry 75,197.2), now at mark 77,348.4. Card generated 05-24 02:00:15.</t>
  </si>
  <si>
    <t xml:space="preserve">Bullish weekend</t>
  </si>
  <si>
    <t xml:space="preserve">087_2026-05-24_000123_blofin_1779570016366.png</t>
  </si>
  <si>
    <t xml:space="preserve">https://discord.com/channels/1042855255089623100/1501271173588193290/1507850960737927168</t>
  </si>
  <si>
    <t xml:space="preserve">00:09:16</t>
  </si>
  <si>
    <t xml:space="preserve">Card shows 'Fair Price $1.0909' (mark-price equivalent) rather than a close price, so recorded as open per the rules; however the accompanying message says SUI hit full TP (2R), so this is the snapshot at or just before closing. Separate account/exchange from the Blofin 100X SUI position (entry 1.0006 vs 1.0014).</t>
  </si>
  <si>
    <t xml:space="preserve">Sorry for the spam but SUI hit full TP 2R since we barely took anything at TP1 
@Paladin Notify</t>
  </si>
  <si>
    <t xml:space="preserve">088_2026-05-24_000916_Screenshot_20260524-020832.png</t>
  </si>
  <si>
    <t xml:space="preserve">https://discord.com/channels/1042855255089623100/1501271173588193290/1507852944312373341</t>
  </si>
  <si>
    <t xml:space="preserve">00:09:23</t>
  </si>
  <si>
    <t xml:space="preserve">Blofin 'WOW War of Whales 2026' share card; the SUI 100X long (entry 1.0014) is now fully closed at 1.0890. Card generated 05-24 02:05:50.</t>
  </si>
  <si>
    <t xml:space="preserve">089_2026-05-24_000923_blofin_1779570355350.png</t>
  </si>
  <si>
    <t xml:space="preserve">https://discord.com/channels/1042855255089623100/1501271173588193290/1507852972460216501</t>
  </si>
  <si>
    <t xml:space="preserve">00:12:10</t>
  </si>
  <si>
    <t xml:space="preserve">Blofin 'WOW War of Whales 2026' share card; BTC 150X long still open, mark 77,036.2 (pulled back from 77,348.4 shown ~11 minutes earlier). Card generated 05-24 02:11:19. Posted as part of a batch of four cards recapping the day's calls.</t>
  </si>
  <si>
    <r>
      <rPr>
        <sz val="10"/>
        <rFont val="Arial"/>
        <family val="0"/>
        <charset val="1"/>
      </rPr>
      <t xml:space="preserve">C'mon guys at least post PNLs #💲</t>
    </r>
    <r>
      <rPr>
        <sz val="10"/>
        <rFont val="Noto Sans CJK SC"/>
        <family val="2"/>
      </rPr>
      <t xml:space="preserve">｜</t>
    </r>
    <r>
      <rPr>
        <sz val="10"/>
        <rFont val="Arial"/>
        <family val="0"/>
        <charset val="1"/>
      </rPr>
      <t xml:space="preserve">profit-showcase today I gave you like 5R today
@Paladin Notify</t>
    </r>
  </si>
  <si>
    <t xml:space="preserve">090_2026-05-24_001210_blofin_1779570679706.png</t>
  </si>
  <si>
    <t xml:space="preserve">https://discord.com/channels/1042855255089623100/1501271173588193290/1507853674855137532</t>
  </si>
  <si>
    <t xml:space="preserve">Blofin 'WOW War of Whales 2026' share card; 'Sell 40X' = short. Closed BEAT short from 1.2694 to 1.1482. Card generated 05-24 02:11:15.</t>
  </si>
  <si>
    <t xml:space="preserve">091_2026-05-24_001210_blofin_1779570675950.png</t>
  </si>
  <si>
    <t xml:space="preserve">Blofin 'WOW War of Whales 2026' share card; same closed SUI trade as the card generated at 02:05:50 (entry 1.0014, close 1.0890), re-generated 05-24 02:10:54 for the recap batch.</t>
  </si>
  <si>
    <t xml:space="preserve">092_2026-05-24_001210_blofin_1779570654702.png</t>
  </si>
  <si>
    <t xml:space="preserve">Blofin 'WOW War of Whales 2026' share card; same closed FIL 3X trade as the card generated at 01:41:28 (entry 0.955, close 1.000), re-generated 05-24 02:10:56 for the recap batch.</t>
  </si>
  <si>
    <t xml:space="preserve">093_2026-05-24_001210_blofin_1779570656635.png</t>
  </si>
  <si>
    <t xml:space="preserve">00:13:16</t>
  </si>
  <si>
    <t xml:space="preserve">'Closed PNL' card header. Only ROI is visible; entry/close prices are cut off by the crop. A decorative mini price line shows a green 'B' (buy) marker at a local low and a red 'S' (sell) marker higher up on the right.</t>
  </si>
  <si>
    <t xml:space="preserve">Actually 8R, gave 3R on HYPE too 🤘🏻</t>
  </si>
  <si>
    <t xml:space="preserve">094_2026-05-24_001316_Screenshot_20260524-021241.png</t>
  </si>
  <si>
    <t xml:space="preserve">https://discord.com/channels/1042855255089623100/1501271173588193290/1507853951599644892</t>
  </si>
  <si>
    <t xml:space="preserve">00:49:01</t>
  </si>
  <si>
    <t xml:space="preserve">PrimeXBT share card ('HYPE / USDT | Long', 'Entry price 56.015', 'Close price 57.981') posted by 'Shawarma' 'Yesterday at 9:55 PM' with text 'Thank you ser @Paladin [Will not DM]'. Leverage not shown. 2 hearts. Follower's trade on Paladin's HYPE long.</t>
  </si>
  <si>
    <t xml:space="preserve">Thank you for your trust guys, lovely to see this 🙏🏻🖤</t>
  </si>
  <si>
    <t xml:space="preserve">095_2026-05-24_004901_screen-20260524-024824-1779572891354.mp4</t>
  </si>
  <si>
    <t xml:space="preserve">https://discord.com/channels/1042855255089623100/1501271173588193290/1507862949518381066</t>
  </si>
  <si>
    <t xml:space="preserve">Ourbit share card (Italian locale) posted by 'hellwavez' (SX, VIP) 'Yesterday at 11:27 PM' with text 'PNL porn?'. Account 'HellWaveZ', 'HYPE USDT | Perp | Short | 100X', 'Prezzo di entrata $59.393' (entry), 'Prezzo Equo $55.061' (fair/mark price, so still open), duration '20H 05M', 'Unisciti a Ourbit, il SuperCEX di Memecoin', 'Codice Referral YE4MAC'. Opposite direction to the HYPE longs in the channel; not clearly attributed to Paladin.</t>
  </si>
  <si>
    <t xml:space="preserve">BloFin share card ('FILUSDT Perp', 'Long 30X', 'Entry Price 0.954', 'Close Price 1.000') posted by 'Nate' 'Today at 2:12 AM' (first message under the 'May 24, 2026' divider) with text 'Thanks Paladin!!!'. Referral Code K6FqR3, Share Time 05/23 16:58:39. 1 heart. Follower's trade on Paladin's FIL long.</t>
  </si>
  <si>
    <t xml:space="preserve">MEXC share card ('SUIUSDT Perpetual', 'Long | 10x', '+88.34%') posted by 'SirBandylegs' 'Today at 2:13 AM' with text '@Paladin [Will not DM] TY!'. 'Shared on 2026-05-23 23:12:26 (UTC+2)', Referral code 2h7YA. No prices on the card; rising PnL curve with a green 'B' marker. 1 heart. Follower's trade on Paladin's SUI long.</t>
  </si>
  <si>
    <t xml:space="preserve">Blofin 'WOW War of Whales 2026' card (account 'ateek944', 'BTCUSDT Perp', 'Buy 20X', 'Entry Price 75,175.3', 'Mark Price 77,032.7') posted by 'ateek944' 'Today at 2:13 AM' with text '@Paladin [Will not DM] my first trade with full tp' (edited). Referral Code CnsOQb, 05-24 02:42:37. Mark price -&gt; still open when shared. 1 heart. Follower's trade on Paladin's BTC long.</t>
  </si>
  <si>
    <t xml:space="preserve">Blofin 'WOW War of Whales 2026' card ('FILUSDT Perp', 'Long 20X', 'Entry Price 0.954', 'Close Price 0.996') posted by 'misfitnl' 'Today at 2:13 AM' with text 'Thanks Paladin'. Referral Code dzMIKU, 05/23 23:12:56. 1 heart. Follower's trade.</t>
  </si>
  <si>
    <t xml:space="preserve">Pionex card 1 of 4 in one post by 'D3vil' 'Today at 2:13 AM' with text 'Thanks @Paladin [Will not DM]': 'HYPE/USDT Perpetual', 'Buy | 50X', 'Profit rate in USDT +75.16%', 'Avg. Price 55.031', 'Avg. close 55.916', 'Lasting 1h 23m', 'DevilUnited's referral code 0eacBj9WgjM'. Follower's trade.</t>
  </si>
  <si>
    <t xml:space="preserve">Pionex card 2 of 4 by 'D3vil': 'FIL/USDT Perpetual', 'Buy | 50X', 'Profit rate in USDT +241.64%', 'Avg. Price 0.953', 'Avg. close 1.000', 'Lasting 5h 22m', referral code 0eacBj9WgjM. Follower's trade.</t>
  </si>
  <si>
    <t xml:space="preserve">Pionex card 3 of 4 by 'D3vil': 'BTC/USDT Futures Lite', 'Buy | 75X', 'Profit rate in USDT +197.39%', 'Avg. Price 74,785.1', 'Last Price 76,799.9' (still open), 'Lasting 9h 7m', referral code 0eacBj9WgjM. Follower's trade.</t>
  </si>
  <si>
    <t xml:space="preserve">Pionex card 4 of 4 by 'D3vil': 'SUI/USDT Perpetual', 'Buy | 50X', 'Profit rate in USDT +464.62%', 'Avg. Price 1.0013', 'Last Price 1.0934' (still open), 'Lasting 12h 34m', referral code 0eacBj9WgjM. 1 heart on the post. Follower's trade.</t>
  </si>
  <si>
    <t xml:space="preserve">KCEX share card ('BTC/USDT', 'Long 75X Closed', 'Avg Entry Price $75,535.5', 'Avg Close Price $76,733.2') posted by 'Pokedust' 'Today at 2:14 AM' with only a 💪🏼 emoji. Account 'dt***2@outlook.com', Invite Code U3NN04, 2026-05-23 17:12:42, 'Fees as low as 0.01%'. PnL curve with two 'B' (buy) markers and an 'S' (sell) marker at the top. 1 heart. Follower's trade.</t>
  </si>
  <si>
    <t xml:space="preserve">Blofin 'WOW War of Whales 2026' card ('SUIUSDT Perp', 'Buy 20X', 'Entry Price 0.9977', 'Close Price 1.0900') posted by 'archersid18' (SX) 'Today at 2:17 AM' with text '@Paladin [Will not DM] I was so down and out. Thanks!'. Referral Code UMITOI, 05-24 02:46:32. Reactions 🔥 1, ❤️ 1. Follower's trade.</t>
  </si>
  <si>
    <t xml:space="preserve">Blofin 'WOW War of Whales 2026' card ('SUIUSDT Perp', 'Buy 20X', '+93.38%') posted by 'Janos' 'Today at 2:18 AM' with text '@Paladin [Will not DM] hey, I'm New here, thanks a lot;)'. The lower part of the card (entry/close prices, time) never comes into frame. Follower's trade.</t>
  </si>
  <si>
    <t xml:space="preserve">FILUSDCUSDT</t>
  </si>
  <si>
    <t xml:space="preserve">FILUSDC</t>
  </si>
  <si>
    <t xml:space="preserve">Entry from a screenshot of an exchange closed-positions history list (exchange not identified; green 'B' icon, tags 'Perp | Cross 20x', fields 'Realized PNL (USDC) 1.74', 'ROI 75.45%', 'Entry Price 0.96', 'Avg. Close Price 0.997', 'Opened' / 'Closed' with values not visible). Side inferred as long from positive ROI with close above entry. Author of this post is not in frame (posted between Janos 2:18 AM and Pollensa 2:45 AM). Reactions 🔥 2, ❤️ 1. Follower's trade.</t>
  </si>
  <si>
    <t xml:space="preserve">Second entry of the same closed-positions list: 'BTCUSDT | Perp | Cross 40x', 'Realized PNL (USDT) 2.57', 'ROI 68.80%', 'Entry Price 74,710', 'Avg. Close Price 76,073.3', 'Opened' / 'Closed' values not visible. Side inferred as long (close above entry, positive ROI). Very small position (PnL 2.57 USDT). Follower's trade.</t>
  </si>
  <si>
    <t xml:space="preserve">0.090 BTC</t>
  </si>
  <si>
    <t xml:space="preserve">PrimeXBT share card ('0.090 BTC/USDT | Long', '+868.26%', '+147.08 USDT', 'Entry price 75,506.4', 'Market price 77,140.7', 'Shared on 05/23/26, 21:58:00', 'Join PrimeXBT') posted by 'Pollensa' (ASTR) 'Today at 2:45 AM' with text '@Paladin [Will not DM] thanks so much' -- the newest message, shown below the 'NEW MESSAGES' divider. 'Market price' rather than close price, so still open when shared. Leverage not shown. 1 heart. Follower's trade.</t>
  </si>
  <si>
    <t xml:space="preserve">02:33:55</t>
  </si>
  <si>
    <t xml:space="preserve">Blofin 'WOW War of Whales 2026' share card; the BTC 150X long from 75,197.2 is fully closed at 76,609.2. Per his message he had already taken 25% earlier at ~77k and this is the exit of the remainder. Card generated 05-24 04:30:08.</t>
  </si>
  <si>
    <t xml:space="preserve">Out of BTC completely here, took 25% earlier at 77k
@Paladin Notify</t>
  </si>
  <si>
    <t xml:space="preserve">096_2026-05-24_023355_blofin_1779579009839.png</t>
  </si>
  <si>
    <t xml:space="preserve">https://discord.com/channels/1042855255089623100/1501271173588193290/1507889347804790936</t>
  </si>
  <si>
    <t xml:space="preserve">02:34:56</t>
  </si>
  <si>
    <t xml:space="preserve">closed_pnl_list</t>
  </si>
  <si>
    <t xml:space="preserve">Order-history detail of a filled 'Close Long' market order: Quantity 0.0090 BTC, Filled 0.0090 BTC, Avg. Price 76,609.2 USDT, Fee 0.41368968 USDT, Realized PnL +12.98430000 USDT, Time 2026-05-24 04:27:09. Same fill price as the Blofin close card (76,609.2). This is the small ~$90 account shown in the 200X positions screenshot (entry there was 75,166.5).</t>
  </si>
  <si>
    <t xml:space="preserve">Made 13$ on the 90$ account, 15% 
Let's see if we can double it!</t>
  </si>
  <si>
    <t xml:space="preserve">097_2026-05-24_023456_Screenshot_20260524-042828.png</t>
  </si>
  <si>
    <t xml:space="preserve">https://discord.com/channels/1042855255089623100/1501271173588193290/1507889602613088368</t>
  </si>
  <si>
    <t xml:space="preserve">07:56:03</t>
  </si>
  <si>
    <t xml:space="preserve">Freshly opened position: Unrealized PnL +0.1107 USDT (~ +$0.11), ROI +3.20%, Margin Rate 2.06%. Position TP/SL shows '-- / 74,000.0' (no TP, stop loss at 74,000.0). Buttons visible: TP/SL, Add, Close. Same 0.0090 BTC size on the small account, re-entered at 76,754.6 after closing the previous long at 76,609.2.</t>
  </si>
  <si>
    <t xml:space="preserve">Long BTC 
@Paladin Notify</t>
  </si>
  <si>
    <t xml:space="preserve">098_2026-05-24_075603_Screenshot_20260524-095437.png</t>
  </si>
  <si>
    <t xml:space="preserve">https://discord.com/channels/1042855255089623100/1501271173588193290/1507970412271763466</t>
  </si>
  <si>
    <t xml:space="preserve">15:58:06</t>
  </si>
  <si>
    <t xml:space="preserve">Blofin 'WOW War of Whales 2026' share card of the new BTC long (entry 76,754.6, same entry as the 200X positions screenshot) still open at mark 77,060.0. Card generated 05-24 17:57:54.</t>
  </si>
  <si>
    <t xml:space="preserve">In profits rn so you can adjust</t>
  </si>
  <si>
    <t xml:space="preserve">099_2026-05-24_155806_blofin_1779627475232.png</t>
  </si>
  <si>
    <t xml:space="preserve">https://discord.com/channels/1042855255089623100/1501271173588193290/1508091726563115028</t>
  </si>
  <si>
    <t xml:space="preserve">2026-05-25</t>
  </si>
  <si>
    <t xml:space="preserve">12:08:18</t>
  </si>
  <si>
    <t xml:space="preserve">Blofin 'WOW War of Whales 2026' share card; BTC 150X long from 76,754.6 still held a day later at mark 77,416.5. Per his message he expects higher and wants a 4h close above the EMA 200 to accelerate. Card generated 05-25 14:07:24.</t>
  </si>
  <si>
    <t xml:space="preserve">Hello guys, had a really shitty day yesterday ran into some personal problems so was away 
Still holding onto this, expecting higher. Just need a closing 4h above ema 200 and we can speed up.</t>
  </si>
  <si>
    <t xml:space="preserve">100_2026-05-25_120818_blofin_1779700045029.png</t>
  </si>
  <si>
    <t xml:space="preserve">https://discord.com/channels/1042855255089623100/1501271173588193290/1508396282388156586</t>
  </si>
  <si>
    <t xml:space="preserve">20:49:52</t>
  </si>
  <si>
    <t xml:space="preserve">Blofin 'WOW War of Whales 2026' share card of an open WLD long. Per his message he took 30% off here and is letting the rest run to 0.32-0.33, admitting the entry 'isn't the best'. Card generated 05-25 22:49:19.</t>
  </si>
  <si>
    <t xml:space="preserve">Took 30% here, let it run to 0.32-0.33
Tbh entry isn't the best so if you want to take more like 50% go for it.
@Paladin Notify</t>
  </si>
  <si>
    <t xml:space="preserve">101_2026-05-25_204952_blofin_1779731360245.png</t>
  </si>
  <si>
    <t xml:space="preserve">https://discord.com/channels/1042855255089623100/1501271173588193290/1508527537641492510</t>
  </si>
  <si>
    <t xml:space="preserve">21:35:21</t>
  </si>
  <si>
    <t xml:space="preserve">Blofin 'WOW War of Whales 2026' share card; WLD 75X long from 0.3023 fully closed at 0.3191 (~0.32, 'almost 1R' per his message). He suggested followers take 50-70% and leave runners for 0.33-0.34. Card generated 05-25 23:34:00.</t>
  </si>
  <si>
    <t xml:space="preserve">Alright guys I'm fully out at 0.32 almost 1R, you can take 50-70% here and leave runners for 0.33-0.34 I'm pretty sure this blows up soon but I like to scalp
@Paladin Notify</t>
  </si>
  <si>
    <t xml:space="preserve">102_2026-05-25_213521_blofin_1779734041963.png</t>
  </si>
  <si>
    <t xml:space="preserve">https://discord.com/channels/1042855255089623100/1501271173588193290/1508538985826353285</t>
  </si>
  <si>
    <t xml:space="preserve">22:14:51</t>
  </si>
  <si>
    <t xml:space="preserve">Three red 'S' (sell-fill) markers are plotted on the 15m candles during the vertical move, roughly between ~0.316 and ~0.325 (approximate, read from chart position; no fill prices printed). They look like partial take-profit sells of a WLD long. Side is inferred from the sell markers plus the message ('almost 1.5R'); entry price, leverage and size are not visible, and it is not visible whether the position was fully closed.</t>
  </si>
  <si>
    <t xml:space="preserve">As I said show blows up and goes to 0.33 easily, almost 1.5R 
@Paladin Notify</t>
  </si>
  <si>
    <t xml:space="preserve">103_2026-05-25_221451_Screenshot_20260526-001202.png</t>
  </si>
  <si>
    <t xml:space="preserve">https://discord.com/channels/1042855255089623100/1501271173588193290/1508548926666440937</t>
  </si>
  <si>
    <t xml:space="preserve">2026-05-26</t>
  </si>
  <si>
    <t xml:space="preserve">13:49:37</t>
  </si>
  <si>
    <t xml:space="preserve">RENDERUSDT</t>
  </si>
  <si>
    <t xml:space="preserve">RENDER</t>
  </si>
  <si>
    <t xml:space="preserve">Blofin 'Buy 90X' = long at 90x. Card shows Mark Price, so the position was still open when shared; message says he took 50% off here.</t>
  </si>
  <si>
    <t xml:space="preserve">50% out here
@Paladin Notify</t>
  </si>
  <si>
    <t xml:space="preserve">104_2026-05-26_134937_blofin_1779792494703.png</t>
  </si>
  <si>
    <t xml:space="preserve">https://discord.com/channels/1042855255089623100/1501271173588193290/1508784168467828776</t>
  </si>
  <si>
    <t xml:space="preserve">17:32:51</t>
  </si>
  <si>
    <t xml:space="preserve">Blofin 'Buy 150X' = long at 150x. Card shows Close Price 77,906.3, i.e. closed. A cropped card posted 1 minute later (image 106) shows the same entry with Close Price 78,012.9, and the filled close order (image 108) shows avg price 78,012.9 at 19:27:10.</t>
  </si>
  <si>
    <t xml:space="preserve">@Paladin Notify</t>
  </si>
  <si>
    <t xml:space="preserve">105_2026-05-26_173251_blofin_1779805777371.png</t>
  </si>
  <si>
    <t xml:space="preserve">https://discord.com/channels/1042855255089623100/1501271173588193290/1508840347986432150</t>
  </si>
  <si>
    <t xml:space="preserve">17:34:08</t>
  </si>
  <si>
    <t xml:space="preserve">Cropped share card showing only the price rows. Symbol and side are NOT visible in the crop - identified as the BTCUSDT long because the entry price 76,754.6 is identical to the BTCUSDT Buy 150X card posted one minute earlier (image 105) and the close 78,012.9 matches the filled 'Close Long' order in image 108. Message: his TP was set at 78k and he does not know why Blofin closed it later.</t>
  </si>
  <si>
    <t xml:space="preserve">TP set was 78k, dk why BLOFIN closed later, anyhow I told you we are going up no need to short, glad I held my place!</t>
  </si>
  <si>
    <t xml:space="preserve">106_2026-05-26_173408_Screenshot_20260526-193325.png</t>
  </si>
  <si>
    <t xml:space="preserve">https://discord.com/channels/1042855255089623100/1501271173588193290/1508840668808613990</t>
  </si>
  <si>
    <t xml:space="preserve">17:45:39</t>
  </si>
  <si>
    <t xml:space="preserve">Blofin order detail of the filled 'Close Long' market order: tags 'Close Long', 'Cross', '200X', status 'Filled'; Realized PnL +11.32470000 USDT; Price Market; Quantity 0.0090 BTC; Filled 0.0090 BTC; Avg. Price 78,012.9 USDT; Fee 0.42126966 USDT; Time 2026-05-26 19:27:10. Note the order shows 200X whereas the share cards for this trade (images 105/106) show Buy 150X.</t>
  </si>
  <si>
    <t xml:space="preserve">108_2026-05-26_174539_Screenshot_20260526-192820.png</t>
  </si>
  <si>
    <t xml:space="preserve">https://discord.com/channels/1042855255089623100/1501271173588193290/1508843567685304464</t>
  </si>
  <si>
    <t xml:space="preserve">17:46:05</t>
  </si>
  <si>
    <t xml:space="preserve">A red 'S' (sell-fill) marker sits at the very top of the spike candle whose high is labeled 78,049.1 - his exit from the BTC long. The actual fill price is not printed on the chart (the order screenshot, image 108, shows 78,012.9). Price had already dropped back to 76,806.2 when the screenshot was taken.</t>
  </si>
  <si>
    <t xml:space="preserve">What an EXIT boys!
Gotta love this memecoin :KEKLaugh: 
@Paladin Notify</t>
  </si>
  <si>
    <t xml:space="preserve">109_2026-05-26_174605_Screenshot_20260526-194401.png</t>
  </si>
  <si>
    <t xml:space="preserve">https://discord.com/channels/1042855255089623100/1501271173588193290/1508843675482849353</t>
  </si>
  <si>
    <t xml:space="preserve">2026-05-27</t>
  </si>
  <si>
    <t xml:space="preserve">09:51:56</t>
  </si>
  <si>
    <t xml:space="preserve">TAOUSDT</t>
  </si>
  <si>
    <t xml:space="preserve">Blofin 'Buy 100X' = long at 100x; Mark Price shown so still open. Message: DCA order filled (entry 276.63 is the averaged entry), 'good bounce for now, will trim soon around 280+'.</t>
  </si>
  <si>
    <t xml:space="preserve">DCA filled, good bounce for now, will trim soon around 280+</t>
  </si>
  <si>
    <t xml:space="preserve">110_2026-05-27_095156_blofin_1779864708031.png</t>
  </si>
  <si>
    <t xml:space="preserve">https://discord.com/channels/1042855255089623100/1501271173588193290/1509086742773502174</t>
  </si>
  <si>
    <t xml:space="preserve">18:41:39</t>
  </si>
  <si>
    <t xml:space="preserve">Blofin 'Buy 100X' = long at 100x. Card shows Close Price 280.00 (the 280 trim level he announced). Per the message only 10% of the position was closed here to lighten a heavy DCA'd position; SL not moved to entry; he plans to close the rest around 282-286.</t>
  </si>
  <si>
    <t xml:space="preserve">Guys closed just 10% here nothing serious just offloading since after DCA position is heavy, if it's not at 280 don't take anything 
Not moving SL to entry, will close soon around 282-286 so far it's strong!</t>
  </si>
  <si>
    <t xml:space="preserve">111_2026-05-27_184139_blofin_1779896439347.png</t>
  </si>
  <si>
    <t xml:space="preserve">https://discord.com/channels/1042855255089623100/1501271173588193290/1509220049909715076</t>
  </si>
  <si>
    <t xml:space="preserve">2026-05-28</t>
  </si>
  <si>
    <t xml:space="preserve">20:49:03</t>
  </si>
  <si>
    <t xml:space="preserve">Card labels the current price 'Fair Price' (this exchange's name for mark price), so the position was still open. ETHUSDT Perpetual, Long | 100X.</t>
  </si>
  <si>
    <t xml:space="preserve">I hope you guys were laughing on ETH as an asset because it's a joke 🤣</t>
  </si>
  <si>
    <t xml:space="preserve">112_2026-05-28_204903_Screenshot_20260528-224821.png</t>
  </si>
  <si>
    <t xml:space="preserve">https://discord.com/channels/1042855255089623100/1501271173588193290/1509614498812788784</t>
  </si>
  <si>
    <t xml:space="preserve">2026-05-29</t>
  </si>
  <si>
    <t xml:space="preserve">12:40:35</t>
  </si>
  <si>
    <t xml:space="preserve">Same ETH long as image 112 (same entry $1,988.23), now at Fair Price $2,015.08 / +132.39%. Banner 'Low-fee saved you: 2.4257 USDT'. Message: taking 20% here, SL moved to entry, will exit fully around 2020-2030 (SL value itself not shown on the card).</t>
  </si>
  <si>
    <t xml:space="preserve">20% SL to entry, will exit fully around 2020-2030.
@Paladin Notify</t>
  </si>
  <si>
    <t xml:space="preserve">113_2026-05-29_124035_1780046970024.jpg</t>
  </si>
  <si>
    <t xml:space="preserve">https://discord.com/channels/1042855255089623100/1501271173588193290/1509853959651590154</t>
  </si>
  <si>
    <t xml:space="preserve">18:35:56</t>
  </si>
  <si>
    <t xml:space="preserve">Blofin 'Buy 150X' = long at 150x; Mark Price shown so still open. Message: '1R up', targets 75-76k this weekend, ideal first TP 74.2k.</t>
  </si>
  <si>
    <t xml:space="preserve">BTC 1R up if anyone likes partials, were getting 75-76k this weekend and I'm gonna TP that 😤
Ideal first TP would be 74.2k 
@Paladin Notify</t>
  </si>
  <si>
    <t xml:space="preserve">114_2026-05-29_183556_blofin_1780068899521.png</t>
  </si>
  <si>
    <t xml:space="preserve">https://discord.com/channels/1042855255089623100/1501271173588193290/1509943387560869949</t>
  </si>
  <si>
    <t xml:space="preserve">2026-05-30</t>
  </si>
  <si>
    <t xml:space="preserve">08:32:55</t>
  </si>
  <si>
    <t xml:space="preserve">ADAUSDT</t>
  </si>
  <si>
    <t xml:space="preserve">ADA</t>
  </si>
  <si>
    <t xml:space="preserve">Blofin 'Buy 75X' = long at 75x. Close Price shown, so closed (take profit per message 'ADA TP').</t>
  </si>
  <si>
    <t xml:space="preserve">ADA TP 
@Paladin Notify</t>
  </si>
  <si>
    <t xml:space="preserve">116_2026-05-30_083255_blofin_1780119030209.png</t>
  </si>
  <si>
    <t xml:space="preserve">https://discord.com/channels/1042855255089623100/1501271173588193290/1510154018142556161</t>
  </si>
  <si>
    <t xml:space="preserve">2026-06-01</t>
  </si>
  <si>
    <t xml:space="preserve">21:12:12</t>
  </si>
  <si>
    <t xml:space="preserve">Blofin 'Buy 150X' = long at 150x. Closed nearly flat (+7.63% at 150x). Message: closing BTC to play safe because too many trades are running, will long again after the daily close.</t>
  </si>
  <si>
    <t xml:space="preserve">Closing BTC here, will long again after daily closing better play safe too many trades running.
@Paladin Notify</t>
  </si>
  <si>
    <t xml:space="preserve">117_2026-06-01_211212_blofin_1780337435742.png</t>
  </si>
  <si>
    <t xml:space="preserve">https://discord.com/channels/1042855255089623100/1501271173588193290/1511069875475583046</t>
  </si>
  <si>
    <t xml:space="preserve">21:18:51</t>
  </si>
  <si>
    <t xml:space="preserve">RAYUSDT</t>
  </si>
  <si>
    <t xml:space="preserve">RAY</t>
  </si>
  <si>
    <t xml:space="preserve">Blofin 'Buy 20X' = long at 20x (much lower leverage than his usual 75-150x). Mark Price shown so still open at share time; message says he is taking TP here because TP1 was missed by 0.0001.</t>
  </si>
  <si>
    <t xml:space="preserve">Taking TP here, TP1 missed by 0.0001 🫩
@Paladin Notify</t>
  </si>
  <si>
    <t xml:space="preserve">118_2026-06-01_211851_blofin_1780337845869.png</t>
  </si>
  <si>
    <t xml:space="preserve">https://discord.com/channels/1042855255089623100/1501271173588193290/1511071550055514112</t>
  </si>
  <si>
    <t xml:space="preserve">22:21:47</t>
  </si>
  <si>
    <t xml:space="preserve">BNBUSDT</t>
  </si>
  <si>
    <t xml:space="preserve">Blofin 'Buy 75X' = long at 75x; Mark Price shown so still open. Message: 'nearly 1R up', take TP whenever happy, he is aiming for 700+.</t>
  </si>
  <si>
    <t xml:space="preserve">BNB nearly 1R up, take TP whenever happy I'm trying for 700+</t>
  </si>
  <si>
    <t xml:space="preserve">119_2026-06-01_222147_blofin_1780341649462.png</t>
  </si>
  <si>
    <t xml:space="preserve">https://discord.com/channels/1042855255089623100/1501271173588193290/1511087386090799164</t>
  </si>
  <si>
    <t xml:space="preserve">23:24:24</t>
  </si>
  <si>
    <t xml:space="preserve">Same BNB long as image 119 (entry 676.49), one hour later with mark 701.97 (above his 700 target). Message: up 1.2R, take only 10-20%, keep the majority.</t>
  </si>
  <si>
    <t xml:space="preserve">Up 1.2R take 10-20% only, save MAJORITY!
@Paladin Notify</t>
  </si>
  <si>
    <t xml:space="preserve">120_2026-06-01_232424_blofin_1780345373438.png</t>
  </si>
  <si>
    <t xml:space="preserve">https://discord.com/channels/1042855255089623100/1501271173588193290/1511103142903676929</t>
  </si>
  <si>
    <t xml:space="preserve">2026-06-02</t>
  </si>
  <si>
    <t xml:space="preserve">07:06:26</t>
  </si>
  <si>
    <t xml:space="preserve">XPLUSDT</t>
  </si>
  <si>
    <t xml:space="preserve">XPL</t>
  </si>
  <si>
    <t xml:space="preserve">Blofin 'Buy 75X' = long at 75x. Close Price shown, so closed - message says the TP finally hit for 0.8R and he is done with this coin even though it looks 'very pumpy'.</t>
  </si>
  <si>
    <t xml:space="preserve">Finally TP hit, 0.8 R, XPL looks very pumpy now but I'm done with this coin.
@Paladin Notify</t>
  </si>
  <si>
    <t xml:space="preserve">121_2026-06-02_070626_blofin_1780373072392.png</t>
  </si>
  <si>
    <t xml:space="preserve">https://discord.com/channels/1042855255089623100/1501271173588193290/1511219416782737429</t>
  </si>
  <si>
    <t xml:space="preserve">2026-06-03</t>
  </si>
  <si>
    <t xml:space="preserve">09:11:21</t>
  </si>
  <si>
    <t xml:space="preserve">NEARUSDT</t>
  </si>
  <si>
    <t xml:space="preserve">NEAR</t>
  </si>
  <si>
    <t xml:space="preserve">Blofin 'Buy 75X' = long at 75x; Mark Price shown so still open. Message: '1R up', take 50% here, he will close in full around 3.</t>
  </si>
  <si>
    <t xml:space="preserve">NEAR 1R up if anyone tried a long on it, take 50% here, I close full around 3
@Paladin Notify</t>
  </si>
  <si>
    <t xml:space="preserve">122_2026-06-03_091121_blofin_1780466878597.png</t>
  </si>
  <si>
    <t xml:space="preserve">https://discord.com/channels/1042855255089623100/1501271173588193290/1511613242999308458</t>
  </si>
  <si>
    <t xml:space="preserve">13:55:38</t>
  </si>
  <si>
    <t xml:space="preserve">Blofin 'WOW War of Whales 2026' share card, shown as 'Buy 75X'. Close price is about +9.6% above entry, which at 75x gives the +720.77% ROI printed on the card. Referral code DwquXN.</t>
  </si>
  <si>
    <t xml:space="preserve">TP hit, Fully exiting NEAR if someone took and held, pumped exactly 10% as mentioned!
@Paladin Notify</t>
  </si>
  <si>
    <t xml:space="preserve">123_2026-06-03_135538_blofin_1780484078843.png</t>
  </si>
  <si>
    <t xml:space="preserve">https://discord.com/channels/1042855255089623100/1501271173588193290/1511684787004248166</t>
  </si>
  <si>
    <t xml:space="preserve">18:11:49</t>
  </si>
  <si>
    <t xml:space="preserve">DEXEUSDT</t>
  </si>
  <si>
    <t xml:space="preserve">DEXE</t>
  </si>
  <si>
    <t xml:space="preserve">Blofin WOW share card shown as 'Sell 50X' with Mark Price (position still open). Mark 19.540 is about 9.1% below entry, x50 = the +457.11% printed.</t>
  </si>
  <si>
    <t xml:space="preserve">Up 1.1R if you wanna trim some but take maximum 25%-30% keep majority!</t>
  </si>
  <si>
    <t xml:space="preserve">124_2026-06-03_181149_blofin_1780499470532.png</t>
  </si>
  <si>
    <t xml:space="preserve">https://discord.com/channels/1042855255089623100/1501271173588193290/1511749257483386990</t>
  </si>
  <si>
    <t xml:space="preserve">19:06:17</t>
  </si>
  <si>
    <t xml:space="preserve">Same DEXEUSDT 'Sell 50X' position as the earlier card (entry 21.506), now at mark 18.618 (+671.43%). Still shows Mark Price, so still open at card time. Referral code DwquXN.</t>
  </si>
  <si>
    <t xml:space="preserve">Up 1.6R, I'm removing my TP @ 18 and will close manually, trying for a 3R or around 17.5 on this
Also move BTC SL to 65k
Gold moved 1R as well.
@Paladin Notify</t>
  </si>
  <si>
    <t xml:space="preserve">125_2026-06-03_190617_blofin_1780502702701.png</t>
  </si>
  <si>
    <t xml:space="preserve">https://discord.com/channels/1042855255089623100/1501271173588193290/1511762963021824001</t>
  </si>
  <si>
    <t xml:space="preserve">19:47:24</t>
  </si>
  <si>
    <t xml:space="preserve">Final card for the DEXEUSDT 'Sell 50X' trade: Close Price 18.530 (about 13.8% below entry 21.506, x50 = +692.03%). Referral code DwquXN.</t>
  </si>
  <si>
    <t xml:space="preserve">Closed DEXE fully here for +1.6 R, no partials full R
@Paladin Notify</t>
  </si>
  <si>
    <t xml:space="preserve">126_2026-06-03_194724_blofin_1780505144817.png</t>
  </si>
  <si>
    <t xml:space="preserve">https://discord.com/channels/1042855255089623100/1501271173588193290/1511773310231384267</t>
  </si>
  <si>
    <t xml:space="preserve">2026-06-04</t>
  </si>
  <si>
    <t xml:space="preserve">08:52:37</t>
  </si>
  <si>
    <t xml:space="preserve">Closed-position share card: 'BTCUSDT Perpetual', 'Long | 250X', Avg Entry Price $63,094.1, Avg Close Price $64,082.2, +363.26%. Layout (and 250x leverage) matches a MEXC share card; branding is cropped out.</t>
  </si>
  <si>
    <t xml:space="preserve">Closing here for 0.5R, I went heavy
@Paladin Notify</t>
  </si>
  <si>
    <t xml:space="preserve">128_2026-06-04_085237_Screenshot_20260604-105055.png</t>
  </si>
  <si>
    <t xml:space="preserve">https://discord.com/channels/1042855255089623100/1501271173588193290/1511970914877833256</t>
  </si>
  <si>
    <t xml:space="preserve">15:33:44</t>
  </si>
  <si>
    <t xml:space="preserve">Card header reads 'Closed PNL'. Right side has a small sparkline with a green 'B' marker at a dip and a red 'S' marker higher up the line (bought low, sold higher). No prices visible in this crop.</t>
  </si>
  <si>
    <t xml:space="preserve">Closing BTC @ 63.6k with a DCA in, good gains for a scalp!
@Paladin Notify</t>
  </si>
  <si>
    <t xml:space="preserve">129_2026-06-04_153344_Screenshot_20260604-173148.png</t>
  </si>
  <si>
    <t xml:space="preserve">https://discord.com/channels/1042855255089623100/1501271173588193290/1512071862262300896</t>
  </si>
  <si>
    <t xml:space="preserve">15:54:49</t>
  </si>
  <si>
    <t xml:space="preserve">Blofin WOW card shown as 'Buy 141X' (unusual non-round leverage, consistent with a DCA-averaged position). Close is ~1.37% above entry, x141 = +192.56% as printed. Referral code DwquXN.</t>
  </si>
  <si>
    <t xml:space="preserve">130_2026-06-04_155449_Screenshot_20260604-175436.png</t>
  </si>
  <si>
    <t xml:space="preserve">https://discord.com/channels/1042855255089623100/1501271173588193290/1512077166039273542</t>
  </si>
  <si>
    <t xml:space="preserve">2026-06-08</t>
  </si>
  <si>
    <t xml:space="preserve">01:22:14</t>
  </si>
  <si>
    <t xml:space="preserve">Card reads 'Close Long | 250X' (closed position card). No prices in the crop.</t>
  </si>
  <si>
    <t xml:space="preserve">Guys patience fkin paid off, I took 100% at  64.1k 
@Paladin Notify</t>
  </si>
  <si>
    <t xml:space="preserve">131_2026-06-08_012214_Screenshot_20260608-032115.png</t>
  </si>
  <si>
    <t xml:space="preserve">https://discord.com/channels/1042855255089623100/1501271173588193290/1513307123797196841</t>
  </si>
  <si>
    <t xml:space="preserve">01:24:15</t>
  </si>
  <si>
    <t xml:space="preserve">Only a red 'S' (sell execution) marker is visible, placed at the very top of the spike wick labelled 64,247.0; the exact fill price is not labelled. Per the accompanying message this is the 100% close of his long at ~64k. The '500x' badge in the header is the contract's maximum leverage, not his position leverage (the matching card shows 250X).</t>
  </si>
  <si>
    <t xml:space="preserve">Caught a 2k move without any partials, 3rd win on BTC in a row 🎯 
Just to show I didn't take partials, straight away booked at top @ 64!</t>
  </si>
  <si>
    <t xml:space="preserve">132_2026-06-08_012415_Screenshot_20260608-032322.png</t>
  </si>
  <si>
    <t xml:space="preserve">https://discord.com/channels/1042855255089623100/1501271173588193290/1513307633908580482</t>
  </si>
  <si>
    <t xml:space="preserve">05:39:15</t>
  </si>
  <si>
    <t xml:space="preserve">Blofin draws a dotted 'Breakeven Price 20.600' line on the chart, which indicates an open DEXEUSDT position with breakeven at 20.600 (entry not shown; breakeven is entry adjusted for fees). The side is not displayed on the chart; 'short' is taken from his message ('should dump now'). Last 20.361 / mark 20.382 is just below breakeven, i.e. the short is roughly flat.</t>
  </si>
  <si>
    <t xml:space="preserve">Damn what a scam wick, should dump now!</t>
  </si>
  <si>
    <t xml:space="preserve">133_2026-06-08_053915_Screenshot_20260608-073844.png</t>
  </si>
  <si>
    <t xml:space="preserve">https://discord.com/channels/1042855255089623100/1501271173588193290/1513371804536799262</t>
  </si>
  <si>
    <t xml:space="preserve">2026-06-09</t>
  </si>
  <si>
    <t xml:space="preserve">11:14:10</t>
  </si>
  <si>
    <t xml:space="preserve">Blofin WOW card shown as 'Sell 25X' with Mark Price (open). Entry printed as 4.2000, mark 3.7131 (about -11.6%, x25 = +289.79%). Referral code DwquXN.</t>
  </si>
  <si>
    <t xml:space="preserve">Moved 2.5R, rn at 1.8R, I was asleep, take profits where happy I'll update where I close
@Paladin Notify</t>
  </si>
  <si>
    <t xml:space="preserve">134_2026-06-09_111410_blofin_1780992787707.png</t>
  </si>
  <si>
    <t xml:space="preserve">https://discord.com/channels/1042855255089623100/1501271173588193290/1513818476433641482</t>
  </si>
  <si>
    <t xml:space="preserve">13:54:22</t>
  </si>
  <si>
    <t xml:space="preserve">Card reads 'Close Short | 250X' (closed position card). No prices in the crop.</t>
  </si>
  <si>
    <t xml:space="preserve">Closing BTC in small profits @ 62.6k, keeps missing DCA and keeps coming back to entry.
4th win a row on BTC though 
@Paladin Notify</t>
  </si>
  <si>
    <t xml:space="preserve">135_2026-06-09_135422_Screenshot_20260609-155306.png</t>
  </si>
  <si>
    <t xml:space="preserve">https://discord.com/channels/1042855255089623100/1501271173588193290/1513858795388796938</t>
  </si>
  <si>
    <t xml:space="preserve">2026-06-10</t>
  </si>
  <si>
    <t xml:space="preserve">15:34:11</t>
  </si>
  <si>
    <t xml:space="preserve">Card reads 'Long | 150x' (no 'Close' prefix, position still open at +122.20%). No prices in the crop. Per the message the first TP is at 62460; the later card (image 139) shows the close average and the message there says the long was from 61.1k.</t>
  </si>
  <si>
    <t xml:space="preserve">Pump it boys, first TP @ 62460</t>
  </si>
  <si>
    <t xml:space="preserve">137_2026-06-10_153411_Screenshot_20260610-173325.png</t>
  </si>
  <si>
    <t xml:space="preserve">https://discord.com/channels/1042855255089623100/1501271173588193290/1514246300990705724</t>
  </si>
  <si>
    <t xml:space="preserve">16:50:44</t>
  </si>
  <si>
    <t xml:space="preserve">Same BTCUSDT 'Long | 150x' card about 75 minutes after image 137, now +290.59%. Still no 'Close' prefix; per the message TP1 was hit and the majority is still held for 63k+.</t>
  </si>
  <si>
    <t xml:space="preserve">TP1 hit on BTC, saving majority for 63k+
@Paladin Notify</t>
  </si>
  <si>
    <t xml:space="preserve">138_2026-06-10_165044_Screenshot_20260610-185007.png</t>
  </si>
  <si>
    <t xml:space="preserve">https://discord.com/channels/1042855255089623100/1501271173588193290/1514265566007787582</t>
  </si>
  <si>
    <t xml:space="preserve">19:03:48</t>
  </si>
  <si>
    <t xml:space="preserve">Only the single line 'Avg Close Price $62,668.4' of a closed-position card is visible. Symbol and side are not in the crop and are taken from the accompanying message (BTC long from 61.1k closed 25% at 62460 and 75% at 62700); this card is the follow-up to the 150x long in images 137/138.</t>
  </si>
  <si>
    <t xml:space="preserve">Took 25% at 62460 75% remaining 62700, long was from 61.1k
Will look to short around 63.2-64k now</t>
  </si>
  <si>
    <t xml:space="preserve">139_2026-06-10_190348_Screenshot_20260610-2102042.png</t>
  </si>
  <si>
    <t xml:space="preserve">https://discord.com/channels/1042855255089623100/1501271173588193290/1514299054660780142</t>
  </si>
  <si>
    <t xml:space="preserve">2026-06-11</t>
  </si>
  <si>
    <t xml:space="preserve">03:12:20</t>
  </si>
  <si>
    <t xml:space="preserve">ALLOUSDT</t>
  </si>
  <si>
    <t xml:space="preserve">ALLO</t>
  </si>
  <si>
    <t xml:space="preserve">Card reads 'Short | 100X' with +1,037.04% (no 'Close' prefix, still open per the message 'Holding this'). No prices in the crop. Message targets a drop to 0.33-0.36 at least.</t>
  </si>
  <si>
    <t xml:space="preserve">Holding this, moved 1.5R for me, probably 3-6 RR for the ones with better entry, let's hope it drops to 0.33-0.36 at least</t>
  </si>
  <si>
    <t xml:space="preserve">140_2026-06-11_031220_Screenshot_20260611-051129.png</t>
  </si>
  <si>
    <t xml:space="preserve">https://discord.com/channels/1042855255089623100/1501271173588193290/1514421997587922964</t>
  </si>
  <si>
    <t xml:space="preserve">07:01:21</t>
  </si>
  <si>
    <t xml:space="preserve">INJUSDT</t>
  </si>
  <si>
    <t xml:space="preserve">INJ</t>
  </si>
  <si>
    <t xml:space="preserve">Tight crop of a Blofin-style share card: 'INJUSDT Perp', green 'Buy 75X', '+216.11%'. The entry/mark price lines are cropped out. Status 'open' per the message (took 25% at 5.3, SL not moved yet, rest still held).</t>
  </si>
  <si>
    <t xml:space="preserve">INJ moved 1R after filling but was too quick TP TP, I took 25% at 5.3 but didn't move any SL yet
@Paladin Notify</t>
  </si>
  <si>
    <t xml:space="preserve">141_2026-06-11_070121_Screenshot_20260611-090010.png</t>
  </si>
  <si>
    <t xml:space="preserve">https://discord.com/channels/1042855255089623100/1501271173588193290/1514479630168490055</t>
  </si>
  <si>
    <t xml:space="preserve">11:37:06</t>
  </si>
  <si>
    <t xml:space="preserve">Byte-identical re-post of the image 141 crop ('INJUSDT Perp', 'Buy 75X', '+216.11%'), so the +216.11% is the earlier snapshot, not the ROI at the full close. Status 'closed' per the message only (closing INJ fully at 5.28 after the DCA filled).</t>
  </si>
  <si>
    <t xml:space="preserve">Closing INJ fully here @ 5.28, it's lagging now + DCA is filled so I'm happy with profits 
@Paladin Notify</t>
  </si>
  <si>
    <t xml:space="preserve">142_2026-06-11_113706_Screenshot_20260611-090010.png</t>
  </si>
  <si>
    <t xml:space="preserve">https://discord.com/channels/1042855255089623100/1501271173588193290/1514549024332578850</t>
  </si>
  <si>
    <t xml:space="preserve">11:40:04</t>
  </si>
  <si>
    <t xml:space="preserve">Card is headed 'Closed PNL'; only pair, side, leverage and ROI are inside the crop. Small sparkline on the right with a green 'B' marker at a trough and a red 'S' marker near the top of the line at the right end, i.e. bought the low and sold near the high of the move. Exchange template is the MEXC-style one (no logo in crop).</t>
  </si>
  <si>
    <t xml:space="preserve">And I TPed on BTC almost @ 63k (62946), DCA missed by 50$ so I'm just taking it here.
7/7 wins on BTC 
@Paladin Notify</t>
  </si>
  <si>
    <t xml:space="preserve">143_2026-06-11_114004_Screenshot_20260611-133813.png</t>
  </si>
  <si>
    <t xml:space="preserve">https://discord.com/channels/1042855255089623100/1501271173588193290/1514549772264935495</t>
  </si>
  <si>
    <t xml:space="preserve">11:41:33</t>
  </si>
  <si>
    <t xml:space="preserve">Only pair, side, leverage ('150x', lowercase x) and ROI are in the crop; no entry/close/mark price and no open/closed label.</t>
  </si>
  <si>
    <t xml:space="preserve">144_2026-06-11_114133_Screenshot_20260611-134111.png</t>
  </si>
  <si>
    <t xml:space="preserve">https://discord.com/channels/1042855255089623100/1501271173588193290/1514550145273040969</t>
  </si>
  <si>
    <t xml:space="preserve">11:55:51</t>
  </si>
  <si>
    <t xml:space="preserve">Cropped card: no entry/mark/close price or status label visible. The accompanying message says he was still holding ALLO, targeting a full 2R+ take-profit or a stop loss, so the position was open when posted. MEXC-style template (no logo in crop).</t>
  </si>
  <si>
    <t xml:space="preserve">I hope someone's still holding ALLO with me, 2R+ full or a SL.</t>
  </si>
  <si>
    <t xml:space="preserve">145_2026-06-11_115551_Screenshot_20260611-135528.png</t>
  </si>
  <si>
    <t xml:space="preserve">https://discord.com/channels/1042855255089623100/1501271173588193290/1514553744803496068</t>
  </si>
  <si>
    <t xml:space="preserve">20:54:33</t>
  </si>
  <si>
    <t xml:space="preserve">Blofin 'WOW War of Whales 2026' share card of an open position ('Buy 125X', Mark Price shown). Referral Code DwquXN, card time 06-11 22:51:18, QR code bottom right. Entry displayed as 63.30.</t>
  </si>
  <si>
    <t xml:space="preserve">SOL up 1.5R, can take a small TP, already SL at entry, will fully exit at 68
@Paladin Notify</t>
  </si>
  <si>
    <t xml:space="preserve">146_2026-06-11_205433_blofin_1781200278181.png</t>
  </si>
  <si>
    <t xml:space="preserve">https://discord.com/channels/1042855255089623100/1501271173588193290/1514689313202241567</t>
  </si>
  <si>
    <t xml:space="preserve">22:38:19</t>
  </si>
  <si>
    <t xml:space="preserve">Label 'Close Long | 250X' (closed position). ROI shown with one decimal (+363.9%). No prices in the crop. MEXC-style template (no logo in crop).</t>
  </si>
  <si>
    <t xml:space="preserve">Fully closed BTC here at 63.8k, going to sleep, if you want to keep it, 25% here and remaining 50% @ 64-64.2k
@Paladin Notify</t>
  </si>
  <si>
    <t xml:space="preserve">147_2026-06-11_223819_Screenshot_20260612-003632.png</t>
  </si>
  <si>
    <t xml:space="preserve">https://discord.com/channels/1042855255089623100/1501271173588193290/1514715424808501520</t>
  </si>
  <si>
    <t xml:space="preserve">22:42:56</t>
  </si>
  <si>
    <t xml:space="preserve">Byte-identical re-post of the card posted at 22:38 (file 147): 'Close Long | 250X', +363.9%. No prices in the crop. MEXC-style template (no logo in crop).</t>
  </si>
  <si>
    <t xml:space="preserve">All from today, GG's!
Made 3.2R today, that's realized without any partials, I don't take partials!</t>
  </si>
  <si>
    <t xml:space="preserve">148_2026-06-11_224256_Screenshot_20260612-003632.png</t>
  </si>
  <si>
    <t xml:space="preserve">https://discord.com/channels/1042855255089623100/1501271173588193290/1514716586450358364</t>
  </si>
  <si>
    <t xml:space="preserve">Blofin 'WOW War of Whales 2026' share card of the closed SOL long ('Buy 125X', Close Price shown). Same entry (63.30) as the open-position card posted at 20:54 (file 146); closed at 67.24 instead of the 68 target mentioned earlier. Referral Code DwquXN, card time 06-11 23:16:35, QR code bottom right.</t>
  </si>
  <si>
    <t xml:space="preserve">149_2026-06-11_224256_blofin_1781201795709.png</t>
  </si>
  <si>
    <t xml:space="preserve">Byte-identical re-post of the 11:55 screenshot (file 145). The +762.19% is the ROI at the time of the original screenshot (while the short was still open), not necessarily the final realized ROI; the recap message says the day's results were realized. No prices or status label in the crop. MEXC-style template (no logo in crop).</t>
  </si>
  <si>
    <t xml:space="preserve">150_2026-06-11_224256_Screenshot_20260611-135528.png</t>
  </si>
  <si>
    <t xml:space="preserve">Tiny crop of a Blofin-style card ('INJUSDT Perp', 'Buy 75X' in Blofin teal). No entry/close/mark price or status label visible. Original screenshot was taken at 09:00 on 06-11 (phone time) and re-used in the evening recap.</t>
  </si>
  <si>
    <t xml:space="preserve">151_2026-06-11_224256_Screenshot_20260611-0900102.png</t>
  </si>
  <si>
    <t xml:space="preserve">2026-06-12</t>
  </si>
  <si>
    <t xml:space="preserve">18:30:03</t>
  </si>
  <si>
    <t xml:space="preserve">Label 'Close Long | 250X' (closed position). No prices in the crop. MEXC-style template (no logo in crop).</t>
  </si>
  <si>
    <t xml:space="preserve">Remaining at 64900 if you're holding!</t>
  </si>
  <si>
    <t xml:space="preserve">152_2026-06-12_183003_Screenshot_20260612-202753.png</t>
  </si>
  <si>
    <t xml:space="preserve">https://discord.com/channels/1042855255089623100/1501271173588193290/1515015334112006316</t>
  </si>
  <si>
    <t xml:space="preserve">21:06:29</t>
  </si>
  <si>
    <t xml:space="preserve">BloFin logo visible top-left. 'Buy 150X'. No entry/close/mark price or status label in the crop. Posted as one of the cards backing the '10 win streak on BTC scalps' claim (screenshot taken 23:05:34 phone time, seconds apart from files 154-155).</t>
  </si>
  <si>
    <t xml:space="preserve">And for your information, we have a 10 win streak on BTC scalps :Meme1HappySunglass: 
@Paladin Notify</t>
  </si>
  <si>
    <t xml:space="preserve">153_2026-06-12_210629_Screenshot_20260612-230534.png</t>
  </si>
  <si>
    <t xml:space="preserve">https://discord.com/channels/1042855255089623100/1501271173588193290/1515054704759935096</t>
  </si>
  <si>
    <t xml:space="preserve">BloFin logo visible top-left. 'Buy 150X'. No entry/close/mark price or status label in the crop. Posted as one of the cards backing the '10 win streak on BTC scalps' claim (screenshot taken 23:05:19 phone time).</t>
  </si>
  <si>
    <t xml:space="preserve">154_2026-06-12_210629_Screenshot_20260612-230519.png</t>
  </si>
  <si>
    <t xml:space="preserve">BloFin logo visible top-left. 'Buy 150X'. No entry/close/mark price or status label in the crop. Posted as one of the cards backing the '10 win streak on BTC scalps' claim (screenshot taken 23:04:59 phone time).</t>
  </si>
  <si>
    <t xml:space="preserve">155_2026-06-12_210629_Screenshot_20260612-230459.png</t>
  </si>
  <si>
    <t xml:space="preserve">Closed-trade card showing 'Avg Entry Price $63,477.6' and 'Avg Close Price $64,252.2'. Sparkline: 'B' marker at the start, price rallied, chopped, dipped below the entry level, then rallied sharply to the 'S' marker at the top right, i.e. held through a drawdown and closed near the high. MEXC-style template (no logo in crop).</t>
  </si>
  <si>
    <t xml:space="preserve">156_2026-06-12_210629_Screenshot_20260612-230322.png</t>
  </si>
  <si>
    <t xml:space="preserve">Closed-trade card showing 'Avg Entry Price $62,805' and 'Avg Close Price $63,582.5'. Sparkline: 'B' marker at the start, price chopped and dropped below entry, then rallied strongly, pulled back slightly and closed at the 'S' marker near the high. MEXC-style template (no logo in crop).</t>
  </si>
  <si>
    <t xml:space="preserve">157_2026-06-12_210629_Screenshot_20260612-230302.png</t>
  </si>
  <si>
    <t xml:space="preserve">Closed-trade card with badge 'Low-fee saved you: 3.4362 USDT' (fee saving, not PnL). 'Avg Entry Price $62,141.4', 'Avg Close Price $62,668.4'. Sparkline: 'B' marker at the top-left, price dropped sharply well below entry, recovered partially, chopped, then rallied to the 'S' marker at roughly the entry level's height on the right. MEXC-style template (no logo in crop).</t>
  </si>
  <si>
    <t xml:space="preserve">158_2026-06-12_210629_Screenshot_20260612-230231.png</t>
  </si>
  <si>
    <t xml:space="preserve">Closed SHORT card (the only short in the set) with badge 'Low-fee saved you: 2.0986 USDT'. 'Avg Entry Price $63,068', 'Avg Close Price $62,699.6'. Sparkline: 'B' (entry) marker mid-left, price first rallied well above the entry (against the short), then fell below it, bounced, and fell again to the 'S' (close) marker at the lower right. MEXC-style template (no logo in crop).</t>
  </si>
  <si>
    <t xml:space="preserve">159_2026-06-12_210629_Screenshot_20260612-230213.png</t>
  </si>
  <si>
    <t xml:space="preserve">Closed-trade card, the largest ROI of the set. 'Avg Entry Price $62,314.4', 'Avg Close Price $63,552.2'. Sparkline: 'B' marker at the top-left, price fell steeply far below entry, chopped sideways, then rallied, dipped, and closed at the 'S' marker at the top right. MEXC-style template (no logo in crop).</t>
  </si>
  <si>
    <t xml:space="preserve">160_2026-06-12_210629_Screenshot_20260612-230155.png</t>
  </si>
  <si>
    <t xml:space="preserve">Closed-trade card. 'Avg Entry Price $63,094.1', 'Avg Close Price $64,082.2'. Sparkline: 'B' marker mid-left, price dipped below entry, then trended up in steps to a peak, pulled back and closed at the 'S' marker slightly below the peak. Same trade as file 162 (identical numbers, separate screenshot). MEXC-style template (no logo in crop).</t>
  </si>
  <si>
    <t xml:space="preserve">161_2026-06-12_210629_Screenshot_20260612-230127.png</t>
  </si>
  <si>
    <t xml:space="preserve">Closed-trade card with exactly the same values as file 161 (+363.26%, avg entry $63,094.1, avg close $64,082.2) — a second, slightly different screenshot of the same trade. Sparkline: 'B' mid-left, dip below entry, stepped rally to a peak, pullback, 'S' just below the peak. MEXC-style template (no logo in crop).</t>
  </si>
  <si>
    <t xml:space="preserve">162_2026-06-12_210629_Screenshot_20260612-230036.png</t>
  </si>
  <si>
    <t xml:space="preserve">2026-06-13</t>
  </si>
  <si>
    <t xml:space="preserve">16:14:38</t>
  </si>
  <si>
    <t xml:space="preserve">Card header reads 'Close Long | 250X' (closed-position card). Entry and close prices are cropped out of the screenshot.</t>
  </si>
  <si>
    <t xml:space="preserve">BTC almost at TP 40% closed here (64.2k) remaining @ 64.5k
@Paladin Notify</t>
  </si>
  <si>
    <t xml:space="preserve">163_2026-06-13_161438_Screenshot_20260613-181331.png</t>
  </si>
  <si>
    <t xml:space="preserve">https://discord.com/channels/1042855255089623100/1501271173588193290/1515343642909347971</t>
  </si>
  <si>
    <t xml:space="preserve">2026-06-15</t>
  </si>
  <si>
    <t xml:space="preserve">00:29:25</t>
  </si>
  <si>
    <t xml:space="preserve">Header reads 'Long | 250X' (not 'Close Long'), which on this template indicates a still-open position. Avg Entry Price $63,094.1. Sparkline shows a green 'B' marker near the start and a red 'S' marker at the end of the line. The line below 'Avg Entry Price' (close/fair price) is cut off.</t>
  </si>
  <si>
    <t xml:space="preserve">164_2026-06-15_002925_Screenshot_20260615-022855.png</t>
  </si>
  <si>
    <t xml:space="preserve">https://discord.com/channels/1042855255089623100/1501271173588193290/1515830549816807464</t>
  </si>
  <si>
    <t xml:space="preserve">00:29:37</t>
  </si>
  <si>
    <t xml:space="preserve">OIL(WTI)USDT</t>
  </si>
  <si>
    <t xml:space="preserve">OIL(WTI)</t>
  </si>
  <si>
    <t xml:space="preserve">Card header reads 'Close Short | 100X' (closed-position card). Entry and close prices cropped out. Symbol written as OIL(WTI)USDT Perpetual on the card (WTI crude oil perpetual).</t>
  </si>
  <si>
    <t xml:space="preserve">165_2026-06-15_002937_Screenshot_20260615-022623.png</t>
  </si>
  <si>
    <t xml:space="preserve">https://discord.com/channels/1042855255089623100/1501271173588193290/1515830600559493281</t>
  </si>
  <si>
    <t xml:space="preserve">00:48:17</t>
  </si>
  <si>
    <t xml:space="preserve">LTCUSDT</t>
  </si>
  <si>
    <t xml:space="preserve">LTC</t>
  </si>
  <si>
    <t xml:space="preserve">45-46 (by tomorrow if we get a pump); 48 (in coming days if deal is done)</t>
  </si>
  <si>
    <t xml:space="preserve">Symbol is NOT visible in the image; the accompanying Discord message says this was his advice to Allan about longing LTC. Text: 'struggling around daily resistance but I think you can see 45-46 by tomorrow if we get a pump, 48 in coming days, if deal is done. Struggling rn but I would try a long, 4h' (4h timeframe). Catalyst: expected peace-deal signing in Geneva, '80% chances happens this Sunday'.</t>
  </si>
  <si>
    <t xml:space="preserve">Yesterday @Allan asked if he should long LTC, I mentioned go for it, we are gonna get a news and break it's resistance</t>
  </si>
  <si>
    <t xml:space="preserve">167_2026-06-15_004817_Screenshot_20260615-024522.png</t>
  </si>
  <si>
    <t xml:space="preserve">https://discord.com/channels/1042855255089623100/1501271173588193290/1515835294291722241</t>
  </si>
  <si>
    <t xml:space="preserve">14:36:32</t>
  </si>
  <si>
    <t xml:space="preserve">PYTHUSDT</t>
  </si>
  <si>
    <t xml:space="preserve">PYTH</t>
  </si>
  <si>
    <t xml:space="preserve">Blofin 'WOW War of Whales 2026' card: PYTHUSDT Perp, Buy 75X. Entry Price 0.03910, Close Price 0.04062. Referral Code DwquXN.</t>
  </si>
  <si>
    <t xml:space="preserve">Closed PYTH publicly just to see it flying 🤡</t>
  </si>
  <si>
    <t xml:space="preserve">168_2026-06-15_143632_blofin_1781523356757.png</t>
  </si>
  <si>
    <t xml:space="preserve">https://discord.com/channels/1042855255089623100/1501271173588193290/1516043732485669025</t>
  </si>
  <si>
    <t xml:space="preserve">2026-06-16</t>
  </si>
  <si>
    <t xml:space="preserve">00:12:39</t>
  </si>
  <si>
    <t xml:space="preserve">Blofin 'WOW War of Whales 2026' card: RENDERUSDT Perp, Buy 90X. Entry Price 1.761, Close Price 1.779. Referral Code DwquXN.</t>
  </si>
  <si>
    <t xml:space="preserve">Guys I close RENDER, we went at 1R but really thought this could pump but AI coins lagged today, sorry for the round trip but better than hitting BE
XMR is doing great will TP around 390-400$
I added a bit more margin to BTC, I think we can get at least 65k region</t>
  </si>
  <si>
    <t xml:space="preserve">170_2026-06-16_001239_blofin_1781557851066.png</t>
  </si>
  <si>
    <t xml:space="preserve">https://discord.com/channels/1042855255089623100/1501271173588193290/1516188718443004045</t>
  </si>
  <si>
    <t xml:space="preserve">17:36:35</t>
  </si>
  <si>
    <t xml:space="preserve">Card header reads 'Close Short | 250X' (closed-position card). Entry and close prices cropped out. His post says TP hit for 0.5R and that after adding, his average entry was 66.2k.</t>
  </si>
  <si>
    <t xml:space="preserve">Guys TP hit, 0.5R, added earlier so avg was 66.2k
@Paladin Notify</t>
  </si>
  <si>
    <t xml:space="preserve">171_2026-06-16_173635_Screenshot_20260616-193547.png</t>
  </si>
  <si>
    <t xml:space="preserve">https://discord.com/channels/1042855255089623100/1501271173588193290/1516451433116078161</t>
  </si>
  <si>
    <t xml:space="preserve">17:54:03</t>
  </si>
  <si>
    <t xml:space="preserve">Blofin 'WOW War of Whales 2026' card: BTCUSDT Perp, Sell 150X. Entry Price 67,119.9, Close Price 65,634.5. Referral Code DwquXN.</t>
  </si>
  <si>
    <t xml:space="preserve">Had a sniper entry on my other exchange but nonetheless we exit with decent profits
12/12 BTC wins this month.</t>
  </si>
  <si>
    <t xml:space="preserve">172_2026-06-16_175403_blofin_1781620833425.png</t>
  </si>
  <si>
    <t xml:space="preserve">https://discord.com/channels/1042855255089623100/1501271173588193290/1516455826758303744</t>
  </si>
  <si>
    <t xml:space="preserve">18:10:38</t>
  </si>
  <si>
    <t xml:space="preserve">Spot holding, not a leveraged trade: embedded share card shows 'HYPE +21.66% Avg. Buy Price $60' (exchange of the card not branded). Accompanying post gives targets: short-term 83-84, then 90-100 'very soon'; advises adding on every $10 drop.</t>
  </si>
  <si>
    <t xml:space="preserve">Apart from this one coin I recommend buying in spot is HYPE, I'm holding since 60, just add some on every 10$ drop
Some people asked in my DMs about spot recommendations I mentioned, especially to @Sal Trades  one of the guys I advised to get HYPE when it was 60
Really thinks this goes 90-100 very soon and next short term target would be 83-84
@Paladin Notify</t>
  </si>
  <si>
    <t xml:space="preserve">174_2026-06-16_181038_Screenshot_20260616-200836.png</t>
  </si>
  <si>
    <t xml:space="preserve">https://discord.com/channels/1042855255089623100/1501271173588193290/1516459999537139743</t>
  </si>
  <si>
    <t xml:space="preserve">22:54:59</t>
  </si>
  <si>
    <t xml:space="preserve">PORTALUSDT</t>
  </si>
  <si>
    <t xml:space="preserve">PORTAL</t>
  </si>
  <si>
    <t xml:space="preserve">Blofin 'WOW War of Whales 2026' card: PORTALUSDT Perp, Sell 10X. Entry Price 0.01631, Mark Price 0.01515 (position still open). Referral Code DwquXN. Per his post: 0.8R up, taking 50% here and moving SL to break-even.</t>
  </si>
  <si>
    <t xml:space="preserve">0.8R up, 50% here, SL to BE
@Paladin Notify</t>
  </si>
  <si>
    <t xml:space="preserve">175_2026-06-16_225459_blofin_1781639630846.png</t>
  </si>
  <si>
    <t xml:space="preserve">https://discord.com/channels/1042855255089623100/1501271173588193290/1516531559526568116</t>
  </si>
  <si>
    <t xml:space="preserve">2026-06-17</t>
  </si>
  <si>
    <t xml:space="preserve">04:40:49</t>
  </si>
  <si>
    <t xml:space="preserve">BloFin-branded (green astronaut template) share card: WLDUSDT Perp, Buy 75X. Entry Price 0.6545, Mark Price 0.7079 (position still open). Referral Code DwquXN. Post says 'Up 0.6R, send it higher!'.</t>
  </si>
  <si>
    <t xml:space="preserve">Up 0.6R, send it higher!</t>
  </si>
  <si>
    <t xml:space="preserve">176_2026-06-17_044049_blofin_1781660427127.png</t>
  </si>
  <si>
    <t xml:space="preserve">https://discord.com/channels/1042855255089623100/1501271173588193290/1516618591380836454</t>
  </si>
  <si>
    <t xml:space="preserve">16:16:29</t>
  </si>
  <si>
    <t xml:space="preserve">Blofin 'WOW War of Whales 2026' card: TAOUSDT Perp, Buy 100X. Entry Price 249.66, Mark Price 256.05 (position still open). Referral Code DwquXN.</t>
  </si>
  <si>
    <t xml:space="preserve">Wanted to post this but it went so fast couldn't, sniped it though.</t>
  </si>
  <si>
    <t xml:space="preserve">177_2026-06-17_161629_blofin_1781702159751.png</t>
  </si>
  <si>
    <t xml:space="preserve">https://discord.com/channels/1042855255089623100/1501271173588193290/1516793661063696404</t>
  </si>
  <si>
    <t xml:space="preserve">16:53:16</t>
  </si>
  <si>
    <t xml:space="preserve">Binance</t>
  </si>
  <si>
    <t xml:space="preserve">Binance futures position share card overlaid on the chart: 'BTCUSDT Perpetual, Long | 150x, +119.18%, Entry Price 64,736.50, Last Price 65,257.60'. Chart shows the green 'B' buy marker at the 64,525.0 swing low and the position line tagged 64,736 on the right axis; chart header Last Price 65,273.9, Mark Price 65,278.7.</t>
  </si>
  <si>
    <t xml:space="preserve">Might have sniped it for now, everyone was dumping it aye? 
Though there is a chance we visit, 64s once more before higher!</t>
  </si>
  <si>
    <t xml:space="preserve">178_2026-06-17_165316_IMG_20260617_185227_825.webp</t>
  </si>
  <si>
    <t xml:space="preserve">https://discord.com/channels/1042855255089623100/1501271173588193290/1516802919666815006</t>
  </si>
  <si>
    <t xml:space="preserve">19:28:07</t>
  </si>
  <si>
    <t xml:space="preserve">No position card in this screenshot; only the green 'B' buy-execution marker at the 64,525.0 low of the 15m chart is visible (his BTC long, entry 64,736.50 per the other screenshots).</t>
  </si>
  <si>
    <t xml:space="preserve">Sniped it, also it came back to entry exactly once as I said once back to entry than higher
@Paladin Notify</t>
  </si>
  <si>
    <t xml:space="preserve">179_2026-06-17_192807_Screenshot_20260617-212705.png</t>
  </si>
  <si>
    <t xml:space="preserve">https://discord.com/channels/1042855255089623100/1501271173588193290/1516841886357262448</t>
  </si>
  <si>
    <t xml:space="preserve">19:29:48</t>
  </si>
  <si>
    <t xml:space="preserve">Binance futures position share card: 'BTCUSDT Perpetual, Long | 150x, +367.41%, Entry Price 64,736.50, Last Price 66,370.90' (still open, Last Price shown). Post says up almost 1R and suggests taking 20-25% partial profit.</t>
  </si>
  <si>
    <t xml:space="preserve">Up almost 1R you can take 20-25%
@Paladin Notify</t>
  </si>
  <si>
    <t xml:space="preserve">180_2026-06-17_192948_Screenshot_20260617-212847.png</t>
  </si>
  <si>
    <t xml:space="preserve">https://discord.com/channels/1042855255089623100/1501271173588193290/1516842310296404090</t>
  </si>
  <si>
    <t xml:space="preserve">2026-06-18</t>
  </si>
  <si>
    <t xml:space="preserve">12:12:48</t>
  </si>
  <si>
    <t xml:space="preserve">LABUSDT</t>
  </si>
  <si>
    <t xml:space="preserve">LAB</t>
  </si>
  <si>
    <t xml:space="preserve">Plan stated in the message: short LAB around 22, possibly 50% of size here and 50% at 22; expects LAB to eventually go to around $2-3 'when this dies'. Accompanying post clarifies LAB looks bullish for now (could go 20-22 again), advises longing it instead with SL 12.8-13.</t>
  </si>
  <si>
    <t xml:space="preserve">Since alot of you trying to short LAB, mentioned in chat that LAB seems bullish for now, it'll probably go 20-22$ again try to short from there if you want
For now try longing it instead of shorting, SL 12.8-13</t>
  </si>
  <si>
    <t xml:space="preserve">181_2026-06-18_121248_Screenshot_20260618-141035.png</t>
  </si>
  <si>
    <t xml:space="preserve">https://discord.com/channels/1042855255089623100/1501271173588193290/1517094724022964314</t>
  </si>
  <si>
    <t xml:space="preserve">21:24:32</t>
  </si>
  <si>
    <t xml:space="preserve">Only the bottom of the card is visible: 'Entry Price 15.6790000, Last Price 17.0150000' (displayed with 7 decimals). Symbol and side are NOT visible; they come from his post saying he started calling a LAB long around 14.8. Last Price label implies the position was still open.</t>
  </si>
  <si>
    <t xml:space="preserve">Started mentioning a long LAB in chat when we were around 14.8 😅</t>
  </si>
  <si>
    <t xml:space="preserve">182_2026-06-18_212432_Screenshot_20260618-232249.png</t>
  </si>
  <si>
    <t xml:space="preserve">https://discord.com/channels/1042855255089623100/1501271173588193290/1517233571499343993</t>
  </si>
  <si>
    <t xml:space="preserve">2026-06-19</t>
  </si>
  <si>
    <t xml:space="preserve">03:14:39</t>
  </si>
  <si>
    <t xml:space="preserve">Cropped card: only 'Entry Price 15.6790000 / Last Price 18.0080000' visible. Symbol/side taken from the same position shown in image 182 (identical 15.679 entry); message 'Out.' indicates he closed here.</t>
  </si>
  <si>
    <t xml:space="preserve">Out.</t>
  </si>
  <si>
    <t xml:space="preserve">183_2026-06-19_031439_Screenshot_20260619-051350.png</t>
  </si>
  <si>
    <t xml:space="preserve">https://discord.com/channels/1042855255089623100/1501271173588193290/1517321682618945648</t>
  </si>
  <si>
    <t xml:space="preserve">2026-06-20</t>
  </si>
  <si>
    <t xml:space="preserve">17:53:47</t>
  </si>
  <si>
    <t xml:space="preserve">Blofin 'WOW War of Whales 2026' share card, labelled 'BTCUSDT Perp / Buy 150X'. Referral code DwquXN. Card time 06-20 19:51:52.</t>
  </si>
  <si>
    <t xml:space="preserve">BTC older trade back in green</t>
  </si>
  <si>
    <t xml:space="preserve">185_2026-06-20_175347_blofin_1781967116545.png</t>
  </si>
  <si>
    <t xml:space="preserve">https://discord.com/channels/1042855255089623100/1501271173588193290/1517905310298275972</t>
  </si>
  <si>
    <t xml:space="preserve">17:54:21</t>
  </si>
  <si>
    <t xml:space="preserve">Card header only: 'BTCUSDT | Long 200X' with +291.06%. His accompanying message says the position is running from 62.8k and that stop loss can be moved to entry, so entry was around 62.8k (not shown on the card). Status 'open' inferred from that message; the crop shows no close/mark price row.</t>
  </si>
  <si>
    <t xml:space="preserve">New running from 62.8k can do SL to entry
@Paladin Notify</t>
  </si>
  <si>
    <t xml:space="preserve">186_2026-06-20_175421_Screenshot_20260620-195122.png</t>
  </si>
  <si>
    <t xml:space="preserve">https://discord.com/channels/1042855255089623100/1501271173588193290/1517905455517794335</t>
  </si>
  <si>
    <t xml:space="preserve">18:38:04</t>
  </si>
  <si>
    <t xml:space="preserve">Identical Blofin 'WOW War of Whales 2026' card image to the earlier post (same file, card time 06-20 19:51:52, Mark Price row so the card itself is of an open position). Re-posted with the message 'Closes fully', i.e. he is announcing that this older 150x BTC long is being closed out entirely - the card is stale illustration, not the actual close print.</t>
  </si>
  <si>
    <t xml:space="preserve">Closes fully
@Paladin Notify</t>
  </si>
  <si>
    <t xml:space="preserve">187_2026-06-20_183804_blofin_1781967116545.png</t>
  </si>
  <si>
    <t xml:space="preserve">https://discord.com/channels/1042855255089623100/1501271173588193290/1517916455813779637</t>
  </si>
  <si>
    <t xml:space="preserve">18:38:55</t>
  </si>
  <si>
    <t xml:space="preserve">Card header only: 'BTCUSDT | Long 200X' with +335.51%. Same 200x long as the earlier +291.06% card, running from ~62.8k. Message says he takes 50% off here and leaves 50% for 65-66k. Status 'open' inferred (partial take-profit); no price rows visible on the crop.</t>
  </si>
  <si>
    <t xml:space="preserve">50% from 62.8k position, 50% at 65-66k
@Paladin Notify</t>
  </si>
  <si>
    <t xml:space="preserve">188_2026-06-20_183855_Screenshot_20260620-203821.png</t>
  </si>
  <si>
    <t xml:space="preserve">https://discord.com/channels/1042855255089623100/1501271173588193290/1517916670562275388</t>
  </si>
  <si>
    <t xml:space="preserve">2026-06-22</t>
  </si>
  <si>
    <t xml:space="preserve">05:30:05</t>
  </si>
  <si>
    <t xml:space="preserve">Card shows 'Duration 3D 0H 45M 4S', so the long has been held ~3 days. His message says the 65k take-profit was missed by about $200 but he is still expecting it.</t>
  </si>
  <si>
    <t xml:space="preserve">Glad we added at a good time, BTC doing good, 65k TP missed by 200$ but still hopeful we will get it!</t>
  </si>
  <si>
    <t xml:space="preserve">189_2026-06-22_053005_Screenshot_20260622-065014.png</t>
  </si>
  <si>
    <t xml:space="preserve">https://discord.com/channels/1042855255089623100/1501271173588193290/1518442927573962883</t>
  </si>
  <si>
    <t xml:space="preserve">15:57:09</t>
  </si>
  <si>
    <t xml:space="preserve">65000.0</t>
  </si>
  <si>
    <t xml:space="preserve">Card shows a 'TP Price 65,000.0' row, i.e. the position was closed by a take-profit order at 65,000 that filled at 64,987.9. Same 63,044.0 entry as the previous open card. His message says he took TP, then added again for another TP.</t>
  </si>
  <si>
    <t xml:space="preserve">TP hit @ 65k guys, we took TP before then added again to get another TP
@Paladin Notify</t>
  </si>
  <si>
    <t xml:space="preserve">190_2026-06-22_155709_Screenshot_20260622-175503.png</t>
  </si>
  <si>
    <t xml:space="preserve">https://discord.com/channels/1042855255089623100/1501271173588193290/1518600735351242923</t>
  </si>
  <si>
    <t xml:space="preserve">2026-06-24</t>
  </si>
  <si>
    <t xml:space="preserve">23:10:48</t>
  </si>
  <si>
    <t xml:space="preserve">Card header reads 'BTCUSDT Perpetual / Long | 150x'. This is the second account/app he runs alongside Blofin (Blofin card at the same time shows entry 59,595.1).</t>
  </si>
  <si>
    <t xml:space="preserve">May this be the bottom, spam AMEN bros 😭🙏🏻</t>
  </si>
  <si>
    <t xml:space="preserve">191_2026-06-24_231048_Screenshot_20260625-010924.png</t>
  </si>
  <si>
    <t xml:space="preserve">https://discord.com/channels/1042855255089623100/1501271173588193290/1519434644225790105</t>
  </si>
  <si>
    <t xml:space="preserve">23:11:06</t>
  </si>
  <si>
    <t xml:space="preserve">Blofin share card ('BTCUSDT Perp / Buy 150X'), referral code DwquXN, card time 06-25 01:10:58. Posted seconds after the other-exchange card for the same BTC long bounce trade.</t>
  </si>
  <si>
    <t xml:space="preserve">192_2026-06-24_231106_blofin_1782331859704.png</t>
  </si>
  <si>
    <t xml:space="preserve">https://discord.com/channels/1042855255089623100/1501271173588193290/1519434719203168276</t>
  </si>
  <si>
    <t xml:space="preserve">23:54:35</t>
  </si>
  <si>
    <t xml:space="preserve">Blofin card, referral code DwquXN, card time 06-25 01:53:02. His message frames the trade in R terms: 1.1R from the 59.2 entry, 1R from the 59.5 entry; suggests members take 25-30% off and says he closes around 62 or earlier on a rejection.</t>
  </si>
  <si>
    <t xml:space="preserve">1.1R from 59.2, 1R from 59.5 done boys, as I said they'll make a new daily low then bounce it, you can take 25-30% I close around 62 (or until I see a rejection)
@Paladin Notify</t>
  </si>
  <si>
    <t xml:space="preserve">193_2026-06-24_235435_blofin_1782334391807.png</t>
  </si>
  <si>
    <t xml:space="preserve">https://discord.com/channels/1042855255089623100/1501271173588193290/1519445662058680482</t>
  </si>
  <si>
    <t xml:space="preserve">23:55:14</t>
  </si>
  <si>
    <t xml:space="preserve">Symbol/side/leverage are cropped off this card; the 59,214.30 entry is identical to the BTCUSDT Perpetual Long 150x card posted ~45 minutes earlier, so this is the same BTC long (leverage left null because it is not visible here).</t>
  </si>
  <si>
    <t xml:space="preserve">Actual entry when I uploaded :Meme1HappySunglass:</t>
  </si>
  <si>
    <t xml:space="preserve">194_2026-06-24_235514_Screenshot_20260625-015448.png</t>
  </si>
  <si>
    <t xml:space="preserve">https://discord.com/channels/1042855255089623100/1501271173588193290/1519445822561976340</t>
  </si>
  <si>
    <t xml:space="preserve">2026-06-25</t>
  </si>
  <si>
    <t xml:space="preserve">02:59:21</t>
  </si>
  <si>
    <t xml:space="preserve">Identical Blofin card image to the earlier 1.1R post (same file, card time 06-25 01:53:02, Mark Price row). Re-posted with the message that he is fully closing here because Target 1 is achieved, while telling members 62k is reachable: take 50% here, full TP at 61.8-62k.</t>
  </si>
  <si>
    <t xml:space="preserve">Fully closing here for now as our Target 1 is achieved but 62k is very reachable, you can take 50% here fully TP at 61.8-62k
@Paladin Notify</t>
  </si>
  <si>
    <t xml:space="preserve">195_2026-06-25_025921_blofin_1782334391807.png</t>
  </si>
  <si>
    <t xml:space="preserve">https://discord.com/channels/1042855255089623100/1501271173588193290/1519492157579198464</t>
  </si>
  <si>
    <t xml:space="preserve">03:04:47</t>
  </si>
  <si>
    <t xml:space="preserve">Same 59,214.30-entry BTC long as the earlier cards; symbol/side/leverage rows are cropped off this screenshot. His message says the entry was around 59.3k when he posted it, which is what most members should have.</t>
  </si>
  <si>
    <t xml:space="preserve">Majority of you should have this entry, when posted was around 59.3k</t>
  </si>
  <si>
    <t xml:space="preserve">196_2026-06-25_030447_Screenshot_20260625-050317.png</t>
  </si>
  <si>
    <t xml:space="preserve">https://discord.com/channels/1042855255089623100/1501271173588193290/1519493527569043536</t>
  </si>
  <si>
    <t xml:space="preserve">16:02:26</t>
  </si>
  <si>
    <t xml:space="preserve">Blofin closed-trade card, referral code DwquXN, sharing time 06-25 18:00:24. Essentially a breakeven scratch (+4.28% ROI on 150x = ~17 points of price). His message: closed at BE for now, will look to long from lower or short from 62+.</t>
  </si>
  <si>
    <t xml:space="preserve">Closed at BE for now, will look to long from lower or short from 62+
 :KEKLaugh: 
@Paladin Notify</t>
  </si>
  <si>
    <t xml:space="preserve">197_2026-06-25_160226_blofin_1782392429455.png</t>
  </si>
  <si>
    <t xml:space="preserve">https://discord.com/channels/1042855255089623100/1501271173588193290/1519689227799888014</t>
  </si>
  <si>
    <t xml:space="preserve">17:10:34</t>
  </si>
  <si>
    <t xml:space="preserve">Blofin open-position card, referral code DwquXN, sharing time 06-25 19:10:14. Message: taking 70% off here, remaining 30% targeted at 60k.</t>
  </si>
  <si>
    <t xml:space="preserve">70% here, remaining at 60k
@Paladin Notify</t>
  </si>
  <si>
    <t xml:space="preserve">198_2026-06-25_171034_blofin_1782396615498.png</t>
  </si>
  <si>
    <t xml:space="preserve">https://discord.com/channels/1042855255089623100/1501271173588193290/1519706372655284456</t>
  </si>
  <si>
    <t xml:space="preserve">17:37:58</t>
  </si>
  <si>
    <t xml:space="preserve">Card row reads 'Average Close Price', i.e. the position was scaled out and this is the blended exit. Symbol, side, leverage and ROI are cropped off; BTC long attributed from the price level (58.3k entry / 60.0k exit) and his message '60k hit'. This is the other-app account (Blofin card for the same trade showed entry 58,616.4).</t>
  </si>
  <si>
    <t xml:space="preserve">60k hit, caught both yesterday's + today's bottom bounce 
@Paladin Notify</t>
  </si>
  <si>
    <t xml:space="preserve">199_2026-06-25_173758_Screenshot_20260625-193712.png</t>
  </si>
  <si>
    <t xml:space="preserve">https://discord.com/channels/1042855255089623100/1501271173588193290/1519713271895293992</t>
  </si>
  <si>
    <t xml:space="preserve">2026-06-26</t>
  </si>
  <si>
    <t xml:space="preserve">16:56:12</t>
  </si>
  <si>
    <t xml:space="preserve">10% margin (share of account, as stated)</t>
  </si>
  <si>
    <t xml:space="preserve">Described in chat, not a share card: a SOL swing long held 'on a side app' with 10% margin and 10x leverage, set-and-forget. He expects it to bounce in July around 75-80 (target range stated in text, no orders shown). The other member (@misfitnl) says his last SOL purchase was just below 64.</t>
  </si>
  <si>
    <t xml:space="preserve">I mentioned a few days ago in chat that I have long sol with a 10x and forgot, SOL is the strongest don't miss out, you'll see it 75-85 easily in July</t>
  </si>
  <si>
    <t xml:space="preserve">200_2026-06-26_165612_Screenshot_20260626-185445.png</t>
  </si>
  <si>
    <t xml:space="preserve">https://discord.com/channels/1042855255089623100/1501271173588193290/1520065148054671480</t>
  </si>
  <si>
    <t xml:space="preserve">16:56:14</t>
  </si>
  <si>
    <t xml:space="preserve">Blofin open-position card 'SOLUSDT Perp / Buy 10X', referral code DwquXN, sharing time 06-26 18:55:02. This is the SOL swing long he described in chat (10x, set and forget).</t>
  </si>
  <si>
    <t xml:space="preserve">201_2026-06-26_165614_blofin_1782482112111.png</t>
  </si>
  <si>
    <t xml:space="preserve">https://discord.com/channels/1042855255089623100/1501271173588193290/1520065157294854234</t>
  </si>
  <si>
    <t xml:space="preserve">17:15:43</t>
  </si>
  <si>
    <t xml:space="preserve">Stated in chat, not a share card: an add to his existing SOL swing long at 66 posted at 7:32 AM. Size/leverage not given.</t>
  </si>
  <si>
    <t xml:space="preserve">Really bought yesterday's bottom, regret not giving a long here.</t>
  </si>
  <si>
    <t xml:space="preserve">202_2026-06-26_171543_Screenshot_20260626-1914032.png</t>
  </si>
  <si>
    <t xml:space="preserve">https://discord.com/channels/1042855255089623100/1501271173588193290/1520070058137747557</t>
  </si>
  <si>
    <t xml:space="preserve">2026-06-28</t>
  </si>
  <si>
    <t xml:space="preserve">16:24:41</t>
  </si>
  <si>
    <t xml:space="preserve">TOSHIUSDT</t>
  </si>
  <si>
    <t xml:space="preserve">TOSHI</t>
  </si>
  <si>
    <t xml:space="preserve">Position/entry line drawn on the chart at 0.0001101 with a green PnL tag at bottom-left whose value is obscured by a green scribble. Last Price 0.0001297 (+18.44% 24h), Mark Price 0.0001291, Funding Rate -1.1492%. Side is not printed; long inferred from the green (profit) PnL tag with price above the entry line.</t>
  </si>
  <si>
    <t xml:space="preserve">TOSHI up 25% in spot move + 1.5R move 
@Paladin Notify</t>
  </si>
  <si>
    <t xml:space="preserve">203_2026-06-28_162441_Screenshot_20260628-182154.png</t>
  </si>
  <si>
    <t xml:space="preserve">https://discord.com/channels/1042855255089623100/1501271173588193290/1520781991736250500</t>
  </si>
  <si>
    <t xml:space="preserve">16:24:44</t>
  </si>
  <si>
    <t xml:space="preserve">Blofin share card, Buy 50X, shows Mark Price so position still open at sharing time.</t>
  </si>
  <si>
    <t xml:space="preserve">204_2026-06-28_162444_blofin_1782652865086.png</t>
  </si>
  <si>
    <t xml:space="preserve">https://discord.com/channels/1042855255089623100/1501271173588193290/1520782003539279924</t>
  </si>
  <si>
    <t xml:space="preserve">2026-06-29</t>
  </si>
  <si>
    <t xml:space="preserve">06:12:13</t>
  </si>
  <si>
    <t xml:space="preserve">Blofin share card, Buy 150X, Mark Price shown so still open at sharing time.</t>
  </si>
  <si>
    <t xml:space="preserve">Price went way up fast, was writing and it was 500$ up, this will pump good I just hope it fills DCA</t>
  </si>
  <si>
    <t xml:space="preserve">205_2026-06-29_061213_blofin_1782702687929.png</t>
  </si>
  <si>
    <t xml:space="preserve">https://discord.com/channels/1042855255089623100/1501271173588193290/1520990245573623900</t>
  </si>
  <si>
    <t xml:space="preserve">20:22:36</t>
  </si>
  <si>
    <t xml:space="preserve">Cropped share card (Blofin card layout/typography, logo and sharing time cut off). Buy 10X, Mark Price shown so still open.</t>
  </si>
  <si>
    <t xml:space="preserve">Kept telling everyone to get SOL it's gonna run the hardest, HYPE and SOL don't miss on these!
80+ by this weekend in my opinion</t>
  </si>
  <si>
    <t xml:space="preserve">206_2026-06-29_202236_Screenshot_20260629-221628.png</t>
  </si>
  <si>
    <t xml:space="preserve">https://discord.com/channels/1042855255089623100/1501271173588193290/1521204253857681418</t>
  </si>
  <si>
    <t xml:space="preserve">2026-06-30</t>
  </si>
  <si>
    <t xml:space="preserve">17:22:10</t>
  </si>
  <si>
    <t xml:space="preserve">other</t>
  </si>
  <si>
    <t xml:space="preserve">Only 'Average Close Price 59,104.4' is visible. Symbol and side are not on the image; BTCUSDT long taken from the accompanying message (long scalp TP hit, 50% closed, remaining position still open around 59.5k). Partial close only.</t>
  </si>
  <si>
    <t xml:space="preserve">Long Scalp TP got hit instantly, out 50%, remaining around 59.5k
Moving SL to 57k, will add 25% back at 58.2k if we go back 
@Paladin Notify</t>
  </si>
  <si>
    <t xml:space="preserve">207_2026-06-30_172210_Screenshot_20260630-191916.png</t>
  </si>
  <si>
    <t xml:space="preserve">https://discord.com/channels/1042855255089623100/1501271173588193290/1521521232489611396</t>
  </si>
  <si>
    <t xml:space="preserve">2026-07-01</t>
  </si>
  <si>
    <t xml:space="preserve">04:48:43</t>
  </si>
  <si>
    <t xml:space="preserve">Blofin share card, Buy 150X, Mark Price shown (open at sharing time 07-01 06:45:44). His message says he closed this position right after re-longing.</t>
  </si>
  <si>
    <t xml:space="preserve">Closed this after re-longing
@Paladin Notify</t>
  </si>
  <si>
    <t xml:space="preserve">208_2026-07-01_044843_blofin_1782870345836.png</t>
  </si>
  <si>
    <t xml:space="preserve">https://discord.com/channels/1042855255089623100/1501271173588193290/1521694009968295996</t>
  </si>
  <si>
    <t xml:space="preserve">04:56:00</t>
  </si>
  <si>
    <t xml:space="preserve">Blofin share card, Buy 150X, Mark Price shown (open at sharing time 06-30 19:05:23). Shared in a recap as the first of two BTC long scalps of ~0.5R.</t>
  </si>
  <si>
    <t xml:space="preserve">Caught 2 long scalps of around 0.5Rs, and short in profit almost touched our TP, almost!</t>
  </si>
  <si>
    <t xml:space="preserve">209_2026-07-01_045600_blofin_17828283292632.png</t>
  </si>
  <si>
    <t xml:space="preserve">https://discord.com/channels/1042855255089623100/1501271173588193290/1521695843718008913</t>
  </si>
  <si>
    <t xml:space="preserve">Identical card to image 208 (same sharing time 07-01 06:45:44), reposted as part of the recap. Buy 150X, Mark Price shown.</t>
  </si>
  <si>
    <t xml:space="preserve">210_2026-07-01_045600_blofin_1782870345836.png</t>
  </si>
  <si>
    <t xml:space="preserve">04:56:25</t>
  </si>
  <si>
    <t xml:space="preserve">Blofin share card, Sell 150X, Close Price shown so the short is closed. Message: price bounced near the TP, closed in profit.</t>
  </si>
  <si>
    <t xml:space="preserve">Short bounced near TP but in profit!</t>
  </si>
  <si>
    <t xml:space="preserve">211_2026-07-01_045625_blofin_1782870935875.png</t>
  </si>
  <si>
    <t xml:space="preserve">https://discord.com/channels/1042855255089623100/1501271173588193290/1521695945069170769</t>
  </si>
  <si>
    <t xml:space="preserve">17:17:49</t>
  </si>
  <si>
    <t xml:space="preserve">MEXC-style card: 'Close Long | 250X', Avg Entry Price $58,637.9, Avg Close Price $59,939.6. Cropped (no logo/date).</t>
  </si>
  <si>
    <t xml:space="preserve">Personally longing BTC I think BTC has given it's move down and we will see 62k this week.
Short TP missed by 200$ annoying, but a  DCA full will be nice</t>
  </si>
  <si>
    <t xml:space="preserve">212_2026-07-01_171749_Screenshot_20260701-191725.png</t>
  </si>
  <si>
    <t xml:space="preserve">https://discord.com/channels/1042855255089623100/1501271173588193290/1521882525780148336</t>
  </si>
  <si>
    <t xml:space="preserve">23:53:58</t>
  </si>
  <si>
    <t xml:space="preserve">Blofin share card, Buy 10X, Mark Price shown so still open. Same entry (68.53) as the later closed SOL card.</t>
  </si>
  <si>
    <t xml:space="preserve">Well 75 was done at weekend, 78 now, 80-82 by this weekend</t>
  </si>
  <si>
    <t xml:space="preserve">213_2026-07-01_235358_blofin_1782939201384.png</t>
  </si>
  <si>
    <t xml:space="preserve">https://discord.com/channels/1042855255089623100/1501271173588193290/1521982219034427674</t>
  </si>
  <si>
    <t xml:space="preserve">2026-07-02</t>
  </si>
  <si>
    <t xml:space="preserve">14:13:48</t>
  </si>
  <si>
    <t xml:space="preserve">Blofin share card, Buy 10X, Close Price 82.00 so the long is closed (at his stated 80-82 target zone).</t>
  </si>
  <si>
    <t xml:space="preserve">Kept mentioning to buy SOL @ 66-67 right before pump</t>
  </si>
  <si>
    <t xml:space="preserve">214_2026-07-02_141348_blofin_1782990745835.png</t>
  </si>
  <si>
    <t xml:space="preserve">https://discord.com/channels/1042855255089623100/1501271173588193290/1522198606180778106</t>
  </si>
  <si>
    <t xml:space="preserve">2026-07-03</t>
  </si>
  <si>
    <t xml:space="preserve">02:54:22</t>
  </si>
  <si>
    <t xml:space="preserve">Blofin share card, Sell 150X, Mark Price shown (open at sharing time). Message says he closed this ETH short around break even right after, not feeling confident, and had a SL in place.</t>
  </si>
  <si>
    <t xml:space="preserve">Closed ETH around break even, not feeling very confident, already had a SL playing safe.
Can try a swing short with 1780 as SL but I'm out
@Paladin Notify</t>
  </si>
  <si>
    <t xml:space="preserve">215_2026-07-03_025422_blofin_1783036417109.png</t>
  </si>
  <si>
    <t xml:space="preserve">https://discord.com/channels/1042855255089623100/1501271173588193290/1522390007971713084</t>
  </si>
  <si>
    <t xml:space="preserve">09:25:45</t>
  </si>
  <si>
    <t xml:space="preserve">Blofin share card, Buy 125X, Mark Price shown so still open. TP levels (1.1269, TP2 1.16) come from the message, not the card.</t>
  </si>
  <si>
    <t xml:space="preserve">TP @ 1.1269 
For those who want to hold TP2 @ 1.16</t>
  </si>
  <si>
    <t xml:space="preserve">216_2026-07-03_092545_blofin_1783059559921.png</t>
  </si>
  <si>
    <t xml:space="preserve">https://discord.com/channels/1042855255089623100/1501271173588193290/1522488502024147024</t>
  </si>
  <si>
    <t xml:space="preserve">21:47:02</t>
  </si>
  <si>
    <t xml:space="preserve">Blofin share card, Buy 125X, Close Price 1.1270 so closed (at the 1.1269 TP he had posted).</t>
  </si>
  <si>
    <t xml:space="preserve">XRP TP hit!
@Paladin Notify</t>
  </si>
  <si>
    <t xml:space="preserve">217_2026-07-03_214702_blofin_1783104382450.png</t>
  </si>
  <si>
    <t xml:space="preserve">https://discord.com/channels/1042855255089623100/1501271173588193290/1522675053815267370</t>
  </si>
  <si>
    <t xml:space="preserve">2026-07-04</t>
  </si>
  <si>
    <t xml:space="preserve">18:13:03</t>
  </si>
  <si>
    <t xml:space="preserve">Only 'Entry Price 1.0868' and 'Average Close Price 1.162' are visible. Symbol/side not on the image; XRP long taken from the message ('XRP full TP if someone held'), close at 1.162 matches his TP2 of 1.16. Entry 1.0868 differs slightly from the 1.0870 on the Blofin cards, so this may be a different account/exchange.</t>
  </si>
  <si>
    <t xml:space="preserve">XRP full TP if someone held
@Paladin Notify</t>
  </si>
  <si>
    <t xml:space="preserve">219_2026-07-04_181303_Screenshot_20260704-201122.png</t>
  </si>
  <si>
    <t xml:space="preserve">https://discord.com/channels/1042855255089623100/1501271173588193290/1522983588046307388</t>
  </si>
  <si>
    <t xml:space="preserve">18:15:33</t>
  </si>
  <si>
    <t xml:space="preserve">Blofin share card, Buy 100X, Mark Price shown so still open. TP1 219.4 / TP2 223 are from the message, not the card.</t>
  </si>
  <si>
    <t xml:space="preserve">TAO TP1 @ 219.4 (I fully exit here personally)
TP2 @ 223</t>
  </si>
  <si>
    <t xml:space="preserve">220_2026-07-04_181533_blofin_1783178015202.png</t>
  </si>
  <si>
    <t xml:space="preserve">https://discord.com/channels/1042855255089623100/1501271173588193290/1522984219150647457</t>
  </si>
  <si>
    <t xml:space="preserve">20:36:59</t>
  </si>
  <si>
    <t xml:space="preserve">Blofin share card, Buy 100X, Close Price 218.36 so closed (slightly below the 219.4 TP1; message says price almost rejected from TP).</t>
  </si>
  <si>
    <t xml:space="preserve">TPed on TAO, almost rejected from TP, decent win!
@Paladin Notify</t>
  </si>
  <si>
    <t xml:space="preserve">221_2026-07-04_203659_blofin_1783186587275.png</t>
  </si>
  <si>
    <t xml:space="preserve">https://discord.com/channels/1042855255089623100/1501271173588193290/1523019813197316169</t>
  </si>
  <si>
    <t xml:space="preserve">2026-07-05</t>
  </si>
  <si>
    <t xml:space="preserve">02:20:44</t>
  </si>
  <si>
    <t xml:space="preserve">Blofin share card, Sell 75X, Mark Price shown so still open. Message instructs moving SL to entry (468.70) and setting TP at 453.23; neither is printed on the card.</t>
  </si>
  <si>
    <t xml:space="preserve">Move SL to entry, setting TP @ 453.23 
Can take 10% to get your fee in case it stops BE
@Paladin Notify</t>
  </si>
  <si>
    <t xml:space="preserve">222_2026-07-05_022044_blofin_1783206965735.png</t>
  </si>
  <si>
    <t xml:space="preserve">https://discord.com/channels/1042855255089623100/1501271173588193290/1523106318733541466</t>
  </si>
  <si>
    <t xml:space="preserve">05:23:45</t>
  </si>
  <si>
    <t xml:space="preserve">Blofin 'ZECUSDT Perp' share card, 'Sell 75X'. Close Price shown, so the position was closed when shared.</t>
  </si>
  <si>
    <t xml:space="preserve">ZEC TP hit
Some good back to back wins on
XRP, TAO, ZEC
@Paladin Notify</t>
  </si>
  <si>
    <t xml:space="preserve">223_2026-07-05_052345_blofin_1783218039029.png</t>
  </si>
  <si>
    <t xml:space="preserve">https://discord.com/channels/1042855255089623100/1501271173588193290/1523152379120193729</t>
  </si>
  <si>
    <t xml:space="preserve">06:38:05</t>
  </si>
  <si>
    <t xml:space="preserve">JUPUSDT</t>
  </si>
  <si>
    <t xml:space="preserve">JUP</t>
  </si>
  <si>
    <t xml:space="preserve">Blofin 'JUPUSDT Perp' share card, 'Sell 50X'. Card shows Mark Price, i.e. it was generated while the position was still open; the accompanying message says he closed this short because it was 'not going anywhere'.</t>
  </si>
  <si>
    <t xml:space="preserve">Closed this short, not going anywhere</t>
  </si>
  <si>
    <t xml:space="preserve">224_2026-07-05_063805_blofin_1783222292674.png</t>
  </si>
  <si>
    <t xml:space="preserve">https://discord.com/channels/1042855255089623100/1501271173588193290/1523171084533497857</t>
  </si>
  <si>
    <t xml:space="preserve">12:51:48</t>
  </si>
  <si>
    <t xml:space="preserve">Blofin 'ETHUSDT Perp' share card, 'Sell 150X'. Mark Price shown, position still open. The accompanying message says the trade is back in profit after being underwater, that he had told members not to take the SL yet, that they can safely close now, and that he personally will keep holding.</t>
  </si>
  <si>
    <t xml:space="preserve">Back in profits that's why I asked not to take SL yet, you can safely close now.
Personally I'll hold
@Paladin Notify</t>
  </si>
  <si>
    <t xml:space="preserve">225_2026-07-05_125148_blofin_1783244954096.png</t>
  </si>
  <si>
    <t xml:space="preserve">https://discord.com/channels/1042855255089623100/1501271173588193290/1523265131314810913</t>
  </si>
  <si>
    <t xml:space="preserve">2026-07-06</t>
  </si>
  <si>
    <t xml:space="preserve">00:34:37</t>
  </si>
  <si>
    <t xml:space="preserve">Blofin 'HYPEUSDT Perp' share card, 'Buy 75X'. Close Price shown, position closed.</t>
  </si>
  <si>
    <t xml:space="preserve">HYPE TP done, hot streak on a weekend.
JUP, XRP. TAO, ZEC and now HYPE!
@Paladin Notify</t>
  </si>
  <si>
    <t xml:space="preserve">226_2026-07-06_003437_blofin_1783287215393.png</t>
  </si>
  <si>
    <t xml:space="preserve">https://discord.com/channels/1042855255089623100/1501271173588193290/1523442001591140454</t>
  </si>
  <si>
    <t xml:space="preserve">16:10:45</t>
  </si>
  <si>
    <t xml:space="preserve">OPUSDT</t>
  </si>
  <si>
    <t xml:space="preserve">OP</t>
  </si>
  <si>
    <t xml:space="preserve">Blofin 'OPUSDT Perp' share card, 'Sell 75X'. Close Price shown, position closed.</t>
  </si>
  <si>
    <t xml:space="preserve">TP hit on OP, I slept couldn't update timely but still around 0.5+ R
@Paladin Notify</t>
  </si>
  <si>
    <t xml:space="preserve">227_2026-07-06_161045_blofin_1783343373417.png</t>
  </si>
  <si>
    <t xml:space="preserve">https://discord.com/channels/1042855255089623100/1501271173588193290/1523677589452095658</t>
  </si>
  <si>
    <t xml:space="preserve">16:12:02</t>
  </si>
  <si>
    <t xml:space="preserve">Blofin 'ETHUSDT Perp' share card, 'Sell 150X'. Mark Price shown, still open. Same entry price (1,759.84) as the ETH short card shared on 07-05, so this is the same position held a day longer with ROI grown from +55.25% to +195.50%.</t>
  </si>
  <si>
    <t xml:space="preserve">Oh by the way</t>
  </si>
  <si>
    <t xml:space="preserve">228_2026-07-06_161202_blofin_1783343499688.png</t>
  </si>
  <si>
    <t xml:space="preserve">https://discord.com/channels/1042855255089623100/1501271173588193290/1523677909842268388</t>
  </si>
  <si>
    <t xml:space="preserve">2026-07-07</t>
  </si>
  <si>
    <t xml:space="preserve">01:41:43</t>
  </si>
  <si>
    <t xml:space="preserve">Conditional plan only (symbol written as 'BTC'): he would short only if price reached about 63.5-64k; at the time he did not want to short because he was 'very confident BTC will pump UpTo 65-66k a minimum'. No entry, size or leverage given.</t>
  </si>
  <si>
    <t xml:space="preserve">Someone asked me earlier why am I not shorting and I said I'm confident BTC will pump around 65k</t>
  </si>
  <si>
    <t xml:space="preserve">232_2026-07-07_014143_Screenshot_20260707-033402.png</t>
  </si>
  <si>
    <t xml:space="preserve">https://discord.com/channels/1042855255089623100/1501271173588193290/1523821274499911942</t>
  </si>
  <si>
    <t xml:space="preserve">14:33:11</t>
  </si>
  <si>
    <t xml:space="preserve">XLMUSDT</t>
  </si>
  <si>
    <t xml:space="preserve">XLM</t>
  </si>
  <si>
    <t xml:space="preserve">Blofin 'XLMUSDT Perp' share card, 'Sell 75X'. Close Price shown, position closed.</t>
  </si>
  <si>
    <t xml:space="preserve">And the streak continues, XLM TP hit
@Paladin Notify</t>
  </si>
  <si>
    <t xml:space="preserve">233_2026-07-07_143311_blofin_1783423966085.png</t>
  </si>
  <si>
    <t xml:space="preserve">https://discord.com/channels/1042855255089623100/1501271173588193290/1524015421693628467</t>
  </si>
  <si>
    <t xml:space="preserve">2026-07-10</t>
  </si>
  <si>
    <t xml:space="preserve">05:53:30</t>
  </si>
  <si>
    <t xml:space="preserve">Blofin 'BTCUSDT Perp' share card, 'Buy 150X'. Card shows Mark Price (63,998.4), i.e. generated while the position was still open; the accompanying message says 'BTC TP hit', so it was shared at the moment of taking profit just under 64k.</t>
  </si>
  <si>
    <t xml:space="preserve">BTC TP hit 
@Paladin Notify</t>
  </si>
  <si>
    <t xml:space="preserve">234_2026-07-10_055330_blofin_1783651944695.png</t>
  </si>
  <si>
    <t xml:space="preserve">https://discord.com/channels/1042855255089623100/1501271173588193290/1524971803544649870</t>
  </si>
  <si>
    <t xml:space="preserve">2026-07-14</t>
  </si>
  <si>
    <t xml:space="preserve">06:24:47</t>
  </si>
  <si>
    <t xml:space="preserve">TRIAUSDT</t>
  </si>
  <si>
    <t xml:space="preserve">TRIA</t>
  </si>
  <si>
    <t xml:space="preserve">Blofin 'TRIAUSDT Perp' share card, 'Buy 25X'. Card shows Mark Price (generated while the position was still open); the accompanying message says he closed it ('20% spot move, good enough for a scalp, I closed!').</t>
  </si>
  <si>
    <t xml:space="preserve">20% spot move, good enough for a scalp, I closed!</t>
  </si>
  <si>
    <t xml:space="preserve">235_2026-07-14_062447_blofin_1783999452056.png</t>
  </si>
  <si>
    <t xml:space="preserve">https://discord.com/channels/1042855255089623100/1501271173588193290/1526429227144974448</t>
  </si>
  <si>
    <t xml:space="preserve">16:12:22</t>
  </si>
  <si>
    <t xml:space="preserve">Blofin 'BTCUSDT Perp' share card, 'Buy 150X'. Close Price shown, position closed.</t>
  </si>
  <si>
    <t xml:space="preserve">TP taken on BTC, 64k was almost hit
@Paladin Notify</t>
  </si>
  <si>
    <t xml:space="preserve">236_2026-07-14_161222_blofin_1784034711420.png</t>
  </si>
  <si>
    <t xml:space="preserve">https://discord.com/channels/1042855255089623100/1501271173588193290/1526577097122775241</t>
  </si>
  <si>
    <t xml:space="preserve">2026-07-15</t>
  </si>
  <si>
    <t xml:space="preserve">06:05:13</t>
  </si>
  <si>
    <t xml:space="preserve">Plan stated in the message: expecting a pump to 65.5-66k+ over the weekend and the coming week, but waiting for a pullback before taking longs; not forcing trades after the early-month win streak. Symbol is inferred from the price levels (BTC), it is not written.</t>
  </si>
  <si>
    <t xml:space="preserve">BTW it happened as mentioned 2 days ago, a pullback for longing opportunity then 65k in the coming week (current week)</t>
  </si>
  <si>
    <t xml:space="preserve">237_2026-07-15_060513_Screenshot_20260715-080217.png</t>
  </si>
  <si>
    <t xml:space="preserve">https://discord.com/channels/1042855255089623100/1501271173588193290/1526786690759266395</t>
  </si>
  <si>
    <t xml:space="preserve">06:05:15</t>
  </si>
  <si>
    <t xml:space="preserve">Bias statement: long makes sense at least until 65k because the 4h chart looks much cleaner for longs than shorts. Symbol inferred from context (65k = BTC), not written.</t>
  </si>
  <si>
    <t xml:space="preserve">238_2026-07-15_060515_Screenshot_20260715-0803542.png</t>
  </si>
  <si>
    <t xml:space="preserve">https://discord.com/channels/1042855255089623100/1501271173588193290/1526786700016095243</t>
  </si>
  <si>
    <t xml:space="preserve">2026-07-16</t>
  </si>
  <si>
    <t xml:space="preserve">09:01:24</t>
  </si>
  <si>
    <t xml:space="preserve">Card reads 'BTCUSDT Perpetual', 'Short | 150x', Entry Price 64,948.66, Last Price 64,896.80 (position still open when the card was generated). Per the accompanying message he closed this short here for a very small profit because he felt BTC wanted 66k that day.</t>
  </si>
  <si>
    <t xml:space="preserve">Closed for a very small profit, I have a feeling BTC wants 66k today better close here than in red
@Paladin Notify</t>
  </si>
  <si>
    <t xml:space="preserve">239_2026-07-16_090124_Screenshot_20260716-105748.png</t>
  </si>
  <si>
    <t xml:space="preserve">https://discord.com/channels/1042855255089623100/1501271173588193290/1527193416922828830</t>
  </si>
  <si>
    <t xml:space="preserve">2026-07-17</t>
  </si>
  <si>
    <t xml:space="preserve">21:30:23</t>
  </si>
  <si>
    <t xml:space="preserve">Blofin 'BTCUSDT Perp' card, 'Buy 150X', cropped below the ROI: entry price, close/mark price and sharing time are not visible. Per the accompanying message this was a BTC long TP hit with a DCA order filled, average entry about 63.1k (from the message, not the card).</t>
  </si>
  <si>
    <t xml:space="preserve">BTC TP hit with a DCA filled so good gains! 
Avg was 63.1k
@Paladin Notify</t>
  </si>
  <si>
    <t xml:space="preserve">242_2026-07-17_213023_Screenshot_20260717-232954.png</t>
  </si>
  <si>
    <t xml:space="preserve">https://discord.com/channels/1042855255089623100/1501271173588193290/1527744291626291353</t>
  </si>
  <si>
    <t xml:space="preserve">2026-07-18</t>
  </si>
  <si>
    <t xml:space="preserve">17:56:37</t>
  </si>
  <si>
    <t xml:space="preserve">Tightly cropped share card: only the pair, 'Buy 75X' and the ROI are visible; entry/close price area and the timestamp are cut off, so it is not visible whether the trade was open or closed.</t>
  </si>
  <si>
    <t xml:space="preserve">243_2026-07-18_175637_Screenshot_20260718-195620.png</t>
  </si>
  <si>
    <t xml:space="preserve">https://discord.com/channels/1042855255089623100/1501271173588193290/1528052883902173194</t>
  </si>
  <si>
    <t xml:space="preserve">2026-07-20</t>
  </si>
  <si>
    <t xml:space="preserve">03:23:14</t>
  </si>
  <si>
    <t xml:space="preserve">Yubit card labels the exit as 'Exit Price'. Leverage is not printed on this card. Per the accompanying message this was the first take-profit of the BTC swing (a partial close); a later cropped card shows the same entry 63,244.70 with a Last Price of 65,578.60, so the position stayed partially open after this.</t>
  </si>
  <si>
    <t xml:space="preserve">BTC swing first TP officially hit.
@Paladin Notify</t>
  </si>
  <si>
    <t xml:space="preserve">244_2026-07-20_032314_Screenshot_20260720-052045.png</t>
  </si>
  <si>
    <t xml:space="preserve">https://discord.com/channels/1042855255089623100/1501271173588193290/1528557867093856386</t>
  </si>
  <si>
    <t xml:space="preserve">19:01:04</t>
  </si>
  <si>
    <t xml:space="preserve">Only 'Entry Price 63,244.70' and 'Last Price 65,578.60' are visible. The entry matches the Yubit BTCUSDT Long card of 2026-07-20 05:17 (first TP at 65,024.10). Per the accompanying message he took another 20% off here and set the full exit at 66.2k.</t>
  </si>
  <si>
    <t xml:space="preserve">Hello darlings, took another 20% from the swing, full exit @ 66.2k
@Paladin Notify</t>
  </si>
  <si>
    <t xml:space="preserve">247_2026-07-20_190104_Screenshot_20260720-205732.png</t>
  </si>
  <si>
    <t xml:space="preserve">https://discord.com/channels/1042855255089623100/1501271173588193290/1528793879304732755</t>
  </si>
  <si>
    <t xml:space="preserve">2026-07-21</t>
  </si>
  <si>
    <t xml:space="preserve">03:57:23</t>
  </si>
  <si>
    <t xml:space="preserve">Closed roughly at break-even (77.90 -&gt; 77.99); per the message the trade almost hit its stop loss twice before he closed it.</t>
  </si>
  <si>
    <t xml:space="preserve">Guys closing SOL around BE for now, almost hit SL twice but we survived, sorry for this messy trade 
@Paladin Notify</t>
  </si>
  <si>
    <t xml:space="preserve">248_2026-07-21_035723_blofin_1784595366981.png</t>
  </si>
  <si>
    <t xml:space="preserve">https://discord.com/channels/1042855255089623100/1501271173588193290/1528928848467460147</t>
  </si>
  <si>
    <t xml:space="preserve">2026-07-22</t>
  </si>
  <si>
    <t xml:space="preserve">12:02:00</t>
  </si>
  <si>
    <t xml:space="preserve">Short closed at take-profit per the message ('ZEC TP hit').</t>
  </si>
  <si>
    <t xml:space="preserve">ZEC TP hit
@Paladin Notify</t>
  </si>
  <si>
    <t xml:space="preserve">249_2026-07-22_120200_blofin_1784709836358.png</t>
  </si>
  <si>
    <t xml:space="preserve">https://discord.com/channels/1042855255089623100/1501271173588193290/1529413193502298242</t>
  </si>
  <si>
    <t xml:space="preserve">2026-07-23</t>
  </si>
  <si>
    <t xml:space="preserve">08:04:33</t>
  </si>
  <si>
    <t xml:space="preserve">Position still open at card time. The accompanying message (not on the card) states the target as 65120 with a possible 2nd TP at 64840.</t>
  </si>
  <si>
    <t xml:space="preserve">Targeting 65120 for this, can take 2nd TP at 64840</t>
  </si>
  <si>
    <t xml:space="preserve">250_2026-07-23_080433_blofin_1784783009924.png</t>
  </si>
  <si>
    <t xml:space="preserve">https://discord.com/channels/1042855255089623100/1501271173588193290/1529715823353008201</t>
  </si>
  <si>
    <t xml:space="preserve">10:18:00</t>
  </si>
  <si>
    <t xml:space="preserve">Same short as the 07-23 10:03:25 card (entry 66,137.7). Per the message he took 70% of the position off at 65120 and moved the stop loss to break-even; the card's close price is 65,409.7.</t>
  </si>
  <si>
    <t xml:space="preserve">Took 70% fully at 65120, SL to BE 
@Paladin Notify</t>
  </si>
  <si>
    <t xml:space="preserve">251_2026-07-23_101800_blofin_1784791030548.png</t>
  </si>
  <si>
    <t xml:space="preserve">https://discord.com/channels/1042855255089623100/1501271173588193290/1529749407724212285</t>
  </si>
  <si>
    <t xml:space="preserve">2026-07-24</t>
  </si>
  <si>
    <t xml:space="preserve">10:16:44</t>
  </si>
  <si>
    <t xml:space="preserve">Open at card time. Per the message he took profit at 65.7k and suggested an extended TP at 66.1k while taking something off.</t>
  </si>
  <si>
    <t xml:space="preserve">TPed at 65.7k, you can extend TP to 66.1k but do take something 
@Paladin Notify</t>
  </si>
  <si>
    <t xml:space="preserve">252_2026-07-24_101644_blofin_1784877205495.png</t>
  </si>
  <si>
    <t xml:space="preserve">https://discord.com/channels/1042855255089623100/1501271173588193290/1530111478575927336</t>
  </si>
  <si>
    <t xml:space="preserve">18:19:25</t>
  </si>
  <si>
    <t xml:space="preserve">XAUUSDT</t>
  </si>
  <si>
    <t xml:space="preserve">XAU</t>
  </si>
  <si>
    <t xml:space="preserve">Gold perp long, open at card time. Per the message it was almost 1R in profit and the stop loss could be moved to entry.</t>
  </si>
  <si>
    <t xml:space="preserve">Almost 1R done on Gold, can move SL to entry.
@Paladin Notify</t>
  </si>
  <si>
    <t xml:space="preserve">253_2026-07-24_181925_blofin_1784906356954.png</t>
  </si>
  <si>
    <t xml:space="preserve">https://discord.com/channels/1042855255089623100/1501271173588193290/1530232950388428921</t>
  </si>
  <si>
    <t xml:space="preserve">2026-07-25</t>
  </si>
  <si>
    <t xml:space="preserve">09:34:19</t>
  </si>
  <si>
    <t xml:space="preserve">MEUSDT</t>
  </si>
  <si>
    <t xml:space="preserve">ME</t>
  </si>
  <si>
    <t xml:space="preserve">Closed because too many trades were running at once (per the message), not at a specific target.</t>
  </si>
  <si>
    <t xml:space="preserve">Too many trades running it's getting messy so closing this now 
@Paladin Notify</t>
  </si>
  <si>
    <t xml:space="preserve">254_2026-07-25_093419_blofin_1784960714090.png</t>
  </si>
  <si>
    <t xml:space="preserve">https://discord.com/channels/1042855255089623100/1501271173588193290/1530463190947987577</t>
  </si>
  <si>
    <t xml:space="preserve">09:39:02</t>
  </si>
  <si>
    <t xml:space="preserve">GENIUSUSDT</t>
  </si>
  <si>
    <t xml:space="preserve">GENIUS</t>
  </si>
  <si>
    <t xml:space="preserve">Card shows 'Fair Price' (MEXC's mark price), so the position was still open. Per the message: if not closing, move SL to entry and exit at 0.4-0.44.</t>
  </si>
  <si>
    <t xml:space="preserve">Same goes for GENIUS, started moving but holding for too long.
If not closing then move SL to entry and exit at 0.4-0.44 
@Paladin Notify</t>
  </si>
  <si>
    <t xml:space="preserve">255_2026-07-25_093902_Screenshot_20260725-1125522.png</t>
  </si>
  <si>
    <t xml:space="preserve">https://discord.com/channels/1042855255089623100/1501271173588193290/1530464377055219742</t>
  </si>
  <si>
    <t xml:space="preserve">15:15:03</t>
  </si>
  <si>
    <t xml:space="preserve">EDUUSDT</t>
  </si>
  <si>
    <t xml:space="preserve">EDU</t>
  </si>
  <si>
    <t xml:space="preserve">Closed at almost 1R per the message ('Almost at 1R I'm out').</t>
  </si>
  <si>
    <t xml:space="preserve">Almost at 1R I'm out
@Paladin Notify</t>
  </si>
  <si>
    <t xml:space="preserve">256_2026-07-25_151503_blofin_1784981621951.png</t>
  </si>
  <si>
    <t xml:space="preserve">https://discord.com/channels/1042855255089623100/1501271173588193290/1530548939701358704</t>
  </si>
  <si>
    <t xml:space="preserve">2026-07-26</t>
  </si>
  <si>
    <t xml:space="preserve">13:05:19</t>
  </si>
  <si>
    <t xml:space="preserve">Open at card time; per the message he moved the stop loss to break-even to de-risk.</t>
  </si>
  <si>
    <t xml:space="preserve">Moving SL to BE on this one, de risking.</t>
  </si>
  <si>
    <t xml:space="preserve">257_2026-07-26_130519_blofin_1785044853876.png</t>
  </si>
  <si>
    <t xml:space="preserve">https://discord.com/channels/1042855255089623100/1501271173588193290/1530878680333684797</t>
  </si>
  <si>
    <t xml:space="preserve">19:41:53</t>
  </si>
  <si>
    <t xml:space="preserve">Posted together with the re-posted 07-24 BTC long card; per the message both trades used the same setup and he won 6 out of 6 BTC trades that week.</t>
  </si>
  <si>
    <t xml:space="preserve">Used same setup for both, won 6 out of 6 BTC trades last week!</t>
  </si>
  <si>
    <t xml:space="preserve">258_2026-07-26_194153_blofin_1785084020114.png</t>
  </si>
  <si>
    <t xml:space="preserve">https://discord.com/channels/1042855255089623100/1501271173588193290/1530978478122336388</t>
  </si>
  <si>
    <t xml:space="preserve">Identical re-post of the 07-24 12:13:23 card (same Blofin image file as 252_...), shown here as an example of the same setup; the card itself reflects the position as open at 07-24 12:13:23.</t>
  </si>
  <si>
    <t xml:space="preserve">259_2026-07-26_194153_blofin_1784877205495.png</t>
  </si>
  <si>
    <t xml:space="preserve">2026-07-27</t>
  </si>
  <si>
    <t xml:space="preserve">09:17:52</t>
  </si>
  <si>
    <t xml:space="preserve">Only 'Entry Price 565.46' and 'Average Close Price 577.32' are visible. Entry differs slightly from the Blofin BNB card (565.35) and the label wording ('Average Close Price') is not Blofin's, so this appears to be the same BNB long run on a second exchange/account. Closed at take-profit per the message ('TPed on BNB @ 577.3').</t>
  </si>
  <si>
    <t xml:space="preserve">TPed on BNB @ 577.3
@Paladin Notify</t>
  </si>
  <si>
    <t xml:space="preserve">261_2026-07-27_091752_Screenshot_20260727-1116452.png</t>
  </si>
  <si>
    <t xml:space="preserve">https://discord.com/channels/1042855255089623100/1501271173588193290/1531183825919676416</t>
  </si>
  <si>
    <t xml:space="preserve">09:18:19</t>
  </si>
  <si>
    <t xml:space="preserve">Same BNB long as the 07-26 10:47:31 card (entry 565.35, SL had been moved to break-even), now closed at 576.08.</t>
  </si>
  <si>
    <t xml:space="preserve">262_2026-07-27_091819_blofin_1785133089858.png</t>
  </si>
  <si>
    <t xml:space="preserve">https://discord.com/channels/1042855255089623100/1501271173588193290/1531183941451649094</t>
  </si>
  <si>
    <t xml:space="preserve">13:02:44</t>
  </si>
  <si>
    <t xml:space="preserve">Symbol is not visible on this tightly cropped card; it is taken from the accompanying message ('Closing XRP in very small profits'). Side, leverage and ROI are cut off. Close price (1.1081) is marginally above entry (1.1069), consistent with the 'very small profits' on a long, but side is not shown on the image. Message adds that he will look to long XRP again @ 1.08.</t>
  </si>
  <si>
    <t xml:space="preserve">Closing XRP in very small profits rn, slow mover and we have new trades
Will look to long @ 1.08
@Paladin Notify</t>
  </si>
  <si>
    <t xml:space="preserve">263_2026-07-27_130244_Screenshot_20260727-150011.png</t>
  </si>
  <si>
    <t xml:space="preserve">https://discord.com/channels/1042855255089623100/1501271173588193290/1531240416563826728</t>
  </si>
  <si>
    <t xml:space="preserve">18:44:22</t>
  </si>
  <si>
    <t xml:space="preserve">Blofin 'WOW' style share card (whale/green theme). Sell 75X, closed. Referral code DwquXN. Posted together with a BTCUSDT short card closed 4 seconds later (next image), with no message text.</t>
  </si>
  <si>
    <t xml:space="preserve">264_2026-07-27_184422_blofin_1785167048611.png</t>
  </si>
  <si>
    <t xml:space="preserve">https://discord.com/channels/1042855255089623100/1501271173588193290/1531326393814745300</t>
  </si>
  <si>
    <t xml:space="preserve">18:44:26</t>
  </si>
  <si>
    <t xml:space="preserve">Blofin 'WOW' style share card. Sell 150X, closed. Referral code DwquXN. Posted 4 seconds after the ZECUSDT short card, no message text.</t>
  </si>
  <si>
    <t xml:space="preserve">265_2026-07-27_184426_blofin_1785167052518.png</t>
  </si>
  <si>
    <t xml:space="preserve">https://discord.com/channels/1042855255089623100/1501271173588193290/1531326407685443824</t>
  </si>
  <si>
    <t xml:space="preserve">2026-07-28</t>
  </si>
  <si>
    <t xml:space="preserve">19:14:04</t>
  </si>
  <si>
    <t xml:space="preserve">Buy 125X, card shows Mark Price so the position was still open at +156.83%. Message instructs 'Set SL to BE' (stop loss to breakeven / entry 73.19). Referral code DwquXN.</t>
  </si>
  <si>
    <t xml:space="preserve">Set SL to BE
@Paladin Notify</t>
  </si>
  <si>
    <t xml:space="preserve">266_2026-07-28_191404_blofin_1785255215403.png</t>
  </si>
  <si>
    <t xml:space="preserve">https://discord.com/channels/1042855255089623100/1501271173588193290/1531696255858638968</t>
  </si>
  <si>
    <t xml:space="preserve">20:06:58</t>
  </si>
  <si>
    <t xml:space="preserve">Buy 150X. Card shows Close Price 63,939.0; per message this was a 70% partial take-profit at ~64k with the remainder left for 65k. Alternatives he offered: take 50% here without moving SL to entry and fully exit at 65k, or fully exit and re-enter at 63.1k with the same setup and TP at 65k. Referral code DwquXN.</t>
  </si>
  <si>
    <t xml:space="preserve">TPed 70% on BTC @ 64k, leaving some for 65k
You can either 50% here and not move SL to entry and fully exit at 65k
Or
Just fully exit and enter again at 63.1k with same setup and TP at 65k
@Paladin Notify</t>
  </si>
  <si>
    <t xml:space="preserve">267_2026-07-28_200658_blofin_1785258313582.png</t>
  </si>
  <si>
    <t xml:space="preserve">https://discord.com/channels/1042855255089623100/1501271173588193290/1531709566587375908</t>
  </si>
  <si>
    <t xml:space="preserve">2026-07-29</t>
  </si>
  <si>
    <t xml:space="preserve">13:12:16</t>
  </si>
  <si>
    <t xml:space="preserve">Only the Entry Price / Mark Price row of the card is visible; symbol taken from the message ('Exiting my last BTC position fully here'). Entry 63,182.1 is identical to the BTCUSDT Buy 150X Blofin card posted 07-28 (image 267), so this is the remaining ~30% of that long, shown at mark 64,652.4 just before he closed it. Message: followers can hold till 64.9k; cancel the BTC order given a while ago.</t>
  </si>
  <si>
    <t xml:space="preserve">Exiting my last BTC position fully here, you can hold till 64.9k if you want
Cancel the BTC order given a while ago
@Paladin Notify</t>
  </si>
  <si>
    <t xml:space="preserve">268_2026-07-29_131216_Screenshot_20260729-1511022.png</t>
  </si>
  <si>
    <t xml:space="preserve">https://discord.com/channels/1042855255089623100/1501271173588193290/1531967593995567274</t>
  </si>
  <si>
    <t xml:space="preserve">2026-07-30</t>
  </si>
  <si>
    <t xml:space="preserve">12:40:20</t>
  </si>
  <si>
    <t xml:space="preserve">Buy 150X, Mark Price shown so still open at +180.10%. Message: 'Close 50% here, gamble was a GO!' - a partial take-profit on a trade he called a gamble. Astronaut-themed Blofin card. Referral code DwquXN.</t>
  </si>
  <si>
    <t xml:space="preserve">Close 50% here, gamble was a GO!
@Paladin Notify</t>
  </si>
  <si>
    <t xml:space="preserve">269_2026-07-30_124020_blofin_1785404389699.png</t>
  </si>
  <si>
    <t xml:space="preserve">https://discord.com/channels/1042855255089623100/1501271173588193290/1532321942512730284</t>
  </si>
  <si>
    <t xml:space="preserve">14:56:43</t>
  </si>
  <si>
    <t xml:space="preserve">Same BTCUSDT Buy 150X position as image 269 (entry 63,812.5), now fully closed at 64,800.0 for +232.12%. Message: 'Fully TPed, told ya 65k is coming'. Referral code DwquXN.</t>
  </si>
  <si>
    <t xml:space="preserve">Fully TPed, told ya 65k is coming
@Paladin Notify</t>
  </si>
  <si>
    <t xml:space="preserve">270_2026-07-30_145643_blofin_1785412576787.png</t>
  </si>
  <si>
    <t xml:space="preserve">https://discord.com/channels/1042855255089623100/1501271173588193290/1532356267325001952</t>
  </si>
  <si>
    <t xml:space="preserve">2026-07-31</t>
  </si>
  <si>
    <t xml:space="preserve">08:17:01</t>
  </si>
  <si>
    <t xml:space="preserve">Yubit branded card (eagle-king mascot) showing only pair, side and ROI; no leverage or prices printed. Status taken from the message: 'The given TP on BTC was hit @ 64.2k', i.e. the short's take-profit at 64.2k was reached.</t>
  </si>
  <si>
    <t xml:space="preserve">The given TP on BTC was hit @ 64.2k
@Paladin Notify</t>
  </si>
  <si>
    <t xml:space="preserve">271_2026-07-31_081701_1785475003385.png</t>
  </si>
  <si>
    <t xml:space="preserve">https://discord.com/channels/1042855255089623100/1501271173588193290/1532618064221180016</t>
  </si>
  <si>
    <t xml:space="preserve">18:38:00</t>
  </si>
  <si>
    <t xml:space="preserve">ARKMUSDT</t>
  </si>
  <si>
    <t xml:space="preserve">ARKM</t>
  </si>
  <si>
    <t xml:space="preserve">Cropped card showing only 'ARKMUSDT Perp / Buy 50X / +67.07%'; entry and exit prices cut off. Per message: ARKM moved 0.5R from 0.096, he took profit because he only wanted a scalp; followers can move SL to entry and set TP @ 0.1. Closed status is from the message ('I TPed').</t>
  </si>
  <si>
    <t xml:space="preserve">ARKM moved 0.5R from 0.096, I TPed just wanted to scalp, you can move SL to entry and set TP @ 0.1 looks good</t>
  </si>
  <si>
    <t xml:space="preserve">272_2026-07-31_183800_Screenshot_20260731-203641.png</t>
  </si>
  <si>
    <t xml:space="preserve">https://discord.com/channels/1042855255089623100/1501271173588193290/1532774341559976006</t>
  </si>
  <si>
    <t xml:space="preserve">2026-08-01</t>
  </si>
  <si>
    <t xml:space="preserve">09:35:00</t>
  </si>
  <si>
    <t xml:space="preserve">Sell 75X, Mark Price shown (4.088) so open on the card at +267.66%; per message he took profit on UNI here and advised followers to take 50% and TP fully @ 3.99. Message also says both his long and short positions are running in decent profits. Referral code DwquXN.</t>
  </si>
  <si>
    <t xml:space="preserve">GM guys both are long and short are running in decent profits
I have TPed UNI here, you can do 50% and TP fully @ 3.99 
@Paladin Notify</t>
  </si>
  <si>
    <t xml:space="preserve">273_2026-08-01_093500_blofin_1785565917107.png</t>
  </si>
  <si>
    <t xml:space="preserve">https://discord.com/channels/1042855255089623100/1501271173588193290/1533000080259289209</t>
  </si>
  <si>
    <t xml:space="preserve">2026-08-02</t>
  </si>
  <si>
    <t xml:space="preserve">10:10:06</t>
  </si>
  <si>
    <t xml:space="preserve">Yubit card shows only pair, side and ROI. Per message: entry was 62.5k; with a 62k SL followers are up 2R, with a 61.4k SL almost 1R; he took 50% here @ 63.5k and plans to fully exit by 64k (so half the position remains open). Prices come from the message, not the card.</t>
  </si>
  <si>
    <t xml:space="preserve">If you longed with 62k SL you're up 2R,
If you longed with 61.4k SL you're up 1R almost 
Took 50 % here @ 63.5k, fully exit by 64k
Entry was 62.5k
@Paladin Notify</t>
  </si>
  <si>
    <t xml:space="preserve">274_2026-08-02_101006_1785654586182.png</t>
  </si>
  <si>
    <t xml:space="preserve">https://discord.com/channels/1042855255089623100/1501271173588193290/1533371299429093397</t>
  </si>
  <si>
    <t xml:space="preserve">23:36:35</t>
  </si>
  <si>
    <t xml:space="preserve">Yubit card with pair, side and ROI only. Message: 'ZEC TP taken at 490' - take-profit price 490 is from the message, not the card.</t>
  </si>
  <si>
    <t xml:space="preserve">ZEC TP taken at 490
@Paladin Notify</t>
  </si>
  <si>
    <t xml:space="preserve">275_2026-08-02_233635_1785702895952.png</t>
  </si>
  <si>
    <t xml:space="preserve">https://discord.com/channels/1042855255089623100/1501271173588193290/1533574259136401581</t>
  </si>
  <si>
    <t xml:space="preserve">2026-08-03</t>
  </si>
  <si>
    <t xml:space="preserve">00:49:38</t>
  </si>
  <si>
    <t xml:space="preserve">Yubit card with pair, side and ROI only. Message: 'Here you go guys ETH TP hit as well'.</t>
  </si>
  <si>
    <t xml:space="preserve">Here you go guys ETH TP hit as well
@Paladin Notify</t>
  </si>
  <si>
    <t xml:space="preserve">276_2026-08-03_004938_1785706999581.png</t>
  </si>
  <si>
    <t xml:space="preserve">https://discord.com/channels/1042855255089623100/1501271173588193290/1533592639574773810</t>
  </si>
  <si>
    <t xml:space="preserve">16:56:57</t>
  </si>
  <si>
    <t xml:space="preserve">MEXC-style card ('BTCUSDT Perpetual', 'Long | 500X', 'Entry Price $62,512.3', 'Fair Price $63,220.0'). Fair Price is this exchange's mark price, so the position was still open at +516.91%. A decorative mini price line shows a green 'B' (buy) marker near a local low with price rising sharply to the right. Message: he should have given this BTC long to the group too but was honestly expecting a dip to 61.8k first.</t>
  </si>
  <si>
    <t xml:space="preserve">Should have given BTC long too but honestly was expecting 61.8k</t>
  </si>
  <si>
    <t xml:space="preserve">277_2026-08-03_165657_Screenshot_20260803-185621.png</t>
  </si>
  <si>
    <t xml:space="preserve">https://discord.com/channels/1042855255089623100/1501271173588193290/1533836072679768215</t>
  </si>
  <si>
    <t xml:space="preserve">17:06:15</t>
  </si>
  <si>
    <t xml:space="preserve">Yubit card with pair, side and ROI only. Message: took TP on HYPE @ 53.5 because it was moving slower than expected; he still believes it goes 54-55, so followers can take a small TP here and a bigger one at 54-55. The 53.5 exit is from the message, not the card.</t>
  </si>
  <si>
    <t xml:space="preserve">Took TP on HYPE @ 53.5 
Moving slower than expected
I still believe it goes 54-55 so you can take small TP here and bigger at 54-55
@Paladin Notify</t>
  </si>
  <si>
    <t xml:space="preserve">278_2026-08-03_170615_1785765919699.png</t>
  </si>
  <si>
    <t xml:space="preserve">https://discord.com/channels/1042855255089623100/1501271173588193290/1533838416246997053</t>
  </si>
  <si>
    <t xml:space="preserve">17:06:52</t>
  </si>
  <si>
    <t xml:space="preserve">Yubit card with pair, side and ROI only. Message: 'ZEC missed TP by 1$ moving SL to Entry' - the take-profit was missed by $1, so the position stays open with the stop moved to breakeven. This is a new ZEC long after the earlier one was closed at 490 (image 275).</t>
  </si>
  <si>
    <t xml:space="preserve">ZEC missed TP by 1$ moving SL to Entry 
@Paladin Notify</t>
  </si>
  <si>
    <t xml:space="preserve">279_2026-08-03_170652_1785765993579.png</t>
  </si>
  <si>
    <t xml:space="preserve">https://discord.com/channels/1042855255089623100/1501271173588193290/1533838570681536705</t>
  </si>
  <si>
    <t xml:space="preserve">17:49:14</t>
  </si>
  <si>
    <t xml:space="preserve">SPCXUSDT</t>
  </si>
  <si>
    <t xml:space="preserve">SPCX</t>
  </si>
  <si>
    <t xml:space="preserve">Yubit card showing Entry Price 107.82 and Last Price 112.01 (open position). SPCX is a stock-perpetual on Yubit (SpaceX). Posted in a recap message ('Haven't even been a week and start counting the TPs / And August is supposed to be a hard month right?') together with re-shares of the HYPE and ZEC cards.</t>
  </si>
  <si>
    <t xml:space="preserve">Haven't even been a week and start counting the TPs 
And August is supposed to be a hard month right?
@Paladin Notify</t>
  </si>
  <si>
    <t xml:space="preserve">280_2026-08-03_174914_1785768313844.png</t>
  </si>
  <si>
    <t xml:space="preserve">https://discord.com/channels/1042855255089623100/1501271173588193290/1533849230681309194</t>
  </si>
  <si>
    <t xml:space="preserve">Identical card to image 279 (same Yubit timestamp 2026-08-03 19:06, same +91.49%), re-posted ~43 minutes later in the recap message. At the time of the original post the ZEC position was still open with SL moved to entry after missing TP by $1.</t>
  </si>
  <si>
    <t xml:space="preserve">281_2026-08-03_174914_1785765993579.png</t>
  </si>
  <si>
    <t xml:space="preserve">Identical card to image 278 (same Yubit timestamp 2026-08-03 19:05, same +109.69%), re-posted in the recap message. The original post said TP was taken on HYPE @ 53.5.</t>
  </si>
  <si>
    <t xml:space="preserve">282_2026-08-03_174914_1785765919699.png</t>
  </si>
  <si>
    <t xml:space="preserve">Yubit share card variant without the entry/exit price block; only pair, side and ROI are shown. Posted as one of three 'TP' cards (ETH, ZEC, BTC longs).</t>
  </si>
  <si>
    <t xml:space="preserve">283_2026-08-03_174914_1785706999581.png</t>
  </si>
  <si>
    <t xml:space="preserve">Yubit share card variant without the entry/exit price block; only pair, side and ROI are shown.</t>
  </si>
  <si>
    <t xml:space="preserve">284_2026-08-03_174914_1785702895952.png</t>
  </si>
  <si>
    <t xml:space="preserve">285_2026-08-03_174914_1785654470541.png</t>
  </si>
  <si>
    <t xml:space="preserve">23:55:51</t>
  </si>
  <si>
    <t xml:space="preserve">Card shows 'Exit Price 115.00' (closed/partial TP). Entry Price 107.83. Image embedded from his X post.</t>
  </si>
  <si>
    <t xml:space="preserve">If anyone took my SPCX call from my X I have taken TP here
https://x.com/i/status/2084382519739465968
@Paladin Notify</t>
  </si>
  <si>
    <t xml:space="preserve">286_2026-08-03_235551_EMBED_HO022blXcAAPmiZ.jpg</t>
  </si>
  <si>
    <t xml:space="preserve">https://discord.com/channels/1042855255089623100/1501271173588193290/1533941496242372833</t>
  </si>
  <si>
    <t xml:space="preserve">2026-08-04</t>
  </si>
  <si>
    <t xml:space="preserve">19:23:53</t>
  </si>
  <si>
    <t xml:space="preserve">Card shows 'Last Price 121.91' so the position was still open when shared. Entry Price 107.82 (previous card showed 107.83).</t>
  </si>
  <si>
    <t xml:space="preserve">SPCX up 15% from the X call!
Excited for the earnings I just hope they don't kick me out at BE</t>
  </si>
  <si>
    <t xml:space="preserve">287_2026-08-04_192353_1785860557784.png</t>
  </si>
  <si>
    <t xml:space="preserve">https://discord.com/channels/1042855255089623100/1501271173588193290/1534235441216229496</t>
  </si>
  <si>
    <t xml:space="preserve">22:19:33</t>
  </si>
  <si>
    <t xml:space="preserve">Card shows 'Last Price 126.67' so the position was still open when shared. Image embedded from his X post; message says he took another 20% off after a 20% pump.</t>
  </si>
  <si>
    <t xml:space="preserve">Took more 20% after a 20% pump
https://x.com/i/status/2084720442309271664</t>
  </si>
  <si>
    <t xml:space="preserve">288_2026-08-04_221933_EMBED_HO5qMFabAAEgKty.jpg</t>
  </si>
  <si>
    <t xml:space="preserve">https://discord.com/channels/1042855255089623100/1501271173588193290/1534279649415397508</t>
  </si>
  <si>
    <t xml:space="preserve">2026-08-05</t>
  </si>
  <si>
    <t xml:space="preserve">15:33:19</t>
  </si>
  <si>
    <t xml:space="preserve">Yubit share card variant without the entry/exit price block; only pair, side and ROI are shown. Accompanying message says he closed ETH in small profits @ 1882 and suggests SL to entry and TP @ 1892 for those holding.</t>
  </si>
  <si>
    <t xml:space="preserve">I have closed ETH in small profits @ 1882, move SL to entry and TP @ 1892 if you want to hold 
@Paladin Notify</t>
  </si>
  <si>
    <t xml:space="preserve">289_2026-08-05_153319_1785933110483.png</t>
  </si>
  <si>
    <t xml:space="preserve">https://discord.com/channels/1042855255089623100/1501271173588193290/1534539802131697687</t>
  </si>
  <si>
    <t xml:space="preserve">15:38:28</t>
  </si>
  <si>
    <t xml:space="preserve">Header reads 'BTCUSDT Perpetual / Long | 500X / +501.92%' with a mini price line and a green 'B' (buy) marker at the entry point. The price block (entry/close or fair price) is cropped out. Message says 'BTC target hit as well @64.5'.</t>
  </si>
  <si>
    <t xml:space="preserve">BTC target hit as well @64.5 some of you longed with ETH</t>
  </si>
  <si>
    <t xml:space="preserve">290_2026-08-05_153828_1785867756758.jpg</t>
  </si>
  <si>
    <t xml:space="preserve">https://discord.com/channels/1042855255089623100/1501271173588193290/1534541098058383451</t>
  </si>
  <si>
    <t xml:space="preserve">19:22:58</t>
  </si>
  <si>
    <t xml:space="preserve">Card shows 'Last Price 1,890.27' (position open at share time); message says 'Closing ETH here', i.e. he closed around this price.</t>
  </si>
  <si>
    <t xml:space="preserve">Closing ETH here
@Paladin Notify</t>
  </si>
  <si>
    <t xml:space="preserve">293_2026-08-05_192258_1785946967096.png</t>
  </si>
  <si>
    <t xml:space="preserve">https://discord.com/channels/1042855255089623100/1501271173588193290/1534597598177005659</t>
  </si>
  <si>
    <t xml:space="preserve">2026-08-06</t>
  </si>
  <si>
    <t xml:space="preserve">12:27:31</t>
  </si>
  <si>
    <t xml:space="preserve">Card shows 'Last Price 64,774.60' (open short). Message context: shorted BTC the previous night together with an ETH short; suggests SL can be 66k and keeps margin for DCA (SL value not on the image).</t>
  </si>
  <si>
    <t xml:space="preserve">Hey guys still in ETH, went nearly 1R didn't book, I also shorted BTC last night with ETH 
SL can be 66k, will keep some for DCA 
@Paladin Notify</t>
  </si>
  <si>
    <t xml:space="preserve">294_2026-08-06_122731_1786008385332.png</t>
  </si>
  <si>
    <t xml:space="preserve">https://discord.com/channels/1042855255089623100/1501271173588193290/1534855435092230227</t>
  </si>
  <si>
    <t xml:space="preserve">16:25:06</t>
  </si>
  <si>
    <t xml:space="preserve">Labeled 'Closed PNL: ETHUSDT Perpetual Short | 300X +235.10%'. Sparkline shows an 'S' marker at a local top (short entry) and a 'B' marker lower (buy-back/close). Entry/close prices cropped out. Message: 'Closed ETH @ 1892, 1R done. You can keep 50% and let it run to 1885'.</t>
  </si>
  <si>
    <t xml:space="preserve">Closed ETH @ 1892, 1R done
You can keep 50% and let it run to 1885
@Paladin Notify</t>
  </si>
  <si>
    <t xml:space="preserve">295_2026-08-06_162506_Screenshot_20260806-182417.png</t>
  </si>
  <si>
    <t xml:space="preserve">https://discord.com/channels/1042855255089623100/1501271173588193290/1534915224547889192</t>
  </si>
  <si>
    <t xml:space="preserve">2026-08-07</t>
  </si>
  <si>
    <t xml:space="preserve">17:10:18</t>
  </si>
  <si>
    <t xml:space="preserve">Referred to as 'BTC' in the message. He is holding his BTC short; advises others to exit in small profits and re-enter (short) around 65.3-65.8k, expecting a push to 65.6-66k before the move down. Re-post of this message came with 'If anyone entered from 65.3k you sniped! SL to entry it book 50%'.</t>
  </si>
  <si>
    <t xml:space="preserve">If anyone entered from 65.3k you sniped!
SL to entry it book 50%</t>
  </si>
  <si>
    <t xml:space="preserve">296_2026-08-07_171018_Screenshot_20260807-183048.png</t>
  </si>
  <si>
    <t xml:space="preserve">https://discord.com/channels/1042855255089623100/1501271173588193290/1535288987659280535</t>
  </si>
  <si>
    <t xml:space="preserve">2026-08-10</t>
  </si>
  <si>
    <t xml:space="preserve">16:09:39</t>
  </si>
  <si>
    <t xml:space="preserve">Header 'Close Short | 300X'. Avg Entry Price $1,922.78, Avg Close Price $1,907.31. Message: 'Closed ETH finally'.</t>
  </si>
  <si>
    <t xml:space="preserve">Closed ETH finally
@Paladin Notify</t>
  </si>
  <si>
    <t xml:space="preserve">297_2026-08-10_160939_Screenshot_20260810-180913.png</t>
  </si>
  <si>
    <t xml:space="preserve">https://discord.com/channels/1042855255089623100/1501271173588193290/1536360885696856125</t>
  </si>
  <si>
    <t xml:space="preserve">16:59:01</t>
  </si>
  <si>
    <t xml:space="preserve">Blofin card: 'BTCUSDT Perp, Sell 150X'. Entry Price 65,024.1, Close Price 64,504.5. Message: target reached, 75% closed here, 25% left for 64k. Referral Code DwquXN.</t>
  </si>
  <si>
    <t xml:space="preserve">Target reached that I mentioned earlier 75% closed here, 25% leaving for 64k 
@Paladin Notify</t>
  </si>
  <si>
    <t xml:space="preserve">298_2026-08-10_165901_blofin_1786370256254.png</t>
  </si>
  <si>
    <t xml:space="preserve">https://discord.com/channels/1042855255089623100/1501271173588193290/1536373310953365534</t>
  </si>
  <si>
    <t xml:space="preserve">GRTUSDT</t>
  </si>
  <si>
    <t xml:space="preserve">GRT</t>
  </si>
  <si>
    <t xml:space="preserve">Card shows 'Exit Price 0.01443' (closed). Message: 'TP taken for a 0.7R, 1R with soft SL'.</t>
  </si>
  <si>
    <t xml:space="preserve">TP taken for a 0.7R, 1R with soft SL 
@Paladin Notify</t>
  </si>
  <si>
    <t xml:space="preserve">299_2026-08-10_180251_1786374134448.png</t>
  </si>
  <si>
    <t xml:space="preserve">https://discord.com/channels/1042855255089623100/1501271173588193290/1536389375838130306</t>
  </si>
  <si>
    <t xml:space="preserve">2026-08-11</t>
  </si>
  <si>
    <t xml:space="preserve">14:05:41</t>
  </si>
  <si>
    <t xml:space="preserve">Card shows 'Exit Price 1,890.16' (closed). Message: 'ETH TP hit'.</t>
  </si>
  <si>
    <t xml:space="preserve">ETH TP hit 
@Paladin Notify</t>
  </si>
  <si>
    <t xml:space="preserve">300_2026-08-11_140541_1786446300323.png</t>
  </si>
  <si>
    <t xml:space="preserve">https://discord.com/channels/1042855255089623100/1501271173588193290/1536692076413194301</t>
  </si>
  <si>
    <t xml:space="preserve">18:07:19</t>
  </si>
  <si>
    <t xml:space="preserve">Header 'Short | 100X'; Avg Entry Price $77.23, Avg Close Price $75.23. Sparkline with a 'B' marker at the start (top) and an 'S' marker at the end (bottom) of a declining line. Image embedded from his X post.</t>
  </si>
  <si>
    <t xml:space="preserve">https://x.com/i/status/2087193481961963834</t>
  </si>
  <si>
    <t xml:space="preserve">301_2026-08-11_180719_EMBED_HPczaFOaAAEpO1M.jpg</t>
  </si>
  <si>
    <t xml:space="preserve">https://discord.com/channels/1042855255089623100/1501271173588193290/1536752885218541688</t>
  </si>
  <si>
    <t xml:space="preserve">23:24:28</t>
  </si>
  <si>
    <t xml:space="preserve">Spot holding card, not a futures position: 'BTC +0%', 'Avg. Buy Price $63,500'. First buy of his public BTC accumulation plan announced on X.</t>
  </si>
  <si>
    <t xml:space="preserve">A lot of people ask me when to buy BTC for the bull run, IDK when but I personally believe the bottom is near or sooner than Oct - Nov for that I have started a public accumulation plan on my X.
If anyone's interested in spot buying and don't know when to, they can use this as a guide, no I'm not trying to buy bottom just  accumulating for the next run and yeah as they say NFA
@Paladin Notify 
https://x.com/i/status/2087230603582390494</t>
  </si>
  <si>
    <t xml:space="preserve">302_2026-08-11_232428_EMBED_HPdVJrLa0AAXt0j.jpg</t>
  </si>
  <si>
    <t xml:space="preserve">https://discord.com/channels/1042855255089623100/1501271173588193290/1536832698843271221</t>
  </si>
  <si>
    <t xml:space="preserve">2026-08-12</t>
  </si>
  <si>
    <t xml:space="preserve">15:15:55</t>
  </si>
  <si>
    <t xml:space="preserve">Card shows only pair, side and ROI (+91.10%); entry/exit prices are not displayed on this card variant (king-on-throne graphic). Accompanying message: BTC DCA filled, entry around 63.8k (63.9k without DCA), targeting 64.5-64.6k, can pump up to 65k, will exit on rejection, so the position was still open when shared.</t>
  </si>
  <si>
    <t xml:space="preserve">BTC DCA filled entry is around 63.8k
Even if you didn't DCA 63.9k
I'm targeting 64.5-64.6k for now can pump upto 65, will exit when I see rejection 
If anyone wants to exit before CPI they can safely
@Paladin Notify</t>
  </si>
  <si>
    <t xml:space="preserve">303_2026-08-12_151555_1786536770895.png</t>
  </si>
  <si>
    <t xml:space="preserve">https://discord.com/channels/1042855255089623100/1501271173588193290/1537072140657102968</t>
  </si>
  <si>
    <t xml:space="preserve">2026-08-14</t>
  </si>
  <si>
    <t xml:space="preserve">11:40:00</t>
  </si>
  <si>
    <t xml:space="preserve">Card labels the prices 'Entry Price 58.35' and 'Exit Price 56.503'. Message says 'TP hit for HYPE'. Leverage not shown.</t>
  </si>
  <si>
    <t xml:space="preserve">TP hit for HYPE
@Paladin Notify</t>
  </si>
  <si>
    <t xml:space="preserve">304_2026-08-14_114000_1786696764450.png</t>
  </si>
  <si>
    <t xml:space="preserve">https://discord.com/channels/1042855255089623100/1501271173588193290/1537742577057538099</t>
  </si>
  <si>
    <t xml:space="preserve">2026-08-15</t>
  </si>
  <si>
    <t xml:space="preserve">04:42:38</t>
  </si>
  <si>
    <t xml:space="preserve">Card shows only pair, side and ROI (+103.90%); entry/exit prices not displayed. Message says 'ZEC TP hit', i.e. the long was closed at take profit. The later ZEC chart (image 306) shows a sell marker at 498.44, the 24h high.</t>
  </si>
  <si>
    <t xml:space="preserve">305_2026-08-15_044238_1786757982911.png</t>
  </si>
  <si>
    <t xml:space="preserve">https://discord.com/channels/1042855255089623100/1501271173588193290/1537999932391432213</t>
  </si>
  <si>
    <t xml:space="preserve">15:08:40</t>
  </si>
  <si>
    <t xml:space="preserve">An 'S' (sell) execution marker sits on the chart at the 498.44 candle high (also the 24h High), marking where the ZEC long was exited. Message: 'Great exit on ZEC, looks ready for a round 2 with same setup I'm not taking but looks valid'. Exit price is read from the marker label on the chart, not from a trade card.</t>
  </si>
  <si>
    <t xml:space="preserve">Great exit on ZEC, looks ready for a round 2 with same setup I'm not taking but looks valid</t>
  </si>
  <si>
    <t xml:space="preserve">306_2026-08-15_150840_Screenshot_20260815-170636.png</t>
  </si>
  <si>
    <t xml:space="preserve">https://discord.com/channels/1042855255089623100/1501271173588193290/1538157479907557397</t>
  </si>
  <si>
    <t xml:space="preserve">2026-08-17</t>
  </si>
  <si>
    <t xml:space="preserve">13:36:07</t>
  </si>
  <si>
    <t xml:space="preserve">Card shows only pair, side and ROI (+123.88%); no prices printed. Message: 'SOL DCA filled and in some profits, closing here @ 75.6 for now' (75.6 is from the message, not the card).</t>
  </si>
  <si>
    <t xml:space="preserve">SOL DCA filled and in some profits, closing here @ 75.6 for now
@Paladin Notify</t>
  </si>
  <si>
    <t xml:space="preserve">308_2026-08-17_133607_1786962852833.png</t>
  </si>
  <si>
    <t xml:space="preserve">https://discord.com/channels/1042855255089623100/1501271173588193290/1538858963599237141</t>
  </si>
  <si>
    <t xml:space="preserve">18:49:32</t>
  </si>
  <si>
    <t xml:space="preserve">Card labels 'Entry Price 63,797.10' and 'Exit Price 64,144.90'. Entry matches the ~63.8k BTC DCA long announced on 12 Aug (image 303). Leverage not shown. No message accompanied the image.</t>
  </si>
  <si>
    <t xml:space="preserve">309_2026-08-17_184932_1786981767602.png</t>
  </si>
  <si>
    <t xml:space="preserve">https://discord.com/channels/1042855255089623100/1501271173588193290/1538937837674565754</t>
  </si>
  <si>
    <t xml:space="preserve">22:52:29</t>
  </si>
  <si>
    <t xml:space="preserve">Card labels 'Entry Price 0.3552' and 'Exit Price 0.3493'. Message: closing WLD for some profits, not planning to hold, 'just scalping and winning'. Leverage not shown.</t>
  </si>
  <si>
    <t xml:space="preserve">Closing WLD for some profits as I mentioned not planning to hold, just scalping and winning
@Paladin Notify</t>
  </si>
  <si>
    <t xml:space="preserve">310_2026-08-17_225229_1786996299550.png</t>
  </si>
  <si>
    <t xml:space="preserve">https://discord.com/channels/1042855255089623100/1501271173588193290/1538998978224463882</t>
  </si>
  <si>
    <t xml:space="preserve">2026-08-19</t>
  </si>
  <si>
    <t xml:space="preserve">18:38:43</t>
  </si>
  <si>
    <t xml:space="preserve">Unbranded spot-holding PnL card (same 3D-candlestick template as the HYPE 'Avg. Buy Price' card, image 314); no long/short label on the card, it is a spot accumulation position. Message: 'public accumulation almost 10% up, bought right before the pump', linked to his tweet https://x.com/Paladinccore/status/2090100741633692063.</t>
  </si>
  <si>
    <t xml:space="preserve">Sorry I meant public accumulation almost 10% up, bought right before the pump!
https://x.com/Paladinccore/status/2090100741633692063</t>
  </si>
  <si>
    <t xml:space="preserve">312_2026-08-19_183843_EMBED_HQGHi1KW0AATD0S.jpg</t>
  </si>
  <si>
    <t xml:space="preserve">https://discord.com/channels/1042855255089623100/1501271173588193290/1539659891747192934</t>
  </si>
  <si>
    <t xml:space="preserve">22:37:03</t>
  </si>
  <si>
    <t xml:space="preserve">Spot holding card: 'Avg. Buy Price $56.23', +27.77%. No long/short label (spot accumulation). Message: been telling people to buy HYPE and SOL for a month, up nearly 30%, plans to TP around new ATH. Image was edited in Picsart (filename).</t>
  </si>
  <si>
    <t xml:space="preserve">Been telling you guys to buy HYPE and SOL for a month now, up nearly 30% if you want to take something.
I'll TP around new ATH or so
@Paladin Notify</t>
  </si>
  <si>
    <t xml:space="preserve">314_2026-08-19_223703_Picsart_26-08-20_00-36-21-428.png</t>
  </si>
  <si>
    <t xml:space="preserve">https://discord.com/channels/1042855255089623100/1501271173588193290/1539719871208751124</t>
  </si>
  <si>
    <t xml:space="preserve">2026-08-20</t>
  </si>
  <si>
    <t xml:space="preserve">10:13:39</t>
  </si>
  <si>
    <t xml:space="preserve">BloFin card: 'BTCUSDT Perp, Buy 150X, +172.83%, Entry Price 69,111.2, Close Price 69,907.6', referral code DwquXN. Message: 'Closed my long scalp, snipe entry if you entered from 68.9k'.</t>
  </si>
  <si>
    <t xml:space="preserve">Closed my long scalp, snipe entry if you entered from 68.9k
@Paladin Notify</t>
  </si>
  <si>
    <t xml:space="preserve">315_2026-08-20_101339_blofin_1787209981050.png</t>
  </si>
  <si>
    <t xml:space="preserve">https://discord.com/channels/1042855255089623100/1501271173588193290/1539895172819853352</t>
  </si>
  <si>
    <t xml:space="preserve">11:18:35</t>
  </si>
  <si>
    <t xml:space="preserve">Tight crop of a share card showing only 'Avg Entry Price $69,220.4' and 'Avg Close Price $70,999.5' (MEXC-style template). Symbol and side are not in the crop; BTC long is taken from the message 'Closing BTC extended TP setup as well @ 71k' and from close &gt; entry on a TP exit.</t>
  </si>
  <si>
    <t xml:space="preserve">Closing BTC extended TP setup as well @ 71k
@Paladin Notify</t>
  </si>
  <si>
    <t xml:space="preserve">316_2026-08-20_111835_Screenshot_20260820-1316552.png</t>
  </si>
  <si>
    <t xml:space="preserve">https://discord.com/channels/1042855255089623100/1501271173588193290/1539911513731760148</t>
  </si>
  <si>
    <t xml:space="preserve">20:07:56</t>
  </si>
  <si>
    <t xml:space="preserve">29.27% of portfolio</t>
  </si>
  <si>
    <t xml:space="preserve">Spot holding in his bull-run portfolio allocation chart; not a futures trade.</t>
  </si>
  <si>
    <t xml:space="preserve">My holdings for bull run, I have been accumulating this since last 6 months</t>
  </si>
  <si>
    <t xml:space="preserve">317_2026-08-20_200756_Screenshot_20260819-203352.png</t>
  </si>
  <si>
    <t xml:space="preserve">https://discord.com/channels/1042855255089623100/1501271173588193290/1540044731822641243</t>
  </si>
  <si>
    <t xml:space="preserve">22.89% of portfolio</t>
  </si>
  <si>
    <t xml:space="preserve">20.82% of portfolio</t>
  </si>
  <si>
    <t xml:space="preserve">13.64% of portfolio</t>
  </si>
  <si>
    <t xml:space="preserve">LINKUSDT</t>
  </si>
  <si>
    <t xml:space="preserve">LINK</t>
  </si>
  <si>
    <t xml:space="preserve">7.33% of portfolio</t>
  </si>
  <si>
    <t xml:space="preserve">AVAXUSDT</t>
  </si>
  <si>
    <t xml:space="preserve">AVAX</t>
  </si>
  <si>
    <t xml:space="preserve">3.84% of portfolio</t>
  </si>
  <si>
    <t xml:space="preserve">2.21% of portfolio</t>
  </si>
  <si>
    <t xml:space="preserve">2026-08-21</t>
  </si>
  <si>
    <t xml:space="preserve">04:56:15</t>
  </si>
  <si>
    <t xml:space="preserve">Unbranded spot-holding PnL card (same template as images 312 and 314); no long/short label, it is his spot BTC accumulation. Message: told to buy BTC 2 days ago on the day of the pump, up 20% from 63k; linked tweet https://x.com/Paladinccore/status/2090618721853460776.</t>
  </si>
  <si>
    <t xml:space="preserve">But to prove my thesis, I told to buy BTC 2 days ago, right on the day of pump and it's up 20% from 63k!
https://x.com/Paladinccore/status/2090618721853460776</t>
  </si>
  <si>
    <t xml:space="preserve">319_2026-08-21_045615_EMBED_HQNepSnWcAA7Ybm.jpg</t>
  </si>
  <si>
    <t xml:space="preserve">https://discord.com/channels/1042855255089623100/1501271173588193290/1540177688071770203</t>
  </si>
  <si>
    <t xml:space="preserve">#</t>
  </si>
  <si>
    <t xml:space="preserve">Trading related</t>
  </si>
  <si>
    <t xml:space="preserve">Trades in image</t>
  </si>
  <si>
    <t xml:space="preserve">Symbols</t>
  </si>
  <si>
    <t xml:space="preserve">Chart timeframe</t>
  </si>
  <si>
    <t xml:space="preserve">Chart indicators</t>
  </si>
  <si>
    <t xml:space="preserve">Chart levels / drawings</t>
  </si>
  <si>
    <t xml:space="preserve">What the chart shows</t>
  </si>
  <si>
    <t xml:space="preserve">Description</t>
  </si>
  <si>
    <t xml:space="preserve">Text visible in image</t>
  </si>
  <si>
    <t xml:space="preserve">Date/time printed on image</t>
  </si>
  <si>
    <t xml:space="preserve">Issues</t>
  </si>
  <si>
    <t xml:space="preserve">Duplicate of</t>
  </si>
  <si>
    <t xml:space="preserve">yes</t>
  </si>
  <si>
    <t xml:space="preserve">ALGOUSDT, ASTERUSDT, AXSUSDT, BTCUSDT, ETHUSDT, HYPEUSDT, IRYSUSDT, PEPEUSDT, SOLUSDT</t>
  </si>
  <si>
    <t xml:space="preserve">Screenshot of his own Discord recap message listing 25 journal trades by ticker (22 wins, 3 break-even, 0 losses) with a party emoji, followed by an embedded Binance Futures USDⓈ-M 'My Futures PnL' card showing Cumulative PNL % +90.94% for the period 2026-04-30 to 2026-05-07, a small gold cumulative-PnL sparkline (flat, dip, spike, dip, slight rise) and Win Rate 100.00%. Shows he is journaling on Binance Futures and trades mostly BTC with occasional alts (ETH, ASTER, AXS, IRYS, HYPE, PEPE, SOL, ALGO).</t>
  </si>
  <si>
    <t xml:space="preserve">So far, 25 trades
22 Winning trades (ASTER, AXS, IRYS, BTC, BTC, BTC, ETH, HYPE, PEPE, ETH, BTC, BTC, BTC, BTC, BTC, ETH, BTC, BTC, BTC, BTC, BTC)
3 BE trades (SOL, ALGO, BTC)
0 Loss (edited)
🎉
[Binance share card]
My Futures PnL
Cumulative PNL %
Period: 2026-04-30 - 2026-05-07
+90.94%
Win Rate
100.00%
BINANCE FUTURES | USDⓈ-M
Referral Code 550295426</t>
  </si>
  <si>
    <t xml:space="preserve">Period: 2026-04-30 - 2026-05-07</t>
  </si>
  <si>
    <t xml:space="preserve">Author name and message time are cropped out. The recap says 22 winning trades but only 21 tickers are listed in the parentheses (24 tickers total vs. 25 trades stated); trade entries reflect the 24 tickers actually listed. Tickers are given as base assets only (no quote currency); the sparkline is a PnL curve, not a price chart.</t>
  </si>
  <si>
    <t xml:space="preserve">A tiny crop of an exchange position/order field showing only 'Entry Price (USDT) 79,564.80' (dark UI, label style resembling Bybit's positions tab). Posted as BTC 'started moving' to show his entry level while suggesting followers take 20% off at 80.5k.</t>
  </si>
  <si>
    <t xml:space="preserve">Entry Price (USDT)
79,564.80</t>
  </si>
  <si>
    <t xml:space="preserve">Image is a small crop: no symbol, side, leverage, size, PnL or exchange branding visible; symbol/side inferred from message context only. Platform not identifiable with certainty.</t>
  </si>
  <si>
    <t xml:space="preserve">Top portion of a Bybit-style PnL share card for a UNIUSDT 50X long showing ROI +101.21%; posted when he closed 50% of the UNI position as the 'first win'.</t>
  </si>
  <si>
    <t xml:space="preserve">UNIUSDT Long 50.0X
ROI
+101.21%</t>
  </si>
  <si>
    <t xml:space="preserve">Card is cropped below the ROI: entry/exit prices, price-type label and exchange logo are not visible. Platform identified from the card style (identical to his other Bybit cards), not from a visible logo.</t>
  </si>
  <si>
    <t xml:space="preserve">19:41:13</t>
  </si>
  <si>
    <t xml:space="preserve">15m</t>
  </si>
  <si>
    <t xml:space="preserve">EMA7 (3.614); EMA14 (3.577); EMA28 (3.537); volume with MA5 (138.12K) and MA10 (124.64K)</t>
  </si>
  <si>
    <t xml:space="preserve">exchange auto high marker 3.698 at the current candle; exchange auto low marker 3.392 near 13:15; current price line 3.687 with countdown 05:13; no user drawings</t>
  </si>
  <si>
    <t xml:space="preserve">UNIUSDT 15m in a vertical breakout: after grinding up along the EMAs all day, price went parabolic from ~3.47 around 18:45 to a new 24h high of 3.698 with a big volume spike on the last candles; EMAs stacked bullishly. He posted this as he exited UNI fully at 3.7, i.e. selling into the spike.</t>
  </si>
  <si>
    <t xml:space="preserve">Bybit app (Demo Trading watermark) 15m candlestick chart of UNIUSDT, up +7.52% on the day, showing a parabolic breakout to the 24h high 3.698 with last price 3.687 and a volume spike. Posted with his message that he is fully out of UNI at 3.7 for ~1.4R and expects $4 by the coming weekend/week.</t>
  </si>
  <si>
    <t xml:space="preserve">UNIUSDT ▾  +7.52%  MM 0.65%
Chart  Overview  Data  Feed
Last Traded Price ▾
3.687
Mark Price 3.689
24h High 3.698
24h Low 3.383
24h Turnover 13.02M
Time  15m  1h  4h  1D  More ▾  |  Depth
EMA7: 3.614  EMA14: 3.577  EMA28: 3.537
3.698
3.687  05:13
3.621
3.545
3.468
3.392
BYBIT Demo Trading
10:30  13:15  16:00  18:45  21:30  00:15
VOLUME: 184.08K  MA5: 138.12K  MA10: 124.64K
298.48K</t>
  </si>
  <si>
    <t xml:space="preserve">Well UNI blew up, I'm fully out here @ 3.7 for around 1.4 R
Think we see 4$ by coming weekend/week
@Paladin Notify</t>
  </si>
  <si>
    <t xml:space="preserve">chart time axis 10:30, 13:15, 16:00, 18:45, 21:30, 00:15 (no date shown); candle countdown 05:13</t>
  </si>
  <si>
    <t xml:space="preserve">The green 'MM 0.65%' badge next to the symbol is transcribed verbatim but its meaning is not stated on screen. Bottom of the volume pane is cut off.</t>
  </si>
  <si>
    <t xml:space="preserve">004_2026-05-08_194113_Screenshot_20260508-213947.png</t>
  </si>
  <si>
    <t xml:space="preserve">https://discord.com/channels/1042855255089623100/1501271173588193290/1502349669571891250</t>
  </si>
  <si>
    <t xml:space="preserve">02:01:21</t>
  </si>
  <si>
    <t xml:space="preserve">4h</t>
  </si>
  <si>
    <t xml:space="preserve">EMA7 (90.319); EMA14 (89.347); EMA28 (88.070)</t>
  </si>
  <si>
    <t xml:space="preserve">exchange auto high marker 92.760 at the latest candles; exchange auto low marker 82.740 near 05/01-05/02; current price line 92.240 with countdown 01:06:14; no user drawings</t>
  </si>
  <si>
    <t xml:space="preserve">SOLUSDT 4h in a steady uptrend from ~82.74 on May 1: base-building, then a strong impulse on May 5-6 to ~90, consolidation around 88-90 along EMA7/EMA14, and a large green 4h candle to a new 24h high 92.760 with the current candle slightly red at 92.240. Posted as one of the alts he said were 'popping off'.</t>
  </si>
  <si>
    <t xml:space="preserve">Bybit (Demo Trading) 4h chart of SOLUSDT, +4.79% on the day, breaking out to a 24h high of 92.760 with price at 92.240 above bullishly stacked EMAs. One of four alt charts he posted to show the coins he had mentioned were all moving up.</t>
  </si>
  <si>
    <t xml:space="preserve">SOLUSDT ▾  +4.79%  MM 0.80%
Chart  Overview  Data  Feed
Last Traded Price ▾
92.240
Mark Price 92.240
24h High 92.760
24h Low 87.560
24h Turnover 907.66M
Time  15m  1h  4h  1D  More ▾  |  Depth
EMA7: 90.319  EMA14: 89.347  EMA28: 88.070
92.760
92.240  01:06:14
90.255
87.750
85.245
82.740
BYBIT Demo Trading
05/01 17:00  05/03 13:00  05/05 09:00  05/07 05:00  05/09 01:00  05/10 21</t>
  </si>
  <si>
    <t xml:space="preserve">Look at them go, every ALT I mentioned here just popping off even ASTER started moving 🤣
Usually I'm already in too many trades and have to limit myself for giving positions because I feel like people don't care about risk management and jump in all in.
But if I ever mention a coin and you can do some analysis, check them out!</t>
  </si>
  <si>
    <t xml:space="preserve">chart time axis 05/01 17:00, 05/03 13:00, 05/05 09:00, 05/07 05:00, 05/09 01:00, 05/10 21… (cut); candle countdown 01:06:14</t>
  </si>
  <si>
    <t xml:space="preserve">Last time-axis label is cut off ('05/10 21'). 'MM 0.80%' badge meaning not stated on screen.</t>
  </si>
  <si>
    <t xml:space="preserve">005_2026-05-09_020121_Screenshot_20260509-035346.png</t>
  </si>
  <si>
    <t xml:space="preserve">https://discord.com/channels/1042855255089623100/1501271173588193290/1502445332355878943</t>
  </si>
  <si>
    <t xml:space="preserve">1D</t>
  </si>
  <si>
    <t xml:space="preserve">EMA7 (1.4300); EMA14 (1.3897); EMA28 (1.3631)</t>
  </si>
  <si>
    <t xml:space="preserve">exchange auto high marker 1.6069 at the current daily candle; exchange auto low marker 1.1285 near 03/29-03/30; current price line 1.5902 with countdown 01:05:31; no user drawings</t>
  </si>
  <si>
    <t xml:space="preserve">NEARUSDT daily: bottom at 1.1285 in late March, rally to ~1.45 by mid-April, a pullback into early May toward ~1.25 (below the EMAs), then two very large green daily candles breaking out to a new high of 1.6069 with price at 1.5902 well above all EMAs. Posted as an example of alts he mentioned 'popping off'.</t>
  </si>
  <si>
    <t xml:space="preserve">Bybit (Demo Trading) daily chart of NEARUSDT, +8.81% on the day, showing a two-day vertical breakout from ~1.25 to 1.6069 with price at 1.5902. Part of his 'look at them go' batch of alt charts.</t>
  </si>
  <si>
    <t xml:space="preserve">NEARUSDT ▾  +8.81%  MM 0.80%
Chart  Overview  Data  Feed
Last Traded Price ▾
1.5902
Mark Price 1.5902
24h High 1.6069
24h Low 1.4548
24h Turnover 64.14M
Time  15m  1h  4h  1D  More ▾  |  Depth
EMA7: 1.4300  EMA14: 1.3897  EMA28: 1.3631
1.6069
1.5902  01:05:31
1.4873
1.3677
1.2481
1.1285
BYBIT Demo Trading
03/25  04/05  04/16  04/27  05/08  05/1</t>
  </si>
  <si>
    <t xml:space="preserve">chart time axis 03/25, 04/05, 04/16, 04/27, 05/08, 05/1… (cut); candle countdown 01:05:31</t>
  </si>
  <si>
    <t xml:space="preserve">Last time-axis label is cut off. 'MM 0.80%' badge meaning not stated on screen.</t>
  </si>
  <si>
    <t xml:space="preserve">006_2026-05-09_020121_Screenshot_20260509-035429.png</t>
  </si>
  <si>
    <t xml:space="preserve">EMA7 (0.0020866); EMA14 (0.0020354); EMA28 (0.0019720)</t>
  </si>
  <si>
    <t xml:space="preserve">exchange auto high marker 0.0021932 at the current candles; exchange auto low marker 0.0017500 at the far left of the visible range; current price line 0.0021615 with countdown 01:05:12; no user drawings</t>
  </si>
  <si>
    <t xml:space="preserve">PUMPFUNUSDT 4h in a clean stair-step uptrend from 0.00175 to a 24h high of 0.0021932: consolidation, impulse, shallow pullbacks holding EMA7/EMA14, then a strong green push; current candle slightly red at 0.0021615 above all EMAs. Posted as an example of alts he mentioned 'popping off'.</t>
  </si>
  <si>
    <t xml:space="preserve">Bybit (Demo Trading) 4h chart of PUMPFUNUSDT, +9.37% on the day, in a steady uptrend to a new high 0.0021932 with price at 0.0021615. Part of his 'look at them go' batch of alt charts.</t>
  </si>
  <si>
    <t xml:space="preserve">PUMPFUNUSDT ▾  +9.37%  MM 0.80%
Chart  Overview  Data  Feed
Last Traded Price ▾
0.0021615
Mark Price 0.0021615
24h High 0.0021932
24h Low 0.0019738
24h Turnover 19.85M
Time  15m  1h  4h  1D  More ▾  |  Depth
EMA7: 0.0020866  EMA14: 0.0020354  EMA28: 0.0019720
0.0021932
0.0021615  01:05:12
0.0020824
0.0019716
0.0018608
0.0017500
BYBIT Demo Trading</t>
  </si>
  <si>
    <t xml:space="preserve">candle countdown 01:05:12 (time axis cut off)</t>
  </si>
  <si>
    <t xml:space="preserve">Time axis is cut off at the bottom, so no dates are visible. 'MM 0.80%' badge meaning not stated on screen.</t>
  </si>
  <si>
    <t xml:space="preserve">007_2026-05-09_020121_Screenshot_20260509-035449.png</t>
  </si>
  <si>
    <t xml:space="preserve">EMA7 (0.6746); EMA14 (0.6727); EMA28 (0.6719)</t>
  </si>
  <si>
    <t xml:space="preserve">exchange auto high marker 0.6992 at the current candle (long upper wick); exchange auto low marker 0.6487 near 05/01-05/02; current price line 0.6893 with countdown 01:04:49; no user drawings</t>
  </si>
  <si>
    <t xml:space="preserve">ASTERUSDT 4h: a choppy week-long range roughly 0.655-0.70 with the three EMAs flat and bunched (0.6719-0.6746), a flush to ~0.655 on May 8, then a sharp two-candle rally that spiked to 0.6992 and left a long upper wick with price back at 0.6893. He pointed out that 'even ASTER started moving'.</t>
  </si>
  <si>
    <t xml:space="preserve">Bybit (Demo Trading) 4h chart of ASTERUSDT, +4.50% on the day, showing a ranging market that just spiked to 0.6992 (long upper wick) with price at 0.6893. Last of four alt charts posted to show the coins he had mentioned were moving.</t>
  </si>
  <si>
    <t xml:space="preserve">ASTERUSDT ▾  +4.50%  MM 0.80%
Chart  Overview  Data  Feed
Last Traded Price ▾
0.6893
Mark Price 0.6894
24h High 0.6992
24h Low 0.6581
24h Turnover 12.81M
Time  15m  1h  4h  1D  More ▾  |  Depth
EMA7: 0.6746  EMA14: 0.6727  EMA28: 0.6719
0.6992
0.6893  01:04:49
0.6739
0.6613
0.6487
BYBIT Demo Trading
05/01 17:00  05/03 13:00  05/05 09:00  05/07 05:00  05/09 01:00  05/10 21</t>
  </si>
  <si>
    <t xml:space="preserve">chart time axis 05/01 17:00, 05/03 13:00, 05/05 09:00, 05/07 05:00, 05/09 01:00, 05/10 21… (cut); candle countdown 01:04:49</t>
  </si>
  <si>
    <t xml:space="preserve">008_2026-05-09_020121_Screenshot_20260509-035511.png</t>
  </si>
  <si>
    <t xml:space="preserve">Bybit PnL share card (rocket graphic) for an open KERNELUSDT 20X long: entry 0.06454, current price 0.06615, ROI +49.35%. Posted as 'KERNEL TP1 here' with next TP at 0.0673.</t>
  </si>
  <si>
    <t xml:space="preserve">KERNELUSDT  Long 20.0X
ROI
+49.35%
Entry Price
0.06454
Current Price
0.06615
BYBIT</t>
  </si>
  <si>
    <t xml:space="preserve">Bybit PnL share card for an open KERNELUSDT 20X long, entry 0.06454, current 0.06615, ROI +49.35% — a duplicate of image 009 re-posted with the 'all trades running in good profits, take TP whenever you want' message.</t>
  </si>
  <si>
    <t xml:space="preserve">Duplicate of image 009.</t>
  </si>
  <si>
    <t xml:space="preserve">Bybit PnL share card for an open AVNTUSDT 50X long: entry 0.15851, current price 0.16787, ROI +265.55%. Part of the batch of running trades he posted telling followers to take TP whenever they want and not let them round-trip.</t>
  </si>
  <si>
    <t xml:space="preserve">AVNTUSDT  Long 50.0X
ROI
+265.55%
Entry Price
0.15851
Current Price
0.16787
BYBIT</t>
  </si>
  <si>
    <t xml:space="preserve">Bybit PnL share card for an open SNXUSDT 25X long: entry 0.3545, current price 0.3727, ROI +118.67%. Part of the batch of running trades posted with 'take TP whenever you want, don't let them round trip'.</t>
  </si>
  <si>
    <t xml:space="preserve">SNXUSDT  Long 25.0X
ROI
+118.67%
Entry Price
0.3545
Current Price
0.3727
BYBIT</t>
  </si>
  <si>
    <t xml:space="preserve">Bybit PnL share card for an open ZROUSDT 50X long: entry 1.4744, current price 1.4849, ROI +34.43%. Part of the batch of running trades posted on May 9.</t>
  </si>
  <si>
    <t xml:space="preserve">ZROUSDT  Long 50.0X
ROI
+34.43%
Entry Price
1.4744
Current Price
1.4849
BYBIT</t>
  </si>
  <si>
    <t xml:space="preserve">Bybit PnL share card for an open BTCUSDT 100X long: entry 79,764.40, current price 80,333.90, ROI +67.25%. Part of the batch of running trades posted on May 9.</t>
  </si>
  <si>
    <t xml:space="preserve">BTCUSDT  Long 100.0X
ROI
+67.25%
Entry Price
79,764.40
Current Price
80,333.90
BYBIT</t>
  </si>
  <si>
    <t xml:space="preserve">Bybit PnL share card for a closed UNIUSDT 50X long: entry 3.458, exit 3.528, ROI +101.21%. Re-posted within the May 9 batch of trade cards; it documents the earlier UNI partial close.</t>
  </si>
  <si>
    <t xml:space="preserve">UNIUSDT  Long 50.0X
ROI
+101.21%
Entry Price
3.458
Exit Price
3.528
BYBIT</t>
  </si>
  <si>
    <t xml:space="preserve">Bybit PnL share card for a closed SYRUPUSDT 25X long: entry 0.25328, exit 0.26013, ROI +67.61%. Posted when closing this Journals trade after holding it 10 days because it was 'getting annoying'.</t>
  </si>
  <si>
    <t xml:space="preserve">SYRUPUSDT  Long 25.0X
ROI
+67.61%
Entry Price
0.25328
Exit Price
0.26013
BYBIT</t>
  </si>
  <si>
    <t xml:space="preserve">Bybit PnL share card for a closed BTCUSDT 100X long: entry 79,764.40, exit 80,341.20, ROI +72.31%. Posted with 'Closing BTC @ 80.4k'.</t>
  </si>
  <si>
    <t xml:space="preserve">BTCUSDT  Long 100.0X
ROI
+72.31%
Entry Price
79,764.40
Exit Price
80,341.20
BYBIT</t>
  </si>
  <si>
    <t xml:space="preserve">Bybit PnL share card for a closed ETHUSDT 100X long: entry 2,311.73, exit 2,340.53, ROI +124.58%. Posted on Sunday May 10 as 'good enough for a weekend scalp, closing it here'.</t>
  </si>
  <si>
    <t xml:space="preserve">ETHUSDT  Long 100.0X
ROI
+124.58%
Entry Price
2,311.73
Exit Price
2,340.53
BYBIT</t>
  </si>
  <si>
    <t xml:space="preserve">Bybit PnL share card for the still-open AVNTUSDT 50X long: entry 0.15851, current price 0.16709, ROI +246.69%. Posted as 'AVNT TP1 here, fully close @ 0.1746'.</t>
  </si>
  <si>
    <t xml:space="preserve">AVNTUSDT  Long 50.0X
ROI
+246.69%
Entry Price
0.15851
Current Price
0.16709
BYBIT</t>
  </si>
  <si>
    <t xml:space="preserve">Bybit PnL share card for the still-open ZROUSDT 50X long: entry 1.4744, current price 1.5300, ROI +178.94%. Posted with '25% here, fully exit around 1.55+, will update if I see weakness'.</t>
  </si>
  <si>
    <t xml:space="preserve">ZROUSDT  Long 50.0X
ROI
+178.94%
Entry Price
1.4744
Current Price
1.5300
BYBIT</t>
  </si>
  <si>
    <t xml:space="preserve">Bybit PnL share card for an open SNXUSDT 25x long at +55.80% ROI (entry 0.3545, current 0.3626). Posted with the message that he is closing SNX in some profit because he expects a pullback and plans to reopen after Monday.</t>
  </si>
  <si>
    <t xml:space="preserve">SNXUSDT Long 25.0X
ROI
+55.80%
Entry Price
0.3545
Current Price
0.3626
BYBIT</t>
  </si>
  <si>
    <t xml:space="preserve">Bybit share card of a closed BTCUSDT 100x short: entry 82,202.80, exit 81,302.90, +109.47% ROI. Posted as 'TPed, fast top short, closed' - a quick counter-trend short at a local top that he took profit on.</t>
  </si>
  <si>
    <t xml:space="preserve">BTCUSDT Short 100.0X
ROI
+109.47%
Entry Price
82,202.80
Exit Price
81,302.90
BYBIT</t>
  </si>
  <si>
    <t xml:space="preserve">Bybit share card for an open ZROUSDT 50x long at +189.93% ROI (entry 1.4772, current 1.5369). Message says the streak continues, 20% here, and that he is not moving the SL to entry - i.e. he keeps the original stop rather than protecting the trade at breakeven.</t>
  </si>
  <si>
    <t xml:space="preserve">ZROUSDT Long 50.0X
ROI
+189.93%
Entry Price
1.4772
Current Price
1.5369
BYBIT</t>
  </si>
  <si>
    <t xml:space="preserve">Cropped Blofin-style share card showing an open BTCUSDT 150x long with +51.78% unrealized ROI. Message context: he has started scaling into a BTC long (long since 80.6k with SL at 79.5k) and will share it once confident enough.</t>
  </si>
  <si>
    <t xml:space="preserve">Unrealized PnL
BTCUSDT | Long | 150X
+51.78%</t>
  </si>
  <si>
    <t xml:space="preserve">Image is cropped; only header, pair/side/leverage and ROI are visible. Platform identified from card style (no logo visible).</t>
  </si>
  <si>
    <t xml:space="preserve">Bybit share card for the ZROUSDT 50x long now at +215.72% ROI (entry 1.4772, current 1.5457), posted with 'ZRO TP hit' - the take-profit level was reached around 1.5457.</t>
  </si>
  <si>
    <t xml:space="preserve">ZROUSDT Long 50.0X
ROI
+215.72%
Entry Price
1.4772
Current Price
1.5457
BYBIT</t>
  </si>
  <si>
    <t xml:space="preserve">Bybit share card of a closed BTCUSDT 100x long: entry 80,914.20, exit 81,798.70, +109.31% ROI. Posted without text; it is the BTC long he mentioned scaling into earlier that day (long since ~80.6k).</t>
  </si>
  <si>
    <t xml:space="preserve">BTCUSDT Long 100.0X
ROI
+109.31%
Entry Price
80,914.20
Exit Price
81,798.70
BYBIT</t>
  </si>
  <si>
    <t xml:space="preserve">Bybit share card for an open STABLEUSDT 25x long at +144.12% ROI (entry 0.034590, current 0.036652). Posted with 'TP1 @ 0.03737', i.e. he sets the first take-profit target just above the current price.</t>
  </si>
  <si>
    <t xml:space="preserve">STABLEUSDT Long 25.0X
ROI
+144.12%
Entry Price
0.034590
Current Price
0.036652
BYBIT</t>
  </si>
  <si>
    <t xml:space="preserve">Bybit share card of the STABLEUSDT 25x long closed at 0.037370 (entry 0.034590) for +200.92% ROI. Message: he accidentally closed 100% here but says the 0.04 TP is still valid and tells followers to take at least 50% at this level because it is resistance.</t>
  </si>
  <si>
    <t xml:space="preserve">STABLEUSDT Long 25.0X
ROI
+200.92%
Entry Price
0.034590
Exit Price
0.037370
BYBIT</t>
  </si>
  <si>
    <t xml:space="preserve">06:51:54</t>
  </si>
  <si>
    <t xml:space="preserve">1h</t>
  </si>
  <si>
    <t xml:space="preserve">EMA7: 0.035311 (yellow); EMA14: 0.034935 (blue); EMA28: 0.034676 (purple)</t>
  </si>
  <si>
    <t xml:space="preserve">auto high label 0.037953 at the top of the last candle; auto low label 0.033704 near 05/11 00:00; current price tag 0.037500 with countdown 16:48 on the right axis; price scale: 0.037953, 0.036890, 0.035828, 0.034766, 0.033704; no user drawings</t>
  </si>
  <si>
    <t xml:space="preserve">STABLEUSDT 1h candles on the Bybit app: after ranging roughly 0.0337-0.0355 for two days with the EMAs curling up, the current candle is a huge vertical green spike from ~0.0348 to the 24h high 0.037953 - the pump his long caught. 'Demo Trading' watermark (Bybit demo / CFT funded account).</t>
  </si>
  <si>
    <t xml:space="preserve">Bybit app 1h chart of STABLEUSDT right after the spike to 0.037953, posted with 'What a pump caught!'. Shows the base he bought (entry 0.034590 on the share cards) and the single explosive candle that hit his TP1; the Demo Trading watermark later prompted questions from followers.</t>
  </si>
  <si>
    <t xml:space="preserve">STABLEUSDT +8.85% MM 0.49%
Chart Overview Data Feed
Last Traded Price 0.037500
Mark Price 0.037499
24h High 0.037953 24h Low 0.034025 24h Turnover 2.21M
Time 15m 1h 4h 1D More Depth
EMA7: 0.035311 EMA14: 0.034935 EMA28: 0.034676
0.037953
0.037500 16:48
0.036890 0.035828 0.034766 0.033704
BYBIT Demo Trading
05/10 12:00 05/10 23:00 05/11 10:00 05/11 21:00 05/12 08:00 05/12 19</t>
  </si>
  <si>
    <t xml:space="preserve">What a pump caught!</t>
  </si>
  <si>
    <t xml:space="preserve">x-axis labels: 05/10 12:00, 05/10 23:00, 05/11 10:00, 05/11 21:00, 05/12 08:00, 05/12 19:.. (candle-close countdown 16:48 next to the price tag)</t>
  </si>
  <si>
    <t xml:space="preserve">Right-most x-axis label is cut off ('05/12 19'). Candle bodies at the far left partially hidden by the BYBIT watermark.</t>
  </si>
  <si>
    <t xml:space="preserve">029_2026-05-12_065154_Screenshot_20260512-0843132.png</t>
  </si>
  <si>
    <t xml:space="preserve">https://discord.com/channels/1042855255089623100/1501271173588193290/1503605617204531412</t>
  </si>
  <si>
    <t xml:space="preserve">EMA20: 0.03655 (pink); EMA50: 0.03538 (orange); EMA200: 0.03406 (blue)</t>
  </si>
  <si>
    <t xml:space="preserve">dashed green position/entry line at 0.03453 labeled 'PNL +43.1294 | 10,000'; red 'S' trade marker on the large green candle around 0.0378; auto high label 0.03896 on the latest candles; auto low label 0.03378 at the left; current price tag 0.03884 (green box) on the right axis with dashed line; price scale: 0.03900, 0.03750, 0.03600, 0.03450; no user drawings</t>
  </si>
  <si>
    <t xml:space="preserve">STABLEUSDT perpetual 1h chart on MEXC: price based around 0.034-0.035 along the EMA50, then exploded in one huge green candle to ~0.0378, pulled back to ~0.036 and continued up to a new high 0.03896. His long entry line at 0.03453 sits at the base, now ~+12% unleveraged with +43.13 USDT open PnL on a 10,000 position.</t>
  </si>
  <si>
    <t xml:space="preserve">MEXC app 1h chart of STABLEUSDT showing his open long from 0.03453 (PNL +43.1294 USDT, size 10,000) after the pump to 0.03896. Posted to clarify that the earlier 'Demo' screenshot was from a CFT funded account (which displays as demo) and that he trades the same calls with real money on other exchanges such as MEXC.</t>
  </si>
  <si>
    <t xml:space="preserve">STABLEUSDT Perpetual
Markets AI Analysis Info Trading rules
Last Price 0.03884 ≈0.038 USD +11.09%
Fair Price 0.03884
24h High 0.03896 24h Low 0.03403
24h Vol(STABLE) 12.034M 24h Vol (USDT) 436.437K
Why is the price of STABLE rising?
Line 15m 1h 4h 1D Week More
EMA20:0.03655 EMA50:0.03538 EMA200:0.03406
0.03900 0.03896 0.03884 0.03750 0.03600 0.03450 0.03453
S
PNL +43.1294 | 10,000
0.03378
MEXC</t>
  </si>
  <si>
    <t xml:space="preserve">Platform is MEXC (not in the platform list, recorded as 'other'). Leverage of the position is not visible on this chart. Meaning of the red 'S' marker (sell fill) is inferred from MEXC chart conventions.</t>
  </si>
  <si>
    <t xml:space="preserve">MEXC PnL share card for the open STABLEUSDT 20x long: entry $0.03453, fair price $0.03886, +248.34% ROI, +43.2294 USDT. Posted together with the MEXC chart as proof that the STABLE trade was taken with real money on a real exchange, not only on the demo-labelled CFT account.</t>
  </si>
  <si>
    <t xml:space="preserve">STABLEUSDT Perpetual
Long | 20X
+248.34%
+43.2294 USDT
0%
Liquidity NO.1
Entry Price $0.03453
Fair Price $0.03886</t>
  </si>
  <si>
    <t xml:space="preserve">Platform is MEXC (not in the platform list, recorded as 'other').</t>
  </si>
  <si>
    <t xml:space="preserve">Cropped MEXC closed-PnL card: STABLEUSDT 20x long closed for +231.02% ROI. Message: STABLE hit the full TP of 0.04, a ~20% unleveraged move.</t>
  </si>
  <si>
    <t xml:space="preserve">Closed PNL
STABLEUSDT Perpetual Long | 20X
+231.02%
B S</t>
  </si>
  <si>
    <t xml:space="preserve">Image is cropped; entry price, close price, USDT PnL and date are not visible. Platform is MEXC (recorded as 'other').</t>
  </si>
  <si>
    <t xml:space="preserve">Bybit share card of a SOLUSDT 100x long closed at 95.700 from entry 95.530 for +17.79% ROI. Message explains he closed SOL early to stay on the safe side and protect his winning streak, noting 3 other longs are already running and TPs are expected soon.</t>
  </si>
  <si>
    <t xml:space="preserve">SOLUSDT Long 100.0X
ROI
+17.79%
Entry Price
95.530
Exit Price
95.700
BYBIT</t>
  </si>
  <si>
    <t xml:space="preserve">Bybit share card of a SOLUSDT 100x long closed at 91.460 from entry 91.050, +45.03% ROI. Posted as 'Closing SOL and XRP in minor profits' while he keeps a BTC long (avg 79.2k with a DCA) running in heavy profit.</t>
  </si>
  <si>
    <t xml:space="preserve">SOLUSDT Long 100.0X
ROI
+45.03%
Entry Price
91.050
Exit Price
91.460
BYBIT</t>
  </si>
  <si>
    <t xml:space="preserve">Bybit share card of an XRPUSDT 100x long closed at 1.4531 from entry 1.4497 for +23.45% ROI - the 'minor profit' XRP exit mentioned in the message. He later explained he got out near breakeven because the setup was invalidated and price almost touched his SL.</t>
  </si>
  <si>
    <t xml:space="preserve">XRPUSDT Long 100.0X
ROI
+23.45%
Entry Price
1.4497
Exit Price
1.4531
BYBIT</t>
  </si>
  <si>
    <t xml:space="preserve">Bybit share card of an open BTCUSDT 100x long at +108.28% ROI (entry 79,284.35, current 80,199.50). Posted with 'Holding onto these' alongside an ENS long - he is letting the BTC DCA position run for a bigger target.</t>
  </si>
  <si>
    <t xml:space="preserve">BTCUSDT Long 100.0X
ROI
+108.28%
Entry Price
79,284.35
Current Price
80,199.50
BYBIT</t>
  </si>
  <si>
    <t xml:space="preserve">Bybit share card of an open ENSUSDT 50x long at +141.91% ROI (entry 6.900, current 7.107), posted together with the BTC long as the positions he is holding for 'fat profits'.</t>
  </si>
  <si>
    <t xml:space="preserve">ENSUSDT Long 50.0X
ROI
+141.91%
Entry Price
6.900
Current Price
7.107
BYBIT</t>
  </si>
  <si>
    <t xml:space="preserve">17:47:29</t>
  </si>
  <si>
    <t xml:space="preserve">EMA7: 1.4443 (yellow); EMA14: 1.4385 (blue); EMA28: 1.4366 (purple)</t>
  </si>
  <si>
    <t xml:space="preserve">auto high label 1.4661 at the top of the latest candle; current price tag 1.4654 with candle countdown 14:20 on the right axis; price scale: 1.4661, 1.4521, 1.4381, 1.4241; no user drawings; no position line</t>
  </si>
  <si>
    <t xml:space="preserve">XRPUSDT 1h on the Bybit app: a downtrend into a ~1.41-1.42 low, a slow grind back up through the EMAs (price reclaimed EMA7/14/28, which are now stacked bullishly), then two strong green candles pushing to the 24h high 1.4661 right after he closed his long at 1.4531. The chart has no drawings; the x-axis is cut off.</t>
  </si>
  <si>
    <t xml:space="preserve">Bybit app 1h chart of XRPUSDT breaking out to 1.4654 minutes after he closed his XRP long near breakeven. Message: 'As soon as I close XRP it booms' - he exited early because the setup was invalidated and price nearly hit his SL, framing the disciplined near-BE exit as better than taking the stop loss, while still expecting his target to be hit.</t>
  </si>
  <si>
    <t xml:space="preserve">XRPUSDT +2.79% MM 0.74%
Chart Overview Data Feed
Last Traded Price 1.4654
Mark Price 1.4655
24h High 1.4661 24h Low 1.4101 24h Turnover 324.42M
Time 15m 1h 4h 1D More Depth
EMA7: 1.4443 EMA14: 1.4385 EMA28: 1.4366
1.4661
1.4654 14:20
1.4521 1.4381 1.4241</t>
  </si>
  <si>
    <t xml:space="preserve">As soon as I close XRP it booms, I'm pretty sure this will hit our target I exited early because it invalidated my setup, it almost touched my SL so better to be disciplined and get out around BE, much better than SL at least?</t>
  </si>
  <si>
    <t xml:space="preserve">Bottom of the chart (x-axis dates) is cut off.</t>
  </si>
  <si>
    <t xml:space="preserve">038_2026-05-14_174729_Screenshot_20260514-194541.png</t>
  </si>
  <si>
    <t xml:space="preserve">https://discord.com/channels/1042855255089623100/1501271173588193290/1504495374503776269</t>
  </si>
  <si>
    <t xml:space="preserve">17:50:31</t>
  </si>
  <si>
    <t xml:space="preserve">Screenshot of his own earlier Discord message (4:44 PM) laying out a BTC scenario: dip to 78.5k, bounce, 'clarity' news hits, big pump to 81k-82k, then a slow dump back. Re-posted with 'Moving exactly like that isn't it? Higher' to show the roadmap is playing out while his BTC long (avg ~79.2k) is running.</t>
  </si>
  <si>
    <t xml:space="preserve">Paladin [Will not DM] Today at 4:44 PM
Here's what I think, 78.5k &gt; bounce &gt; clarity news comes in &gt; big boom pump to 81k-82k around then slow dump back to where we are
🔥 2</t>
  </si>
  <si>
    <t xml:space="preserve">Moving exactly like that isn't it? Higher
@Paladin Notify</t>
  </si>
  <si>
    <t xml:space="preserve">Today at 4:44 PM</t>
  </si>
  <si>
    <t xml:space="preserve">No symbol printed in the message; the 78.5k / 81k-82k levels refer to BTC by context. The 'clarity news' likely refers to the US CLARITY Act (crypto market-structure bill).</t>
  </si>
  <si>
    <t xml:space="preserve">039_2026-05-14_175031_Screenshot_20260514-195004.png</t>
  </si>
  <si>
    <t xml:space="preserve">https://discord.com/channels/1042855255089623100/1501271173588193290/1504496137313189919</t>
  </si>
  <si>
    <t xml:space="preserve">Bybit share card of the BTCUSDT 100x long closed at 80,893.80 from the DCA entry 79,284.35 for +202.99% ROI. Message: 'BTC closed at 81k guys, FATASS PROFITS! Made profits back from both SLs' - he took profit into the 81k-82k zone from his roadmap and says this recovered the two earlier stop-losses.</t>
  </si>
  <si>
    <t xml:space="preserve">BTCUSDT Long 100.0X
ROI
+202.99%
Entry Price
79,284.35
Exit Price
80,893.80
BYBIT</t>
  </si>
  <si>
    <t xml:space="preserve">Bybit ROI share card for an open ENSUSDT 50x long at +190.71% ROI, entry 6.900, current price 7.171. Posted at the moment he took a 50% partial and said the rest could be closed.</t>
  </si>
  <si>
    <t xml:space="preserve">ENSUSDT Long 50.0X
ROI
+190.71%
Entry Price
6.900
Current Price
7.171
BYBIT</t>
  </si>
  <si>
    <t xml:space="preserve">BloFin share card for a closed BTCUSDT 30x long: entry 79,313.4, closed at 80,926.4 for +61.00% ROI on 2026-05-14 16:09:25. Posted with his remark that he survived the dump and had called the plan on point.</t>
  </si>
  <si>
    <t xml:space="preserve">BloFin
BTCUSDT Perp
Buy 30X
+61.00%
Entry Price
79,313.4
Close Price
80,926.4
2026-05-14 16:09:25</t>
  </si>
  <si>
    <t xml:space="preserve">2026-05-14 16:09:25</t>
  </si>
  <si>
    <t xml:space="preserve">Cropped closed-PnL share card showing a BTCUSDT perpetual long at 250x closed for +448.51% ROI; no exchange logo is visible. Posted seconds after the BloFin +61% BTC close, so it appears to be the same BTC long idea taken at higher leverage on another account/exchange.</t>
  </si>
  <si>
    <t xml:space="preserve">Closed PNL
BTCUSDT Perpetual | Long | 250X
+448.51%</t>
  </si>
  <si>
    <t xml:space="preserve">Exchange not identifiable (no branding in the crop); entry/close prices and timestamp not shown.</t>
  </si>
  <si>
    <t xml:space="preserve">BBUSDT, BTCUSDT, ENSUSDT, INTCUSDT, XRPUSDT</t>
  </si>
  <si>
    <t xml:space="preserve">Phone screen recording (10 s) of Paladin scrolling top-to-bottom through his Discord server's '#profit-showcase' channel on 2026-05-14, where members post exchange PnL share cards (Bitunix, BloFin, MEXC, BingX, one unidentified exchange) thanking him: BBUSDT longs (+179.47% at 50X open, +98.72% at 20X half-closed), BTCUSDT longs around 79.0k-79.8k -&gt; 80.5k-81.2k at 75X/100X (+177.83%, +175.73%, +252.15%, +211.69%) and at 3X (+5.18%), an ENSUSDT long 6.894 -&gt; 7.153 (+75.13%), XRPUSDT longs (+43.65% at 50X, +4.58% at 3X), plus an INTCUSDT short (+219.73%) credited to 'Nick Scalps'. He posted it with 'Thankyou guys!' -- it documents follower results of his 13-14 May BB / BTC / ENS / XRP long calls, not his own positions. Discord times are in the phone's local timezone (about 2 h ahead of the Helsinki post time; recording file name says 21:03 vs 19:03 Helsinki).</t>
  </si>
  <si>
    <t xml:space="preserve"># $ | profit-showcase [Discord channel header, 3275 unread badge]
MB [MM] Today at 6:24 AM: thank you paladin (edited)
[Bitunix card] BBUSDT | Long 50X | +179.47% | Entry Price 0.03583 | Last Price 0.03709 | MBZ 2026-05-13 21:22
dekees [VIP] Today at 5:50 PM: closed 50% thanks Paladin
[BloFin card] BBUSDT Perp | Long 20X | +98.72% | Entry Price 0.03282 | Close Price 0.03444 | Referral Code BCJAsU | Sharing Time: 05-14 14:49:52 | ❤️ 2
CJR [SX, VIP] Today at 7:55 PM: @Paladin [Will not DM] (edited)
[card, exchange unknown] BTCUSDT Perpetual | Long | 211.69%
CJR [SX, VIP] Today at 8:00 PM: @Nick Scalps
[card, exchange unknown] INTCUSDT Perpetual | Short | 219.73%
saralhr Today at 8:06 PM: [message body not in frame]
[MEXC card, Spanish] Compartido el 2026-05-14 16:04:4? | BTCUSDT Perpetuo | Cerrar Long | 100X | +252.15% | Fecha 2026-05-14 16:03:08 | Código de Referencia 1hXLr | Regístrate para obtener $20, $50 de cobertura de pérdida en la primera operación y futuros sin tarifas
[MEXC card, Spanish] Compartido el 2026-05-14 16:05:06 | Racha de 2 victoria(s) | Título desbloqueado: Despertador on-chain | PNL de cierre: XRPUSDT Perpetuo Long | 50X | +43.65% | Código de Referencia 1hXLr | Regístrate para obtener $20, $50 de cobertura de pérdida en la primera operación y futuros sin tarifas | ❤️ 1
dekees [VIP] Today at 8:08 PM: again Paladin🥰
[BloFin card] ENSUSDT Perp | Long 20X | +75.13% | Entry Price 6.894 | Close Price 7.153 | Referral Code BCJAsU | Sharing Time: 05-14 17:07:03 | ❤️ 1
The CEOsCEO [VIP] Today at 8:19 PM: @Paladin [Will not DM] Thanks mate!
[BloFin card] BTCUSDT Perp | Buy 75X | +177.83% | Entry Price 79,108.1 | Close Price 80,983.9 | Referral Code: KYAIKx | Share Time: 05/14 17:16:26 | ❤️ 1
Jokerxo Today at 8:19 PM: @Paladin [Will not DM]
[BingX card] Realized PnL | XRPUSDT | Long | 3X | +4.58% | Close Price 1.4537 | Entry Price 1.4318 | ja***s@gmail.com 05/14 18:19 | Referral Code EO3CKZ | ❤️ 1
Netteffect11 [OG] Today at 8:46 PM: @Paladin [Will not DM] 🔥👑
[MEXC card] Shared on 2026-05-15 01:42:15 | BTCUSDT Perpetual | Low-fee saved you: 4.7289 USDT | Long | 100X | +175.73% | Avg Entry Price $78,977.2 | Avg Close Price $80,488.5 | Open Time 2026-05-14 02:00:48 | Close Time 2026-05-15 01:03:00 | Referral Code 1gPto | Sign up to get $10, $50 first-trade loss coverage, &amp; 0-fee Futures | ❤️ 1
Jokerxo Today at 8:53 PM: @Paladin [Will not DM]
[BingX card] Realized PnL | BTCUSDT | Long | 3X | +5.18% | Close Price 81195 | Entry Price 79815.6 | ja***s@gmail.com 05/14 18:53 | Referral Code EO3CKZ | ❤️ 1</t>
  </si>
  <si>
    <t xml:space="preserve">Discord message times 'Today at 6:24 AM' through 'Today at 8:53 PM' (phone local time, 'Today' = 2026-05-14); share-card times: 2026-05-13 21:22, 05-14 14:49:52, 2026-05-14 16:03:08, 2026-05-14 16:05:06, 05-14 17:07:03, 05/14 17:16:26, 05/14 18:19, 2026-05-15 01:42:15 (open 2026-05-14 02:00:48 / close 2026-05-15 01:03:00), 05/14 18:53</t>
  </si>
  <si>
    <t xml:space="preserve">All trades are followers' share cards, not Paladin's own positions. Top line of the Spanish MEXC BTC card is cut off ('Compartido el 2026-05-14 16:04:4?'), and the author of the two Spanish MEXC cards is never in frame (inferred as 'saralhr', 8:06 PM, whose message text is also not visible). Exchange of CJR's two cards (BTCUSDT 211.69%, INTCUSDT 219.73%) is not identifiable and the small caption at the bottom of the INTC card is unreadable; those cards show no prices or leverage. Frames 1-3 are identical (static start of the recording).</t>
  </si>
  <si>
    <t xml:space="preserve">Bybit ROI share card for the ENSUSDT 50x long (entry 6.900) now at +161.15% with current price 7.135, lower than the 7.171 shown about an hour earlier. He announced he was completely out here after taking 50% earlier around 7.2.</t>
  </si>
  <si>
    <t xml:space="preserve">ENSUSDT Long 50.0X
ROI
+161.15%
Entry Price
6.900
Current Price
7.135
BYBIT</t>
  </si>
  <si>
    <t xml:space="preserve">20:12:39</t>
  </si>
  <si>
    <t xml:space="preserve">Tight crop of an exchange price ticker showing a last price of exactly 82,000.00 (≈81,972.48 USD, +0.85% on the day). Per his message this is BTC hitting 82k, the target he had called from 79k after the bounce around 78.5k (he credits the 'clarity act' news for the push).</t>
  </si>
  <si>
    <t xml:space="preserve">82,000.00
≈81,972.48 USD +0.85%</t>
  </si>
  <si>
    <t xml:space="preserve">Exactly as I mentioned, bounced around 78.5 and clarity act helped us push to 82k, told you at 79k, 82k is coming!</t>
  </si>
  <si>
    <t xml:space="preserve">Symbol is not visible in the crop; BTC is inferred from the accompanying message and the price level. Exchange not identifiable.</t>
  </si>
  <si>
    <t xml:space="preserve">046_2026-05-14_201239_Screenshot_20260514-2205022.png</t>
  </si>
  <si>
    <t xml:space="preserve">https://discord.com/channels/1042855255089623100/1501271173588193290/1504531907482882189</t>
  </si>
  <si>
    <t xml:space="preserve">EMA(20): 1.4572; EMA(50): 1.4471; EMA(200): 1.4341</t>
  </si>
  <si>
    <t xml:space="preserve">exchange trade marker 'S' (sell) on a green candle around ~1.47 (estimated); candle high label 1.5431 (top of the rally); candle low label 1.4105 (swing low on the left-middle of the chart); last price tag 1.5367 with dotted line; price axis labels 1.5497, 1.5011, 1.4524, 1.4038; no user-drawn trendlines or zones</t>
  </si>
  <si>
    <t xml:space="preserve">XRPUSDT 1h: after a decline to a 1.4105 low and a flat base hugging the 20/50/200 EMAs, price reclaimed all three EMAs and went vertical to 1.5431 (+7.74% on the day). The S marker shows his long was closed early on the first breakout candles, well below the eventual top.</t>
  </si>
  <si>
    <t xml:space="preserve">BloFin XRPUSDT 1-hour chart after a vertical rally to 1.5431, last price 1.5367 (+7.74%), with EMA 20/50/200 overlaid. An 'S' sell marker around ~1.47 shows where he closed his XRP long early; his message says the idea was right and full TP was hit, but he 'fumbled' it by closing too soon.</t>
  </si>
  <si>
    <t xml:space="preserve">XRPUSDT
Last Price
1.5367
≈ $1.53 +7.74%
Mark Price 1.5365
24h High 1.5431
24h Low 1.4149
24h Vol(XRP) 38.048M
Funding Rate 0.0296%
Line 15m 1h 4h 1D More
EMA(20): 1.4572 EMA(50): 1.4471 EMA(200): 1.4341
1.5497
1.5431
1.5367
1.5011
S
1.4524
1.4105
1.4038
BloFin</t>
  </si>
  <si>
    <t xml:space="preserve">Exact price of the 'S' close marker is estimated from the axis (~1.47); the trade's entry, size and result are not shown.</t>
  </si>
  <si>
    <t xml:space="preserve">Bybit ROI share card for an open BBUSDT 25x long at +116.46% (entry 0.03538, current 0.03710). He says he forgot about this one and is closing early for decent profits while still holding HBAR and BTC.</t>
  </si>
  <si>
    <t xml:space="preserve">BBUSDT Long 25.0X
ROI
+116.46%
Entry Price
0.03538
Current Price
0.03710
BYBIT</t>
  </si>
  <si>
    <t xml:space="preserve">Screenshot of his own Discord message laying out the BTC plan for the weekend: the first reversal zone is 77.7-78.1k, a bounce there targets 79-80k, while a 4h close below 77.7k opens 75-76k. Shows he keys his bias off 4h closes relative to a defined support zone.</t>
  </si>
  <si>
    <t xml:space="preserve">Paladin [Will not DM] Today at 12:04 PM
Basically
1st zone of reversal 77.7-78.1k bounce -&gt; 79-80k for weekend
4h close below 77.7k -&gt; 75-76k</t>
  </si>
  <si>
    <t xml:space="preserve">Today at 12:04 PM</t>
  </si>
  <si>
    <t xml:space="preserve">Symbol (BTC) is inferred from the price levels; it is not written in the message.</t>
  </si>
  <si>
    <t xml:space="preserve">Bybit ROI share card for an open ETHUSDT 100x long at +90.57% (entry 2,173.61, current 2,194.45). Posted as the trade passed 1R, with guidance to take 25-50% partial profit.</t>
  </si>
  <si>
    <t xml:space="preserve">ETHUSDT Long 100.0X
ROI
+90.57%
Entry Price
2,173.61
Current Price
2,194.45
BYBIT</t>
  </si>
  <si>
    <t xml:space="preserve">BloFin War of Whales share card for an open BTCUSDT 150x long at +87.18% (entry 78,041.3, mark 78,494.9, 05-17 15:37:00). Shared alongside the ETH partial-profit call as the BTC idea from his reversal-zone plan started moving.</t>
  </si>
  <si>
    <t xml:space="preserve">WOW
WAR OF WHALES 2026
BTCUSDT Perp
Buy 150X
+87.18%
Entry Price 78,041.3
Mark Price 78,494.9
Referral Code DwquXN
05-17 15:37:00</t>
  </si>
  <si>
    <t xml:space="preserve">05-17 15:37:00</t>
  </si>
  <si>
    <t xml:space="preserve">Bybit ROI share card for an open BOMEUSDT 25x long at +80.80% (entry 0.0005998, current 0.0006203). Posted with risk-management guidance: take 25%, stop to entry, small accounts can close fully; he also mentions hoping ZEC prints big.</t>
  </si>
  <si>
    <t xml:space="preserve">BOMEUSDT Long 25.0X
ROI
+80.80%
Entry Price
0.0005998
Current Price
0.0006203
BYBIT</t>
  </si>
  <si>
    <t xml:space="preserve">BloFin War of Whales share card for an open ZECUSDT 75x long at +358.87% (entry 545.99, mark 572.12, 05-19 06:21:23). He booked 20%, moved the stop to entry and kept the majority for take-profit targets.</t>
  </si>
  <si>
    <t xml:space="preserve">WOW
WAR OF WHALES 2026
ZECUSDT Perp
Buy 75X
+358.87%
Entry Price 545.99
Mark Price 572.12
Referral Code DwquXN
05-19 06:21:23</t>
  </si>
  <si>
    <t xml:space="preserve">05-19 06:21:23</t>
  </si>
  <si>
    <t xml:space="preserve">Bybit ROI share card for the BOMEUSDT 25x long now at +165.91% (entry 0.0005998, current 0.0006430), up from +80.80% about six hours earlier. Posted as the take-profit announcement after BOME 'exploded'.</t>
  </si>
  <si>
    <t xml:space="preserve">BOMEUSDT Long 25.0X
ROI
+165.91%
Entry Price
0.0005998
Current Price
0.0006430
BYBIT</t>
  </si>
  <si>
    <t xml:space="preserve">BloFin War of Whales share card for the ZECUSDT 75x long closed at 581.92 from entry 545.99 for +493.44% (05-19 23:02:42). He booked the majority at this TP (~1R) and said he would take the final portion at 592.</t>
  </si>
  <si>
    <t xml:space="preserve">WOW
WAR OF WHALES 2026
ZECUSDT Perp
Buy 75X
+493.44%
Entry Price 545.99
Close Price 581.92
Referral Code DwquXN
05-19 23:02:42</t>
  </si>
  <si>
    <t xml:space="preserve">05-19 23:02:42</t>
  </si>
  <si>
    <t xml:space="preserve">BloFin War of Whales share card for an open BTCUSDT 150x long at +29.14% (entry 76,704.7 after a DCA fill, mark 76,853.8, 05-20 06:14:52). He is still holding, expecting 78k+ during the day.</t>
  </si>
  <si>
    <t xml:space="preserve">WOW
WAR OF WHALES 2026
BTCUSDT Perp
Buy 150X
+29.14%
Entry Price 76,704.7
Mark Price 76,853.8
Referral Code DwquXN
05-20 06:14:52</t>
  </si>
  <si>
    <t xml:space="preserve">05-20 06:14:52</t>
  </si>
  <si>
    <t xml:space="preserve">BloFin War of Whales share card for a ZECUSDT 75x long entered at 580.25 and closed at 591.75 for +148.59% (05-20 11:17:18), right at the 592 full-TP target he had announced. Posted without text.</t>
  </si>
  <si>
    <t xml:space="preserve">WOW
WAR OF WHALES 2026
ZECUSDT Perp
Buy 75X
+148.59%
Entry Price 580.25
Close Price 591.75
Referral Code DwquXN
05-20 11:17:18</t>
  </si>
  <si>
    <t xml:space="preserve">05-20 11:17:18</t>
  </si>
  <si>
    <t xml:space="preserve">BloFin War of Whales share card for the open BTCUSDT 150x long now at +145.83% (entry 76,704.7, mark 77,450.5, 05-20 18:13:52). Around 1R in profit; he is holding for roughly 78.5k and notes he avoids partials on BTC.</t>
  </si>
  <si>
    <t xml:space="preserve">WOW
WAR OF WHALES 2026
BTCUSDT Perp
Buy 150X
+145.83%
Entry Price 76,704.7
Mark Price 77,450.5
Referral Code DwquXN
05-20 18:13:52</t>
  </si>
  <si>
    <t xml:space="preserve">05-20 18:13:52</t>
  </si>
  <si>
    <t xml:space="preserve">BloFin War of Whales share card for the BTCUSDT 150x long closed at 77,826.3 from the DCA'd entry 76,704.7 for +219.32% (05-21 06:29:51). He closed the full position here, calling it over 1R with great profits thanks to the DCA.</t>
  </si>
  <si>
    <t xml:space="preserve">WOW
WAR OF WHALES 2026
BTCUSDT Perp
Buy 150X
+219.32%
Entry Price 76,704.7
Close Price 77,826.3
Referral Code DwquXN
05-21 06:29:51</t>
  </si>
  <si>
    <t xml:space="preserve">05-21 06:29:51</t>
  </si>
  <si>
    <t xml:space="preserve">Bybit ROI share card for an open SUIUSDT 50x long at +170.83% (entry 1.07380, current 1.11270). Posted while the trade was running, with his take-profit plan of 1.14 (TP1) and 1.23 (TP2).</t>
  </si>
  <si>
    <t xml:space="preserve">SUIUSDT Long 50.0X
ROI
+170.83%
Entry Price
1.07380
Current Price
1.11270
BYBIT</t>
  </si>
  <si>
    <t xml:space="preserve">Bybit ROI share card for the SUIUSDT 50x long closed at exactly 1.14000 (his stated TP1) from entry 1.07380 for +308.25%. Confirms the take-profit order filled right after his earlier update.</t>
  </si>
  <si>
    <t xml:space="preserve">SUIUSDT Long 50.0X
ROI
+308.25%
Entry Price
1.07380
Exit Price
1.14000
BYBIT</t>
  </si>
  <si>
    <t xml:space="preserve">Blofin PnL share card for a closed SUIUSDT 100X long: entry 1.0481, close 1.1401, +877.77% ROI, closed 05-21 07:55:15. Posted as 'Entry from my DCA', i.e. this was the DCA (averaged-in) leg of his SUI long, closed in profit.</t>
  </si>
  <si>
    <t xml:space="preserve">WOW WAR OF WHALES 2026
SUIUSDT Perp
Buy 100X
+877.77%
Entry Price 1.0481
Close Price 1.1401
Referral Code DwquXN
05-21 07:55:15</t>
  </si>
  <si>
    <t xml:space="preserve">05-21 07:55:15</t>
  </si>
  <si>
    <t xml:space="preserve">06:14:08</t>
  </si>
  <si>
    <t xml:space="preserve">Screenshot of a Discord DM exchange: a member asks why Paladin does not take partial profits on BTC, and Paladin explains his trade-management philosophy: he exits 100% at TP1 because partials get round-tripped while a stop loss is always a 100% loss, his trades are mostly 0.5-1R, and taking full TP makes his R accounting simple (one loss recovered by two 100% TP wins).</t>
  </si>
  <si>
    <t xml:space="preserve">(first message, author name cropped off at top):
Hey Paladin, just saw you mention you don't like to take partial profits in BTC.
Was just curious why?
Thanks for posting in ScalpX it seems like every trade you take is a home run! Keep it up 💪🏻🤠
Paladin [Will not DM] May 21, 2026 8:06 AM
First of all, appreciate the compliment!
I don't like partials because partials can hurt
For example I take 50% TP then it comes back and hits my BE I wasted 50% of the profits? Okay understandable
But whenever I hit SL I get a 100% SL
You round trip more on partials than you make
Plus I don't do high RR trading, my trades are mostly 0.5-1R trades
I take 100% it helps me keep track of my R, if I lose 1 trade I know I'll make it back by 2 trades 100% TP
Not 4 trades with 3 trades taking TP1 25% and 4th trade finally hitting my TP4
If TP1 is the most confident TP why not exit 100% there instead of round tripping?
Yes you miss big moves to flex on pnl card but I don't have to stress about round trips
Basically SL is 100% in partial TP trading and TPs are 25-50%
Sorry for writing so much I hope you understood</t>
  </si>
  <si>
    <t xml:space="preserve">Someone asked this in my DMs why I don't like taking partials so putting it here is my point of view, of course you don't have to agree just my style.
@Paladin Notify</t>
  </si>
  <si>
    <t xml:space="preserve">May 21, 2026 8:06 AM</t>
  </si>
  <si>
    <t xml:space="preserve">Top of the screenshot is cropped, so the author/avatar and timestamp of the first (question) message are not visible.</t>
  </si>
  <si>
    <t xml:space="preserve">063_2026-05-21_061408_Screenshot_20260521-081221.png</t>
  </si>
  <si>
    <t xml:space="preserve">https://discord.com/channels/1042855255089623100/1501271173588193290/1506857601235816518</t>
  </si>
  <si>
    <t xml:space="preserve">Blofin share card of an open BTCUSDT 150X long: entry 77,065.1, mark 77,854.8, +153.70% ROI at 05-21 22:20:56. Posted in response to chat claims that he was 'getting rekt because everyone else is shorting' - he was long BTC against the crowd and in profit.</t>
  </si>
  <si>
    <t xml:space="preserve">WOW WAR OF WHALES 2026
BTCUSDT Perp
Buy 150X
+153.70%
Entry Price 77,065.1
Mark Price 77,854.8
Referral Code hrk3ES
05-21 22:20:56</t>
  </si>
  <si>
    <t xml:space="preserve">05-21 22:20:56</t>
  </si>
  <si>
    <t xml:space="preserve">11:59:59</t>
  </si>
  <si>
    <t xml:space="preserve">no</t>
  </si>
  <si>
    <t xml:space="preserve">Screenshot of the ScalpX bot's 'Roles &amp; Notifications' message listing the reaction emoji for each trader's notification role (crystal ball 🔮 for Paladin, 404 reactions). Posted to tell members how to subscribe to his notifications; no trade data.</t>
  </si>
  <si>
    <t xml:space="preserve">Apr 5, 2026
Scalp X [BOT] Apr 5, 2026 3:08 AM
Make sure you register for your favorite traders here! (edited)
Roles &amp; Notifications [SCALPX logo]
React with the emoji for each role you want 🔔
React 🔥 for Chento
React (yellow feather emoji) for uvwpvw
React (SCALP logo emoji) for Nick Scalps
React 🐪 for Yassin
React (white roll emoji) for ! number
React 🌺 for Madda
React (grey $ emoji) for Dmitry
React 🔮 for Paladin
React (sunglasses emoji) for PILTR
React 👔 for Thomas
Reactions: 🔥 1023 | (SCALP logo) 384 | (feather) 391 | 🐪 426 | (white roll) 372 | 🌺 574 | ($) 492 | 🔮 404 | (sunglasses) 192 | 👔 147</t>
  </si>
  <si>
    <r>
      <rPr>
        <sz val="10"/>
        <rFont val="Arial"/>
        <family val="0"/>
        <charset val="1"/>
      </rPr>
      <t xml:space="preserve">Also a couple of DMs regarding not getting my notifications , or how to get them, you go and take it from #🐐</t>
    </r>
    <r>
      <rPr>
        <sz val="10"/>
        <rFont val="Noto Sans CJK SC"/>
        <family val="2"/>
      </rPr>
      <t xml:space="preserve">｜</t>
    </r>
    <r>
      <rPr>
        <sz val="10"/>
        <rFont val="Arial"/>
        <family val="0"/>
        <charset val="1"/>
      </rPr>
      <t xml:space="preserve">get-notifications 
Just press 🔮 for my notifications 
Also you can choose others at a single time too for their notifications as everyone's doing their best here!
@Paladin Notify</t>
    </r>
  </si>
  <si>
    <t xml:space="preserve">Apr 5, 2026 3:08 AM</t>
  </si>
  <si>
    <t xml:space="preserve">Some reaction emoji are custom/ambiguous (feather-like emoji for uvwpvw, white roll for '! number', grey $ for Dmitry, dark sunglasses for PILTR) and are described rather than transcribed.</t>
  </si>
  <si>
    <t xml:space="preserve">065_2026-05-22_115959_Screenshot_20260522-135719.png</t>
  </si>
  <si>
    <t xml:space="preserve">https://discord.com/channels/1042855255089623100/1501271173588193290/1507307024482959431</t>
  </si>
  <si>
    <t xml:space="preserve">Blofin share card for a 1000BONKUSDT 75X long closed at TP1: entry 0.006158, close 0.006323, +199.88% ROI at 05-22 18:01:16. Message says he took only 20-25% here and is holding the majority for more.</t>
  </si>
  <si>
    <t xml:space="preserve">WOW WAR OF WHALES 2026
1000BONKUSDT Perp
Buy 75X
+199.88%
Entry Price 0.006158
Close Price 0.006323
Referral Code DwquXN
05-22 18:01:16</t>
  </si>
  <si>
    <t xml:space="preserve">05-22 18:01:16</t>
  </si>
  <si>
    <t xml:space="preserve">Exchange share card of an open WLDUSDT 100X long: entry $0.284, fair/mark price $0.2908, +234.74% ROI. Posted when WLD nearly tagged his TP (missed by 0.002); he recommended partial profit (25-50%) and stop to entry.</t>
  </si>
  <si>
    <t xml:space="preserve">WLDUSDT Perpetual
Long | 100X
+234.74%
0% Liquidity NO.1
Entry Price $0.284
Fair Price $0.2908</t>
  </si>
  <si>
    <t xml:space="preserve">No exchange logo visible in the crop; platform inferred from the card style ('0% / Liquidity NO.1' graphic, 'Perpetual', 'Fair Price' terminology) used on his non-Blofin cards.</t>
  </si>
  <si>
    <t xml:space="preserve">Cropped 'Closed PNL' share card for the WLDUSDT 100X long, closed at +542.25% ROI, with a decorative sparkline marking the B (buy) and S (sell) points. Message: TP hit (1.5R from limit, 1R from CMP), he is out at first TP but thinks the weekend could reach full TP.</t>
  </si>
  <si>
    <t xml:space="preserve">Closed PNL
WLDUSDT Perpetual Long | 100X
+542.25%</t>
  </si>
  <si>
    <t xml:space="preserve">Crop excludes entry and close prices. Platform inferred from card style (same family as the 'Fair Price' cards); no logo visible.</t>
  </si>
  <si>
    <t xml:space="preserve">Share card for a (partially) closed BEATUSDT 100X short: avg entry $1.2875, avg close $1.169, +921.08% ROI. Message: up 1.5R, took 60% off to recover one previous SL.</t>
  </si>
  <si>
    <t xml:space="preserve">BEATUSDT Perpetual
Close Short | 100X
+921.08%
Avg Entry Price $1.2875
Avg Close Price $1.169</t>
  </si>
  <si>
    <t xml:space="preserve">No exchange logo visible; platform inferred from card style. Center of the card is blank (graphic not rendered/cropped).</t>
  </si>
  <si>
    <t xml:space="preserve">Share card of an open JCTUSDT 50X short: entry $0.004, fair/mark price $0.003870, +160.87% ROI. Posted as JCT dumped ~0.5R; he took 10% off, SL to entry, and warned to secure shorts lightly because BTC might bounce.</t>
  </si>
  <si>
    <t xml:space="preserve">JCTUSDT Perpetual
Short | 50X
+160.87%
Entry Price $0.004
Fair Price $0.003870</t>
  </si>
  <si>
    <t xml:space="preserve">No exchange logo visible; platform inferred from card style.</t>
  </si>
  <si>
    <t xml:space="preserve">Share card of an open HYPEUSDT 100X long: entry $54.991, fair/mark price $55.507, +93.83% ROI, which he described as 0.5R up.</t>
  </si>
  <si>
    <t xml:space="preserve">HYPEUSDT Perpetual
Long | 100X
+93.83%
Entry Price $54.991
Fair Price $55.507</t>
  </si>
  <si>
    <t xml:space="preserve">Cropped 'Closed PNL' card for the HYPEUSDT 100X long closed at +204.57% ROI (decorative sparkline with B/S markers). Message: HYPE up 1.2R, he is out here, next TP 58 for holders.</t>
  </si>
  <si>
    <t xml:space="preserve">Closed PNL
HYPEUSDT Perpetual Long | 100X
+204.57%</t>
  </si>
  <si>
    <t xml:space="preserve">Crop excludes entry and close prices. Platform inferred from card style; no logo visible.</t>
  </si>
  <si>
    <t xml:space="preserve">Blofin share card of an open SUIUSDT 100X long: entry 1.0014, mark 1.0165, +150.91% ROI at 05-23 18:15:38. Posted with '1R soon!' - the +150% ROI was still short of 1R because his R is measured against the stop distance (SL 0.95 / TP 1.05).</t>
  </si>
  <si>
    <t xml:space="preserve">WOW WAR OF WHALES 2026
SUIUSDT Perp
Buy 100X
+150.91%
Entry Price 1.0014
Mark Price 1.0165
Referral Code DwquXN
05-23 18:15:38</t>
  </si>
  <si>
    <t xml:space="preserve">05-23 18:15:38</t>
  </si>
  <si>
    <t xml:space="preserve">BEATUSDT, SUIUSDT</t>
  </si>
  <si>
    <t xml:space="preserve">Discord screenshot where Paladin explains his R concept: 1R = profit equal to the stop-loss distance, ROI % is irrelevant to it. He gives the BEAT short (went 2R, TP taken at 1.7R) and the live SUI long (from 1, SL 0.95, TP 1.05) as examples, revealing that his SUI trade was a 1:1 risk/reward setup; the accompanying message adds that he risks 1-2% on alts and 3-5% on BTC.</t>
  </si>
  <si>
    <t xml:space="preserve">Diafonso 6:23 PM
@Paladin [Will not DM] i am confused u said 1R soon, but you are up 150% arent u already 1R?
or in this case 1.5R
Paladin [Will not DM] [SX] [VIP] [OP] 6:29 PM
Noooo
That's ROI
1R is when you make profit equal to your SL.
If SL is 100$ and TP is 100$ that makes 1R, if SL is 100$ and TP is 200$ that makes 2R
If SL is 100$ and TP is 50$ that makes 0.5R
For example we did beat short it went 2R, so SL was 100$ and TP 200$
(We took TP @ 1.7 R)
Basically your trade have to move up same amount up against SL to score 1R
For example you longed SOL at 100
SL is 95, TP is 105
See? SL is -5$, TP is +5$
Just like this rn SUI is running from 1
SL 0.95 (-0.5) TP 1.05 (+0.5)
[reaction: ❤️ 1]</t>
  </si>
  <si>
    <t xml:space="preserve">6:23 PM / 6:29 PM</t>
  </si>
  <si>
    <t xml:space="preserve">16:38:14</t>
  </si>
  <si>
    <t xml:space="preserve">Link-preview image of the infinityalgo.com Position Size Calculator (default example: $10,000 balance, 2% risk, entry 50.00, SL 48.00 -&gt; 100 shares, $200 risk). He shared it to tell followers to size positions by risk (1-2% alts, 3% BTC) so they never get liquidated.</t>
  </si>
  <si>
    <t xml:space="preserve">Position Size Calculator
Calculate the optimal position size for your trades based on your account balance, risk tolerance, and stop loss. Proper position sizing is the foundation of successful risk management in trading.
Risk Management | 100% Free | Instant Results
Position Size Calculator
Enter your trading parameters to calculate the optimal position size
Account Balance: USD 10000
Risk Per Trade (%): 2 (Recommended: 1-3% per trade)
Entry Price: 50.00
Stop Loss Price: 48.00
Position Size Results
Position Size: 100 shares
Risk Distance: $2.00 (4.0%)
Risk Amount: $200.00</t>
  </si>
  <si>
    <t xml:space="preserve">Also guys I take my trade using risk calculators such as 
https://infinityalgo.com/tools/calculators/position-size-calculator
Learn to use risk calculator and I PROMISE YOU, YOU'LL END MONTHLY PROFITABLE WITH ME AND NEVER EVER GET LIQUIDATED.
1-2% ALTs 
3% BTC</t>
  </si>
  <si>
    <t xml:space="preserve">Embed preview of a web page, not his own numbers (default example values).</t>
  </si>
  <si>
    <t xml:space="preserve">075_2026-05-23_163814_EMBED_og-position-size-calculator.jpg</t>
  </si>
  <si>
    <t xml:space="preserve">https://discord.com/channels/1042855255089623100/1501271173588193290/1507739436178341980</t>
  </si>
  <si>
    <t xml:space="preserve">16:41:42</t>
  </si>
  <si>
    <t xml:space="preserve">Phone screenshot of the position-size calculator filled with his SUI example: risk 1% (of an implied $10,000 wallet), entry 1, stop loss 0.95, 200:1 leverage -&gt; 2000 coins ($2,000 notional), $10 margin, $100 risk. Posted as a step-by-step on how he derives position size (coins/margin) from wallet, risk % and entry/SL before placing the order on the exchange.</t>
  </si>
  <si>
    <t xml:space="preserve">Risk Per Trade: [%] [$] 1
Entry Price: 1
Stop Loss: 0.95
Leverage (Optional): 200:1
Advanced Options
Position Size
2000.000000 coins
$2,000.00 total value
Required Margin: $10.00 @ 200:1
Risk Amount: $100.00</t>
  </si>
  <si>
    <t xml:space="preserve">How to use it?
Step1: Write your wallet
Step2: Write your risk %
Step3: Write your Entry SL 
Step4: It gives you a position size, how much coins or margin to long
Step5: Go to your exchange manually write down the coins or margin</t>
  </si>
  <si>
    <t xml:space="preserve">Account balance field is scrolled out of view (implied ~$10,000 from 1% = $100 risk, not shown).</t>
  </si>
  <si>
    <t xml:space="preserve">076_2026-05-23_164142_Screenshot_20260523-184000.png</t>
  </si>
  <si>
    <t xml:space="preserve">https://discord.com/channels/1042855255089623100/1501271173588193290/1507740311013818418</t>
  </si>
  <si>
    <t xml:space="preserve">Blofin futures order screen for SUIUSDT Perp (Cross 100X, 794.72 USDT available, last price 1.0172, SUI down 9.33% on the day) with the 'Futures Unit Setting' sheet open and red marks highlighting 'By Amount' in SUI. Posted as the final step of his sizing tutorial: enter on the exchange by coin amount taken from the risk calculator.</t>
  </si>
  <si>
    <t xml:space="preserve">Futures | Copy | Bots
SUIUSDT Perp -9.33%
Cross | 100X
Funding / Countdown 0.0138% / 02:18:09
Available 794.72 USDT
Limit
Price(USDT) 1.1 | BBO
Amount SUI
Reduced only
Order book - Price (USDT) / Amount (SUI): 1.0178 41.813K | 1.0177 35.557K | 1.0176 21.397K | 1.0175 32.166K | 1.0174 46.602K | 1.0173 30.611K | 1.0172 3.875K | 1.0172 | 1.0171
Futures Unit Setting
(selected) By Amount - Place an order by amount. Cost will change accordingly when you adjust the leverage. [SUI] [USDT]
By Cost (USDT) - Place an order by cost (trading fee included). Cost won't change when you adjust the leverage. Actual cost for reduce orders may slightly differ.
Confirm</t>
  </si>
  <si>
    <t xml:space="preserve">Order side (buy/sell) is not visible; the 1.1 limit price appears to be a demo value.</t>
  </si>
  <si>
    <t xml:space="preserve">16:54:27</t>
  </si>
  <si>
    <t xml:space="preserve">Cropped exchange wallet screenshot showing a total balance of 89.36 USDT - the small account he found and decided to use for a 'for fun' BTC-scalps-only 2x challenge, risking 10-20% per trade (explicitly not to be copied on a main account).</t>
  </si>
  <si>
    <t xml:space="preserve">Total Balance (USDT)
89.36
≈ $89.36</t>
  </si>
  <si>
    <t xml:space="preserve">I found this today in some account, for fun I'll do BTC scalp trades only on this and let's see if we can double it by BTC scalps only, alot of you have requested a 2x or funded challenge.
Nothing serious just for fun, don't follow it on main account I'll try to risk 10-20% which isn't healthy for your main wallet.
BTC trades only and we will try for 2x 😤</t>
  </si>
  <si>
    <t xml:space="preserve">No logo visible; platform inferred from UI style and the following Blofin position screenshot (079) of the same account.</t>
  </si>
  <si>
    <t xml:space="preserve">078_2026-05-23_165427_Screenshot_20260523-185155.png</t>
  </si>
  <si>
    <t xml:space="preserve">https://discord.com/channels/1042855255089623100/1501271173588193290/1507743520738381854</t>
  </si>
  <si>
    <t xml:space="preserve">Blofin open position: BTCUSDT long, cross 20X, size 0.0090 BTC, margin 34.2309 USDT, entry 75,166.5, mark 75,159.2, est. liquidation 65,494.8, stop loss 72,200.0 and no take profit set, ROI -0.19%. Posted as 'First scalp trade' of the small-account 2x challenge - a roughly 4% price stop at 20X on a third of the 89 USDT account.</t>
  </si>
  <si>
    <t xml:space="preserve">BTCUSDT
Long | Cross | 20X
Unrealized PnL (USDT) -0.0657 ≈ -$0.06
ROI -0.19%
Size (BTC) 0.0090
Margin (USDT) 34.2309
Margin Rate 2.29%
Entry Price 75,166.5
Mark Price 75,159.2
Est. Liq. Price 65,494.8
Position TP/SL -- / 72,200.0</t>
  </si>
  <si>
    <t xml:space="preserve">20:17:47</t>
  </si>
  <si>
    <t xml:space="preserve">EMA(20): 56.777; EMA(50): 56.203; EMA(200): 56.170</t>
  </si>
  <si>
    <t xml:space="preserve">auto high label 58.102 (swing high of the rally); auto low label 54.506 (swing low before the rally); current price line 57.636; price scale: 58.281, 56.963, 55.644, 54.326</t>
  </si>
  <si>
    <t xml:space="preserve">After a choppy decline to the 54.506 low, HYPE rallied impulsively through all three EMAs to 58.102 and is consolidating around 57.6 just under that high, with EMA20 &gt; EMA50 &gt; EMA200 in a bullish stack. It documents his HYPE long (entry ~54.991) having reached the 58 take-profit area.</t>
  </si>
  <si>
    <t xml:space="preserve">Blofin 15-minute HYPEUSDT chart posted when he announced the HYPE TP was hit: price ran from 54.506 to 58.102 (his stated next TP was 58) and sits at 57.636. He notes the full move was 3RR without partials (2RR with), while he had already exited at ~1.1R - an example of when his 100%-at-first-TP rule costs upside.</t>
  </si>
  <si>
    <t xml:space="preserve">HYPEUSDT
Last Price 57.636 ≈ $57.57 -0.32%
Mark Price 57.635
24h High 58.550
24h Low 54.058
24h Vol(HYPE) 698.281K
Funding Rate 0.0246%
Line | 15m | 1h | 4h | 1D | More
EMA(20): 56.777 EMA(50): 56.203 EMA(200): 56.170
58.281
58.102
57.636
56.963
55.644
54.506
54.326
BloFin</t>
  </si>
  <si>
    <t xml:space="preserve">HYPE TP hit, 3RR without partials, 2 RR with partials if you took it how I mentioned
This is when taking 100% TP hurts, I exited at 1.1 R but anyhow I usually always take 100% on first TP 
@Paladin Notify</t>
  </si>
  <si>
    <t xml:space="preserve">080_2026-05-23_201747_Screenshot_20260523-221619.png</t>
  </si>
  <si>
    <t xml:space="preserve">https://discord.com/channels/1042855255089623100/1501271173588193290/1507794690198736996</t>
  </si>
  <si>
    <t xml:space="preserve">Blofin share card of the SUIUSDT 100X long from 1.0014 with mark price 1.0539, +524.30% ROI at 05-23 23:17:49 - the same trade as card 073 now past his 1.05 target (1R). Posted with 'Alright boys took some here', i.e. profit taken at this level.</t>
  </si>
  <si>
    <t xml:space="preserve">WOW WAR OF WHALES 2026
SUIUSDT Perp
Buy 100X
+524.30%
Entry Price 1.0014
Mark Price 1.0539
Referral Code DwquXN
05-23 23:17:49</t>
  </si>
  <si>
    <t xml:space="preserve">05-23 23:17:49</t>
  </si>
  <si>
    <t xml:space="preserve">Blofin share card for a closed FILUSDT 3X long: entry 0.955, closed at 1.000 for +14.13% ROI. Posted with 'FIL TP' - he took profit on FIL at the 1.000 round-number level.</t>
  </si>
  <si>
    <t xml:space="preserve">WOW WAR OF WHALES 2026
FILUSDT Perp
Buy 3X
+14.13%
Entry Price 0.955
Close Price 1.000
Referral Code DwquXN
05-24 01:41:28</t>
  </si>
  <si>
    <t xml:space="preserve">05-24 01:41:28</t>
  </si>
  <si>
    <t xml:space="preserve">Blofin share card of an open BTCUSDT 150X long from 75,197.2 with mark price 76,903.8 (+340.42% ROI). Posted with 'BTC feel free to trim wherever you want' - he is inviting partial profit-taking while staying in the trade.</t>
  </si>
  <si>
    <t xml:space="preserve">WOW WAR OF WHALES 2026
BTCUSDT Perp
Buy 150X
+340.42%
Entry Price 75,197.2
Mark Price 76,903.8
Referral Code DwquXN
05-24 01:41:18</t>
  </si>
  <si>
    <t xml:space="preserve">05-24 01:41:18</t>
  </si>
  <si>
    <t xml:space="preserve">Blofin share card of an open SUIUSDT 100X long from 1.0014 with mark 1.0803 (+788.77% ROI). Posted with 'SUI nearly full TP, still holding majority, Target 1.1+' - partial profit taken, runner kept toward 1.1.</t>
  </si>
  <si>
    <t xml:space="preserve">WOW WAR OF WHALES 2026
SUIUSDT Perp
Buy 100X
+788.77%
Entry Price 1.0014
Mark Price 1.0803
Referral Code DwquXN
05-24 01:42:58</t>
  </si>
  <si>
    <t xml:space="preserve">05-24 01:42:58</t>
  </si>
  <si>
    <t xml:space="preserve">23:50:00</t>
  </si>
  <si>
    <t xml:space="preserve">Screenshot of Paladin's own earlier Discord message (timestamped 'Yesterday at 10:29 PM', i.e. the evening of ~22 May) laying out his geopolitical reasoning for expecting a ceasefire extension: Hajj/Eid timing, Gulf states wanting calm, Pakistan brokering talks with China and Iran. Reposted as proof that he anticipated the positive news behind the pump ('Mentioned this in the VIPs, expecting good news, trump just announced it...'). No trade data; shows he factors macro/geopolitical catalysts into his bullish bias.</t>
  </si>
  <si>
    <t xml:space="preserve">Paladin [Will not... [SX] [VIP] [OP] Yesterday at 10:29 PM
Hajj, Muslims pilgrimage and Eid incoming, Gulf countries trying to extend at least this period
Plus Pakistan in action again going to China and Iran for peace talks, feels like we will settle soon (unless Israel messes up)
[heart reaction] 1</t>
  </si>
  <si>
    <t xml:space="preserve">Mentioned this in the VIPs, expecting good news, trump just announced it, ceasefire continuation on the request of gulf stayed that's why we pumped</t>
  </si>
  <si>
    <t xml:space="preserve">Yesterday at 10:29 PM</t>
  </si>
  <si>
    <t xml:space="preserve">Author display name is truncated ('Paladin [Will not...'); badge labels read SX, VIP, OP.</t>
  </si>
  <si>
    <t xml:space="preserve">085_2026-05-23_235000_Screenshot_20260524-014858.png</t>
  </si>
  <si>
    <t xml:space="preserve">https://discord.com/channels/1042855255089623100/1501271173588193290/1507848097404027102</t>
  </si>
  <si>
    <t xml:space="preserve">Exchange positions tab showing an open BTCUSDT 200X cross long of 0.0090 BTC from 75,166.5, mark 77,072.3, unrealized +17.15 USDT (+507.03% ROI) on 3.7884 USDT margin, liquidation 65,500.5 and a stop loss at 72,220.0. Posted with 'Making 20% of this' - the ~$17 gain is about 20% of this small account.</t>
  </si>
  <si>
    <t xml:space="preserve">BTCUSDT
Long | Cross | 200X
Unrealized PnL (USDT) +17.1504 ≈ +$17.15
ROI +507.03%
Size (BTC) 0.0090
Margin (USDT) 3.7884
Margin Rate 5.97%
Entry Price 75,166.5
Mark Price 77,072.3
Est. Liq. Price 65,500.5
Position TP/SL -- / 72,220.0
Pending Orders (2)</t>
  </si>
  <si>
    <t xml:space="preserve">The two pending orders are collapsed and not visible. Platform inferred from the Blofin-style UI (Est. Liq. Price / Margin Rate / Position TP/SL layout).</t>
  </si>
  <si>
    <t xml:space="preserve">Blofin share card of the open BTCUSDT 150X long from 75,197.2 with mark 77,348.4 (+429.13% ROI). Posted with 'Bullish weekend' - he is holding into the weekend expecting continuation.</t>
  </si>
  <si>
    <t xml:space="preserve">WOW WAR OF WHALES 2026
BTCUSDT Perp
Buy 150X
+429.13%
Entry Price 75,197.2
Mark Price 77,348.4
Referral Code DwquXN
05-24 02:00:15</t>
  </si>
  <si>
    <t xml:space="preserve">05-24 02:00:15</t>
  </si>
  <si>
    <t xml:space="preserve">Share card of a SUIUSDT 250X long from $1.0006 with fair price $1.0909 showing +2,148.71% ROI. Posted with 'Sorry for the spam but SUI hit full TP 2R since we barely took anything at TP1' - he closed the SUI long in full at ~1.09 (about 2R) after taking only a small partial at TP1.</t>
  </si>
  <si>
    <t xml:space="preserve">SUIUSDT Perpetual
Long | 250X
+2,148.71%
Entry Price $1.0006
Fair Price $1.0909</t>
  </si>
  <si>
    <t xml:space="preserve">Cropped screenshot with no exchange logo; platform inferred from the card style ('Perpetual', 'Long | 250X', 'Fair Price') which matches the non-Blofin (Yubit) cards in this export - not Blofin and not Binance. Whether the position was already closed is ambiguous (fair price, not close price).</t>
  </si>
  <si>
    <t xml:space="preserve">Blofin share card for the closed SUIUSDT 100X long: entry 1.0014, closed at 1.0890 for +874.77% ROI. Posted seconds after the 'SUI hit full TP 2R' message, confirming the full exit around 1.09.</t>
  </si>
  <si>
    <t xml:space="preserve">WOW WAR OF WHALES 2026
SUIUSDT Perp
Buy 100X
+874.77%
Entry Price 1.0014
Close Price 1.0890
Referral Code DwquXN
05-24 02:05:50</t>
  </si>
  <si>
    <t xml:space="preserve">05-24 02:05:50</t>
  </si>
  <si>
    <t xml:space="preserve">Blofin share card of the still-open BTCUSDT 150X long from 75,197.2, mark 77,036.2 (+366.85% ROI). One of four cards posted together with 'C'mon guys at least post PNLs... today I gave you like 5R today' - a recap of the day's winning calls.</t>
  </si>
  <si>
    <t xml:space="preserve">WOW WAR OF WHALES 2026
BTCUSDT Perp
Buy 150X
+366.85%
Entry Price 75,197.2
Mark Price 77,036.2
Referral Code DwquXN
05-24 02:11:19</t>
  </si>
  <si>
    <t xml:space="preserve">05-24 02:11:19</t>
  </si>
  <si>
    <t xml:space="preserve">Blofin share card for a closed BEATUSDT 40X short: entry 1.2694, closed at 1.1482 for +382.08% ROI. Part of the four-card recap of the day's calls ('today I gave you like 5R').</t>
  </si>
  <si>
    <t xml:space="preserve">WOW WAR OF WHALES 2026
BEATUSDT Perp
Sell 40X
+382.08%
Entry Price 1.2694
Close Price 1.1482
Referral Code DwquXN
05-24 02:11:15</t>
  </si>
  <si>
    <t xml:space="preserve">05-24 02:11:15</t>
  </si>
  <si>
    <t xml:space="preserve">Blofin share card for the closed SUIUSDT 100X long (entry 1.0014, close 1.0890, +874.77% ROI), re-shared as part of the four-card day recap.</t>
  </si>
  <si>
    <t xml:space="preserve">WOW WAR OF WHALES 2026
SUIUSDT Perp
Buy 100X
+874.77%
Entry Price 1.0014
Close Price 1.0890
Referral Code DwquXN
05-24 02:10:54</t>
  </si>
  <si>
    <t xml:space="preserve">05-24 02:10:54</t>
  </si>
  <si>
    <t xml:space="preserve">Blofin share card for the closed FILUSDT 3X long (entry 0.955, close 1.000, +14.13% ROI), re-shared as part of the four-card day recap.</t>
  </si>
  <si>
    <t xml:space="preserve">WOW WAR OF WHALES 2026
FILUSDT Perp
Buy 3X
+14.13%
Entry Price 0.955
Close Price 1.000
Referral Code DwquXN
05-24 02:10:56</t>
  </si>
  <si>
    <t xml:space="preserve">05-24 02:10:56</t>
  </si>
  <si>
    <t xml:space="preserve">Tightly cropped 'Closed PNL' share card for a HYPEUSDT 100X long closed for +204.57% ROI, with a small sparkline marking the buy (B) near a dip and the sell (S) higher. Posted with 'Actually 8R, gave 3R on HYPE too' - adding the HYPE win to his tally of the day's calls.</t>
  </si>
  <si>
    <t xml:space="preserve">Closed PNL
HYPEUSDT Perpetual | Long | 100X
+204.57%
B
S</t>
  </si>
  <si>
    <t xml:space="preserve">Entry and close prices are not in the crop. No exchange logo; platform inferred from the same card style as the 'Fair Price' SUI card (non-Blofin, non-Binance).</t>
  </si>
  <si>
    <t xml:space="preserve">BTCUSDT, FILUSDCUSDT, FILUSDT, HYPEUSDT, SUIUSDT</t>
  </si>
  <si>
    <t xml:space="preserve">Phone screen recording (13 s) of Paladin scrolling down the '#profit-showcase' Discord channel (3372 unread) in the early hours of 2026-05-24 (phone local time ~02:48, about 2 h ahead of the Helsinki post time): members thank him with PnL share cards from PrimeXBT, Ourbit, BloFin (incl. 'WOW War of Whales 2026' cards), MEXC, Pionex and KCEX plus one closed-positions list. The recurring trades are his 23 May calls: HYPE long (~55.0-56.0 -&gt; ~55.9-58.0, +75% to +442%), FIL long (0.953-0.96 -&gt; 0.996-1.000, +88% to +242%), SUI long (~0.998-1.0013 -&gt; 1.09, +88% to +465%) and BTC long (74.7k-75.5k -&gt; 76.1k-77.1k, +49% to +868%), mostly at 20X-75X; one member posted a 100X HYPE short (+701.28%, entry 59.393) asking 'PNL porn?'. The scroll ends at the newest message (below 'NEW MESSAGES'), a PrimeXBT 0.090 BTC long at +868.26% / +147.08 USDT. Posted with 'Thank you for your trust guys, lovely to see this'; shows follower results, not his own positions.</t>
  </si>
  <si>
    <t xml:space="preserve"># $ | profit-showcase [Discord channel header, 3372 unread badge]
Shawarma Yesterday at 9:55 PM: Thank you ser @Paladin [Will not DM]
[PrimeXBT card] HYPE / USDT | Long | +442.35% | Entry price 56.015 | Close price 57.981 | PRIME XBT -- All-in-one app for Crypto, Investing, and Trading | ❤️ 2
hellwavez [SX, VIP] Yesterday at 11:27 PM: PNL porn?
[OURBIT card, Italian] HellWaveZ | HYPE USDT | Perp | Short | 100X | +701.28% | Prezzo di entrata $59.393 | Prezzo Equo $55.061 | 20H 05M | Unisciti a Ourbit, il SuperCEX di Memecoin | Codice Referral YE4MAC | [custom emoji] 1
--- May 24, 2026 ---
Nate Today at 2:12 AM: Thanks Paladin!!!
[BloFin card] FILUSDT Perp | Long 30X | +144.65% | Entry Price 0.954 | Close Price 1.000 | Referral Code: K6FqR3 | Share Time: 05/23 16:58:39 | ❤️ 1
SirBandylegs Today at 2:13 AM: @Paladin [Will not DM] TY!
[MEXC card] Shared on 2026-05-23 23:12:26 (UTC+2) | SUIUSDT Perpetual | Long | 10x | +88.34% | Referral code 2h7YA | Sign up to get $10, $50 first-trade loss coverage, &amp; 0-fee Futures | ❤️ 1
ateek944 Today at 2:13 AM: @Paladin [Will not DM] my first trade with full tp (edited)
[WOW War of Whales 2026 card] ateek944 | BTCUSDT Perp | Buy 20X | +49.41% | Entry Price 75,175.3 | Mark Price 77,032.7 | Referral Code CnsOQb | 05-24 02:42:37 | ❤️ 1
misfitnl Today at 2:13 AM: Thanks Paladin
[WOW War of Whales 2026 card] FILUSDT Perp | Long 20X | +88.05% | Entry Price 0.954 | Close Price 0.996 | Referral Code: dzMIKU | 05/23 23:12:56 | ❤️ 1
D3vil Today at 2:13 AM: Thanks @Paladin [Will not DM]
[Pionex card] HYPE/USDT Perpetual | Buy | 50X | Profit rate in USDT +75.16% | Avg. Price 55.031 | Avg. close 55.916 | Lasting 1h 23m | DevilUnited's referral code 0eacBj9WgjM | Download Pionex App
[Pionex card] FIL/USDT Perpetual | Buy | 50X | Profit rate in USDT +241.64% | Avg. Price 0.953 | Avg. close 1.000 | Lasting 5h 22m | DevilUnited's referral code 0eacBj9WgjM
[Pionex card] BTC/USDT Futures Lite | Buy | 75X | Profit rate in USDT +197.39% | Avg. Price 74,785.1 | Last Price 76,799.9 | Lasting 9h 7m | DevilUnited's referral code 0eacBj9WgjM
[Pionex card] SUI/USDT Perpetual | Buy | 50X | Profit rate in USDT +464.62% | Avg. Price 1.0013 | Last Price 1.0934 | Lasting 12h 34m | DevilUnited's referral code 0eacBj9WgjM | ❤️ 1
Pokedust Today at 2:14 AM: 💪🏼
[KCEX card] dt***2@outlook.com | BTC/USDT | Long 75X Closed | +116.53% | Avg Entry Price $75,535.5 | Avg Close Price $76,733.2 | Invite Code U3NN04 | 2026-05-23 17:12:42 | Fees as low as 0.01% | ❤️ 1
archersid18 [SX] Today at 2:17 AM: @Paladin [Will not DM] I was so down and out. Thanks!
[WOW War of Whales 2026 card] SUIUSDT Perp | Buy 20X | +185.02% | Entry Price 0.9977 | Close Price 1.0900 | Referral Code UMITOI | 05-24 02:46:32 | 🔥 1 ❤️ 1
Janos Today at 2:18 AM: @Paladin [Will not DM] hey, I'm New here, thanks a lot;)
[WOW War of Whales 2026 card] SUIUSDT Perp | Buy 20X | +93.38% | [rest of card not in frame]
[author not in frame] [closed-positions list screenshot] FILUSDC | Perp | Cross 20x | Realized PNL (USDC) 1.74 | ROI 75.45% | Entry Price 0.96 | Avg. Close Price 0.997 | Opened | Closed || BTCUSDT | Perp | Cross 40x | Realized PNL (USDT) 2.57 | ROI 68.80% | Entry Price 74,710 | Avg. Close Price 76,073.3 | Opened | Closed | 🔥 2 ❤️ 1
--- NEW MESSAGES ---
Pollensa [ASTR] Today at 2:45 AM: @Paladin [Will not DM] thanks so much
[PrimeXBT card] 0.090 BTC/USDT | Long | +868.26% | +147.08 USDT | Entry price 75,506.4 | Market price 77,140.7 | Shared on 05/23/26, 21:58:00 | Join PrimeXBT | ❤️ 1</t>
  </si>
  <si>
    <t xml:space="preserve">Discord: 'Yesterday at 9:55 PM', 'Yesterday at 11:27 PM', date divider 'May 24, 2026', then 'Today at 2:12 AM' through 'Today at 2:45 AM' (phone local time); share-card times: 05/23 16:58:39, 2026-05-23 23:12:26 (UTC+2), 05-24 02:42:37, 05/23 23:12:56, 2026-05-23 17:12:42, 05-24 02:46:32, 05/23/26 21:58:00</t>
  </si>
  <si>
    <t xml:space="preserve">All trades are followers' share cards, not Paladin's own positions. Janos' SUIUSDT card is cut off (no prices/time visible). The author and exchange of the closed-positions list (FILUSDC / BTCUSDT) are not in frame and its 'Opened'/'Closed' date values are not shown; side for those two entries is inferred from close &gt; entry with positive ROI. SirBandylegs' MEXC SUIUSDT card shows no prices. Leverage is not printed on the two PrimeXBT cards. The reaction emoji under hellwavez's post is a custom emoji that could not be identified. Frames 1-2 and 12-13 are identical (static start/end).</t>
  </si>
  <si>
    <t xml:space="preserve">Blofin share card for the closed BTCUSDT 150X long: entry 75,197.2, closed at 76,609.2 for +281.65% ROI. Posted with 'Out of BTC completely here, took 25% earlier at 77k' - he scaled out 25% near 77k and closed the rest at 76,609.2 after price pulled back.</t>
  </si>
  <si>
    <t xml:space="preserve">WOW WAR OF WHALES 2026
BTCUSDT Perp
Buy 150X
+281.65%
Entry Price 75,197.2
Close Price 76,609.2
Referral Code DwquXN
05-24 04:30:08</t>
  </si>
  <si>
    <t xml:space="preserve">05-24 04:30:08</t>
  </si>
  <si>
    <t xml:space="preserve">Exchange order history showing the filled market 'Close Long' order for the small account: 0.0090 BTC closed at avg 76,609.2 on 2026-05-24 04:27:09 for +12.9843 USDT realized PnL (fee 0.4137 USDT). Posted with 'Made 13$ on the 90$ account, 15%. Let's see if we can double it!'.</t>
  </si>
  <si>
    <t xml:space="preserve">All | Limit | Market | Last 30 days
BTCUSDT  Filled &gt;
Close Long | Cross | 200X
Realized PnL (USDT) +12.98430000
Price (USDT) Market
Quantity (BTC) 0.0090
Filled (BTC) 0.0090
Avg. Price (USDT) 76,609.2
Fee (USDT) 0.41368968
Time 2026-05-24 04:27:09</t>
  </si>
  <si>
    <t xml:space="preserve">2026-05-24 04:27:09</t>
  </si>
  <si>
    <t xml:space="preserve">Entry price and ROI are not shown on this order record. Platform inferred from the Blofin-style UI.</t>
  </si>
  <si>
    <t xml:space="preserve">Exchange positions tab showing a new BTCUSDT 200X cross long of 0.0090 BTC entered at 76,754.6 (mark 76,767.0, +3.20% ROI, +0.11 USDT) with stop loss at 74,000.0 and liquidation at 65,738.8. Posted with 'Long BTC' as the entry call for the new position.</t>
  </si>
  <si>
    <t xml:space="preserve">BTCUSDT
Long | Cross | 200X
Unrealized PnL (USDT) +0.1107 ≈ +$0.11
ROI +3.20%
Size (BTC) 0.0090
Margin (USDT) 3.8685
Margin Rate 2.06%
Entry Price 76,754.6
Mark Price 76,767.0
Est. Liq. Price 65,738.8
Position TP/SL -- / 74,000.0
TP/SL | Add | Close</t>
  </si>
  <si>
    <t xml:space="preserve">Platform inferred from the Blofin-style UI.</t>
  </si>
  <si>
    <t xml:space="preserve">Blofin share card of the open BTCUSDT 150X long from 76,754.6 with mark 77,060.0 (+59.70% ROI). Posted with 'In profits rn so you can adjust' - suggesting followers move stops/partials now that the trade is in profit.</t>
  </si>
  <si>
    <t xml:space="preserve">WOW WAR OF WHALES 2026
BTCUSDT Perp
Buy 150X
+59.70%
Entry Price 76,754.6
Mark Price 77,060.0
Referral Code DwquXN
05-24 17:57:54</t>
  </si>
  <si>
    <t xml:space="preserve">05-24 17:57:54</t>
  </si>
  <si>
    <t xml:space="preserve">Blofin share card of the still-open BTCUSDT 150X long from 76,754.6, mark 77,416.5 (+129.35% ROI). Posted with 'Still holding onto this, expecting higher. Just need a closing 4h above ema 200 and we can speed up' - he is watching the 4H EMA 200 as the trigger for continuation.</t>
  </si>
  <si>
    <t xml:space="preserve">WOW WAR OF WHALES 2026
BTCUSDT Perp
Buy 150X
+129.35%
Entry Price 76,754.6
Mark Price 77,416.5
Referral Code DwquXN
05-25 14:07:24</t>
  </si>
  <si>
    <t xml:space="preserve">05-25 14:07:24</t>
  </si>
  <si>
    <t xml:space="preserve">Blofin share card of an open WLDUSDT 75X long from 0.3023 with mark 0.3117 (+233.55% ROI). Posted with 'Took 30% here, let it run to 0.32-0.33... entry isn't the best so if you want to take more like 50% go for it' - partial profit at ~0.3117 with targets 0.32-0.33.</t>
  </si>
  <si>
    <t xml:space="preserve">WOW WAR OF WHALES 2026
WLDUSDT Perp
Buy 75X
+233.55%
Entry Price 0.3023
Mark Price 0.3117
Referral Code DwquXN
05-25 22:49:19</t>
  </si>
  <si>
    <t xml:space="preserve">05-25 22:49:19</t>
  </si>
  <si>
    <t xml:space="preserve">Blofin share card for the closed WLDUSDT 75X long: entry 0.3023, closed at 0.3191 for +416.80% ROI. Posted with 'I'm fully out at 0.32 almost 1R, you can take 50-70% here and leave runners for 0.33-0.34... I like to scalp' - he scalped the full position out near his first target.</t>
  </si>
  <si>
    <t xml:space="preserve">WOW WAR OF WHALES 2026
WLDUSDT Perp
Buy 75X
+416.80%
Entry Price 0.3023
Close Price 0.3191
Referral Code DwquXN
05-25 23:34:00</t>
  </si>
  <si>
    <t xml:space="preserve">05-25 23:34:00</t>
  </si>
  <si>
    <t xml:space="preserve">EMA(20): 0.3120 (yellow); EMA(50): 0.3054 (blue); EMA(200): 0.2965 (purple); VOL: 343.757K; MA(5): 286.455K (volume MA); MA(10): 172.871K (volume MA)</t>
  </si>
  <si>
    <t xml:space="preserve">three 'S' sell-order markers on the pump candles (approx 0.316-0.325); high label 0.3321 at the top of the last candle; low label 0.2986 at the consolidation low before the pump; current price tag 0.3304 (dotted line); price scale 0.3341 / 0.3193 / 0.3046 / 0.2899; volume scale 423.530K / 0</t>
  </si>
  <si>
    <t xml:space="preserve">WLDUSDT 15m on Blofin: after hours of sideways consolidation around 0.296-0.300 with price riding the EMA20/EMA50, a near-vertical breakout on sharply rising volume carried price from ~0.300 to the 24h high 0.3321 (+12.53% on the day). His sell markers sit on the way up, i.e. he scaled out of a long into the spike toward his 0.33 target.</t>
  </si>
  <si>
    <t xml:space="preserve">Blofin mobile chart of WLDUSDT on the 15m timeframe showing a vertical pump to 0.3321 (+12.53% 24h) with three 'S' sell markers on the rising candles, i.e. his partial exits from a WLD long. Posted with 'As I said show blows up and goes to 0.33 easily, almost 1.5R', so he was scaling out as his 0.33 target was reached.</t>
  </si>
  <si>
    <t xml:space="preserve">WLDUSDT | Last Price 0.3304 ≈ $0.33 +12.53% | Mark Price 0.3301 | 24h High 0.3321 | 24h Low 0.2844 | 24h Vol(WLD) 6.041M | Funding Rate 0.0231% | Line 15m 1h 4h 1D More | EMA(20): 0.3120 EMA(50): 0.3054 EMA(200): 0.2965 | 0.3341 | 0.3321 | 0.3304 | 0.3193 | 0.3046 | 0.2986 | 0.2899 | 05-25-2026 16:30 | 05-25-2026 20:45 | VOL: 343.757K MA(5): 286.455K MA(10): 172.871K | 423.530K | 0 | MA EMA BOLL VOL MACD KDJ RSI ROC WR OBV | Order Book Depth Trades Info | Buy Sell 0.0001 | Amount(WLD) Price (USDT) Amount(WLD) | Spot Bots Copy Trade</t>
  </si>
  <si>
    <t xml:space="preserve">05-25-2026 16:30 / 05-25-2026 20:45 (time axis labels)</t>
  </si>
  <si>
    <t xml:space="preserve">Side and the interpretation of the S markers as his exits are inferred (sell markers + message), not explicitly labeled; exact fill prices of the S markers are not printed, only approximate positions on the chart.</t>
  </si>
  <si>
    <t xml:space="preserve">Blofin 'War of Whales 2026' share card for an open RENDERUSDT long at 90x, +320.66% ROI with entry 2.333 and mark price 2.416. Posted with '50% out here' - a partial take-profit update.</t>
  </si>
  <si>
    <t xml:space="preserve">WOW WAR OF WHALES 2026 | RENDERUSDT Perp | Buy 90X | +320.66% | Entry Price 2.333 | Mark Price 2.416 | Referral Code DwquXN | 05-26 15:48:14</t>
  </si>
  <si>
    <t xml:space="preserve">05-26 15:48:14</t>
  </si>
  <si>
    <t xml:space="preserve">Blofin 'War of Whales 2026' share card for a closed BTCUSDT long at 150x, +225.07% ROI, entry 76,754.6 and close price 77,906.3.</t>
  </si>
  <si>
    <t xml:space="preserve">WOW WAR OF WHALES 2026 | BTCUSDT Perp | Buy 150X | +225.07% | Entry Price 76,754.6 | Close Price 77,906.3 | Referral Code DwquXN | 05-26 19:29:36</t>
  </si>
  <si>
    <t xml:space="preserve">05-26 19:29:36</t>
  </si>
  <si>
    <t xml:space="preserve">Tightly cropped corner of a Blofin share card showing Entry Price 76,754.6 and Close Price 78,012.9 for the BTC long. Posted with 'TP set was 78k, dk why BLOFIN closed later, anyhow I told you we are going up no need to short, glad I held my place!' - he held the long against calls to short and it closed above his 78k TP.</t>
  </si>
  <si>
    <t xml:space="preserve">Entry Price 76,754.6 | Close Price 78,012.9</t>
  </si>
  <si>
    <t xml:space="preserve">Symbol, side, leverage and ROI are not in the crop; symbol/side are context-derived from the matching entry price on image 105 and the message.</t>
  </si>
  <si>
    <t xml:space="preserve">17:36:37</t>
  </si>
  <si>
    <t xml:space="preserve">Cropped screenshot of the exchange assets page showing a total balance of 111.89 USDT. Posted as an account update ('89$ account update +11.5$ from this') right after the BTC long closed for about +11.32 USDT realized PnL, i.e. he is running a small (~$100) account at very high leverage.</t>
  </si>
  <si>
    <t xml:space="preserve">Total Balance (USDT) | 111.89 | ≈ $111.89</t>
  </si>
  <si>
    <t xml:space="preserve">89$ account update
+11.5$ from this</t>
  </si>
  <si>
    <t xml:space="preserve">No exchange branding visible; layout and typeface match the Blofin app screenshots in the same batch.</t>
  </si>
  <si>
    <t xml:space="preserve">107_2026-05-26_173637_Screenshot_20260526-193441.png</t>
  </si>
  <si>
    <t xml:space="preserve">https://discord.com/channels/1042855255089623100/1501271173588193290/1508841294653292624</t>
  </si>
  <si>
    <t xml:space="preserve">Blofin order-detail screen of the filled market order that closed the BTCUSDT long: 0.0090 BTC closed at an average price of 78,012.9 for +11.3247 USDT realized PnL (fee 0.42126966 USDT), cross margin, 200x, at 2026-05-26 19:27:10.</t>
  </si>
  <si>
    <t xml:space="preserve">BTCUSDT | Filled | Close Long | Cross | 200X | Realized PnL (USDT) +11.32470000 | Price (USDT) Market | Quantity (BTC) 0.0090 | Filled (BTC) 0.0090 | Avg. Price (USDT) 78,012.9 | Fee (USDT) 0.42126966 | Time 2026-05-26 19:27:10</t>
  </si>
  <si>
    <t xml:space="preserve">2026-05-26 19:27:10</t>
  </si>
  <si>
    <t xml:space="preserve">EMA(20): 77,088.2 (yellow); EMA(50): 77,009.7 (blue); EMA(200): 76,978.4 (purple); VOL: 279.2147; MA(5): 155.9457 (volume MA); MA(10): 94.2314 (volume MA)</t>
  </si>
  <si>
    <t xml:space="preserve">'S' sell-order marker at the top of the spike candle (high label 78,049.1); low label 76,541.7 at the earlier swing low; current price tag 76,806.2 (dotted line); price scale 78,124.4 / 77,571.7 / 77,019.0 / 76,466.3; volume scale 436.1926 / 0.0000</t>
  </si>
  <si>
    <t xml:space="preserve">BTCUSDT 15m on Blofin: choppy range between roughly 76.5k and 77.6k around flat EMAs, then one huge green 15m candle spiking to 78,049.1 that is immediately and fully retraced by an equally large red candle back to ~76,800. His sell marker is at the spike high - he sold the top of the wick before the dump.</t>
  </si>
  <si>
    <t xml:space="preserve">Blofin BTCUSDT 15m chart showing a single-candle spike to 78,049.1 with his 'S' sell marker at the top, followed by a full retrace to 76,806.2. Posted with 'What an EXIT boys! Gotta love this memecoin' - he is showing that his BTC long was closed at the exact top of the wick.</t>
  </si>
  <si>
    <t xml:space="preserve">BTCUSDT | Last Price 76,806.2 ≈ $76,718.14 -0.91% | Mark Price 76,807.4 | 24h High 78,049.1 | 24h Low 76,445.2 | 24h Vol(BTC) 3.635K | Funding Rate 0.0001% | Line 15m 1h 4h 1D More | EMA(20): 77,088.2 EMA(50): 77,009.7 EMA(200): 76,978.4 | 78,124.4 | 78,049.1 | 77,571.7 | 77,019.0 | 76,806.2 | 76,541.7 | 76,466.3 | 05-26-2026 12:00 | 05-26-2026 16:15 | VOL: 279.2147 MA(5): 155.9457 MA(10): 94.2314 | 436.1926 | 0.0000</t>
  </si>
  <si>
    <t xml:space="preserve">05-26-2026 12:00 / 05-26-2026 16:15 (time axis labels)</t>
  </si>
  <si>
    <t xml:space="preserve">Exact exit fill price is not printed on the chart; only the S marker at the 78,049.1 candle high.</t>
  </si>
  <si>
    <t xml:space="preserve">Blofin share card for an open TAOUSDT long at 100x, +10.43% ROI, entry 276.63 vs mark 276.92. Posted after a DCA fill with the plan to trim around 280+.</t>
  </si>
  <si>
    <t xml:space="preserve">WOW WAR OF WHALES 2026 | TAOUSDT Perp | Buy 100X | +10.43% | Entry Price 276.63 | Mark Price 276.92 | Referral Code DwquXN | 05-27 11:51:47</t>
  </si>
  <si>
    <t xml:space="preserve">05-27 11:51:47</t>
  </si>
  <si>
    <t xml:space="preserve">Blofin share card for the TAOUSDT 100x long showing a partial close at 280.00 from entry 276.63, +121.68% ROI. Posted with 'closed just 10% here... if it's not at 280 don't take anything. Not moving SL to entry, will close soon around 282-286 so far it's strong!'.</t>
  </si>
  <si>
    <t xml:space="preserve">WOW WAR OF WHALES 2026 | TAOUSDT Perp | Buy 100X | +121.68% | Entry Price 276.63 | Close Price 280.00 | Referral Code DwquXN | 05-27 20:40:38</t>
  </si>
  <si>
    <t xml:space="preserve">05-27 20:40:38</t>
  </si>
  <si>
    <t xml:space="preserve">Cropped share card (non-Blofin exchange, 'Fair Price' style) for an open ETHUSDT 100x long, +165.82% ROI with entry $1,988.23 and fair/mark price $2,021.86. Posted with 'I hope you guys were laughing on ETH as an asset because it's a joke' - mocking ETH while profiting from a long on it.</t>
  </si>
  <si>
    <t xml:space="preserve">ETHUSDT Perpetual | Long | 100X | +165.82% | Entry Price $1,988.23 | Fair Price $2,021.86</t>
  </si>
  <si>
    <t xml:space="preserve">No exchange branding in the crop; the 'Perpetual / Long | 100X / Fair Price' card style is not Blofin or Yubit (same style as images 113 and 115, which carry a 'Low-fee saved you' banner typical of MEXC share cards).</t>
  </si>
  <si>
    <t xml:space="preserve">Cropped share card for the open ETHUSDT 100x long at +132.39% (entry $1,988.23, fair price $2,015.08) with a 'Low-fee saved you: 2.4257 USDT' banner. Posted with '20% SL to entry, will exit fully around 2020-2030' - partial take-profit and stop moved to breakeven.</t>
  </si>
  <si>
    <t xml:space="preserve">ETHUSDT Perpetual | Low-fee saved you: 2.4257 USDT | Long | 100X | +132.39% | Entry Price $1,988.23 | Fair Price $2,015.08</t>
  </si>
  <si>
    <t xml:space="preserve">No exchange branding in the crop; 'Fair Price' / 'Low-fee saved you' labels indicate a MEXC-style card rather than Blofin/Yubit.</t>
  </si>
  <si>
    <t xml:space="preserve">Blofin share card for an open BTCUSDT 150x long at +183.52% ROI, entry 73,141.2 vs mark 74,036.0. Posted with 'BTC 1R up if anyone likes partials, were getting 75-76k this weekend and I'm gonna TP that. Ideal first TP would be 74.2k'.</t>
  </si>
  <si>
    <t xml:space="preserve">WOW WAR OF WHALES 2026 | BTCUSDT Perp | Buy 150X | +183.52% | Entry Price 73,141.2 | Mark Price 74,036.0 | Referral Code DwquXN | 05-29 20:34:58</t>
  </si>
  <si>
    <t xml:space="preserve">05-29 20:34:58</t>
  </si>
  <si>
    <t xml:space="preserve">19:11:27</t>
  </si>
  <si>
    <t xml:space="preserve">Tightly cropped bottom corner of a share card showing only Entry Price $2.565 and Fair Price $2.603 (an open position about +1.5% in price terms); the symbol, side, leverage and ROI are cropped out. Posted with 'Sorry guys pumped too fast, you can skip this one, apologies' - an entry that ran before followers could get in.</t>
  </si>
  <si>
    <t xml:space="preserve">Entry Price $2.565 | Fair Price $2.603</t>
  </si>
  <si>
    <t xml:space="preserve">Sorry guys pumped too fast, you can skip this one, apologies 🙏🏻</t>
  </si>
  <si>
    <t xml:space="preserve">Symbol not visible, so no trade entry could be created; same 'Fair Price' card style as the ETH cards (images 112/113). Pair cannot be determined from the image.</t>
  </si>
  <si>
    <t xml:space="preserve">115_2026-05-29_191127_Screenshot_20260529-211056.png</t>
  </si>
  <si>
    <t xml:space="preserve">https://discord.com/channels/1042855255089623100/1501271173588193290/1509952324875976704</t>
  </si>
  <si>
    <t xml:space="preserve">Blofin share card for a closed ADAUSDT 75x long, +134.44% ROI, entry 0.2343 and close 0.2385. Posted as 'ADA TP'.</t>
  </si>
  <si>
    <t xml:space="preserve">WOW WAR OF WHALES 2026 | ADAUSDT Perp | Buy 75X | +134.44% | Entry Price 0.2343 | Close Price 0.2385 | Referral Code DwquXN | 05-30 10:30:29</t>
  </si>
  <si>
    <t xml:space="preserve">05-30 10:30:29</t>
  </si>
  <si>
    <t xml:space="preserve">Blofin share card for a BTCUSDT 150x long closed almost at breakeven (+7.63% ROI, entry 71,514.9, close 71,551.3). Posted with 'Closing BTC here, will long again after daily closing better play safe too many trades running' - risk management, reducing open exposure before the daily close.</t>
  </si>
  <si>
    <t xml:space="preserve">WOW WAR OF WHALES 2026 | BTCUSDT Perp | Buy 150X | +7.63% | Entry Price 71,514.9 | Close Price 71,551.3 | Referral Code DwquXN | 06-01 23:10:34</t>
  </si>
  <si>
    <t xml:space="preserve">06-01 23:10:34</t>
  </si>
  <si>
    <t xml:space="preserve">Blofin share card for an open RAYUSDT 20x long at +35.20% ROI, entry 0.7005 vs mark 0.7128. Posted with 'Taking TP here, TP1 missed by 0.0001' - manual take-profit after the limit TP narrowly failed to fill.</t>
  </si>
  <si>
    <t xml:space="preserve">WOW WAR OF WHALES 2026 | RAYUSDT Perp | Buy 20X | +35.20% | Entry Price 0.7005 | Mark Price 0.7128 | Referral Code DwquXN | 06-01 23:17:25</t>
  </si>
  <si>
    <t xml:space="preserve">06-01 23:17:25</t>
  </si>
  <si>
    <t xml:space="preserve">Blofin share card for an open BNBUSDT 75x long at +193.70% ROI, entry 676.49 vs mark 693.96. Posted with 'BNB nearly 1R up, take TP whenever happy I'm trying for 700+'.</t>
  </si>
  <si>
    <t xml:space="preserve">WOW WAR OF WHALES 2026 | BNBUSDT Perp | Buy 75X | +193.70% | Entry Price 676.49 | Mark Price 693.96 | Referral Code DwquXN | 06-02 00:20:48</t>
  </si>
  <si>
    <t xml:space="preserve">06-02 00:20:48</t>
  </si>
  <si>
    <t xml:space="preserve">Blofin share card for the open BNBUSDT 75x long now at +282.56% ROI (entry 676.49, mark 701.97). Posted with 'Up 1.2R take 10-20% only, save MAJORITY!' - small partial, holding most of the position for more upside.</t>
  </si>
  <si>
    <t xml:space="preserve">WOW WAR OF WHALES 2026 | BNBUSDT Perp | Buy 75X | +282.56% | Entry Price 676.49 | Mark Price 701.97 | Referral Code DwquXN | 06-02 01:22:52</t>
  </si>
  <si>
    <t xml:space="preserve">06-02 01:22:52</t>
  </si>
  <si>
    <t xml:space="preserve">Blofin share card for a closed XPLUSDT 75x long, +318.52% ROI, entry 0.0918 and close 0.0958. Posted with 'Finally TP hit, 0.8 R, XPL looks very pumpy now but I'm done with this coin'.</t>
  </si>
  <si>
    <t xml:space="preserve">WOW WAR OF WHALES 2026 | XPLUSDT Perp | Buy 75X | +318.52% | Entry Price 0.0918 | Close Price 0.0958 | Referral Code DwquXN | 06-02 09:04:31</t>
  </si>
  <si>
    <t xml:space="preserve">06-02 09:04:31</t>
  </si>
  <si>
    <t xml:space="preserve">Blofin share card for an open NEARUSDT 75x long at +574.24% ROI, entry 2.643 vs mark 2.845. Posted with 'NEAR 1R up if anyone tried a long on it, take 50% here, I close full around 3'.</t>
  </si>
  <si>
    <t xml:space="preserve">WOW WAR OF WHALES 2026 | NEARUSDT Perp | Buy 75X | +574.24% | Entry Price 2.643 | Mark Price 2.845 | Referral Code DwquXN | 06-03 11:07:56</t>
  </si>
  <si>
    <t xml:space="preserve">06-03 11:07:56</t>
  </si>
  <si>
    <t xml:space="preserve">Blofin War of Whales share card for a closed NEARUSDT long at 75x: entry 2.643, close 2.897, +720.77% ROI. Posted with the message that TP was hit and he is fully exiting NEAR, which pumped ~10% exactly as he had called.</t>
  </si>
  <si>
    <t xml:space="preserve">WOW
WAR OF WHALES 2026
NEARUSDT Perp
Buy 75X
+720.77%
Entry Price 2.643
Close Price 2.897
Referral Code DwquXN
06-03 15:54:37</t>
  </si>
  <si>
    <t xml:space="preserve">06-03 15:54:37</t>
  </si>
  <si>
    <t xml:space="preserve">Card time 15:54:37 is ~2h ahead of the Discord post time (13:55 Europe/Helsinki), i.e. the card prints the app's local time (UTC+5). No position size, PnL or margin on the card.</t>
  </si>
  <si>
    <t xml:space="preserve">Blofin share card for an open DEXEUSDT short at 50x: entry 21.506, mark 19.540, +457.11% unrealised ROI. Posted as an 'up 1.1R' update telling members they may trim at most 25-30% and should keep the majority.</t>
  </si>
  <si>
    <t xml:space="preserve">WOW
WAR OF WHALES 2026
DEXEUSDT Perp
Sell 50X
+457.11%
Entry Price 21.506
Mark Price 19.540
Referral Code
06-03 20:11:10</t>
  </si>
  <si>
    <t xml:space="preserve">06-03 20:11:10</t>
  </si>
  <si>
    <t xml:space="preserve">The 'Referral Code' label is printed with no code next to it (blank) on this card. Card time is ~2h ahead of the Discord timestamp (app local time). No size/PnL/margin shown.</t>
  </si>
  <si>
    <t xml:space="preserve">Blofin share card for the open DEXEUSDT 50x short, now +671.43% at mark 18.618. His message says it is up 1.6R, he is removing his TP at 18 to close manually and is trying for ~3R / around 17.5; he also tells members to move the BTC SL to 65k and notes gold moved 1R.</t>
  </si>
  <si>
    <t xml:space="preserve">WOW
WAR OF WHALES 2026
DEXEUSDT Perp
Sell 50X
+671.43%
Entry Price 21.506
Mark Price 18.618
Referral Code DwquXN
06-03 21:05:02</t>
  </si>
  <si>
    <t xml:space="preserve">06-03 21:05:02</t>
  </si>
  <si>
    <t xml:space="preserve">Card time is ~2h ahead of the Discord timestamp (app local time). The TP at 18 and the 17.5 target come from the message, not the card.</t>
  </si>
  <si>
    <t xml:space="preserve">Blofin share card for the closed DEXEUSDT short at 50x: entry 21.506, close 18.530, +692.03% ROI. Message: closed DEXE fully here for +1.6R, no partials, full R.</t>
  </si>
  <si>
    <t xml:space="preserve">WOW
WAR OF WHALES 2026
DEXEUSDT Perp
Sell 50X
+692.03%
Entry Price 21.506
Close Price 18.530
Referral Code DwquXN
06-03 21:45:44</t>
  </si>
  <si>
    <t xml:space="preserve">06-03 21:45:44</t>
  </si>
  <si>
    <t xml:space="preserve">Card time is ~2h ahead of the Discord timestamp (app local time). No size/PnL/margin shown.</t>
  </si>
  <si>
    <t xml:space="preserve">20:41:29</t>
  </si>
  <si>
    <t xml:space="preserve">EMA(20): 19.261 (yellow); EMA(50): 20.113 (blue); EMA(200): 19.558 (purple)</t>
  </si>
  <si>
    <t xml:space="preserve">high marker 22.039 at the left of the visible range; low marker 17.464 at the last candle (new 24h low); current last-price label 17.593 with dotted line; price axis labels 22.267 / 20.590 / 18.912 / 17.235</t>
  </si>
  <si>
    <t xml:space="preserve">DEXEUSDT 15m on Blofin in a steep, almost vertical sell-off from ~22.0 down to a new low of 17.464 over the afternoon/evening of 06-03, with price far below all three EMAs which have rolled over. Posted right after the market reached his 'extended TP' (~17.5) on the DEXE short he had already closed at 18.530.</t>
  </si>
  <si>
    <t xml:space="preserve">Blofin app 15m chart of DEXEUSDT showing the crash continuing to 17.464 after he closed his short at 18.530. His message says price just hit his 'extended TP' and he 'should have held', then moves on; he also says he can share higher-RR trades if members are less worried about win rate, but will try to keep it at least 70%.</t>
  </si>
  <si>
    <t xml:space="preserve">DEXEUSDT
Last Price 17.593
≈ $17.56 -3.01%
Mark Price 17.601
24h High 24.403
24h Low 17.464
24h Vol(DEXE) 119.567K
Funding Rate 0.0033%
Line 15m 1h 4h 1D More
EMA(20): 19.261 EMA(50): 20.113 EMA(200): 19.558
22.039
17.464
17.593
22.267 20.590 18.912 17.235
06-03-2026 15:00 06-03-2026 19:15
BloFin</t>
  </si>
  <si>
    <t xml:space="preserve">Shit just hit my extended TP, should have held, anyhow on to next.
If you guys don't worry about win rate a bit too much I can share even higher RR trades but I'll try to keep it at least 70% above!</t>
  </si>
  <si>
    <t xml:space="preserve">06-03-2026 15:00 / 06-03-2026 19:15 (x-axis labels)</t>
  </si>
  <si>
    <t xml:space="preserve">No position/trade data on the chart itself; the DEXE short context comes from the preceding cards and the message.</t>
  </si>
  <si>
    <t xml:space="preserve">127_2026-06-03_204129_Screenshot_20260603-224008.png</t>
  </si>
  <si>
    <t xml:space="preserve">https://discord.com/channels/1042855255089623100/1501271173588193290/1511786918516363305</t>
  </si>
  <si>
    <t xml:space="preserve">Cropped closed-position share card (MEXC-style, branding cropped) for a BTCUSDT long at 250x: avg entry $63,094.1, avg close $64,082.2, +363.26% ROI. Message: closing here for 0.5R, 'I went heavy'.</t>
  </si>
  <si>
    <t xml:space="preserve">BTCUSDT Perpetual
Long | 250X
+363.26%
Avg Entry Price $63,094.1
Avg Close Price $64,082.2</t>
  </si>
  <si>
    <t xml:space="preserve">Exchange logo is cropped out; identified as MEXC-style from the card layout and the 250x leverage (the same account's MEXC chart appears in image 132). No size/PnL shown.</t>
  </si>
  <si>
    <t xml:space="preserve">Cropped 'Closed PNL' share card (MEXC-style) for a BTCUSDT 250x long, +151.99% ROI, with a B/S sparkline. Message: closing BTC at 63.6k after a DCA in, 'good gains for a scalp'.</t>
  </si>
  <si>
    <t xml:space="preserve">Closed PNL
BTCUSDT Perpetual Long | 250X
+151.99%</t>
  </si>
  <si>
    <t xml:space="preserve">Entry/close prices are not in the crop (the 63.6k close is only in the message). Exchange branding cropped out; MEXC-style layout.</t>
  </si>
  <si>
    <t xml:space="preserve">Blofin share card for a closed BTCUSDT long (Buy 141X): entry 62,711.2, close 63,567.7, +192.56%. Posted without text about 20 minutes after 'Closing BTC @ 63.6k with a DCA in', so this is the Blofin-side close of the same scalp with the averaged post-DCA entry.</t>
  </si>
  <si>
    <t xml:space="preserve">WOW
WAR OF WHALES 2026
BTCUSDT Perp
Buy 141X
+192.56%
Entry Price 62,711.2
Close Price 63,567.7
Referral Code DwquXN
06-04 17:46:58</t>
  </si>
  <si>
    <t xml:space="preserve">06-04 17:46:58</t>
  </si>
  <si>
    <t xml:space="preserve">Image is a slightly softer re-screenshot of the card, but all digits are legible (verified by zooming). Card time is ~2h ahead of the Discord timestamp (app local time).</t>
  </si>
  <si>
    <t xml:space="preserve">Cropped MEXC-style share card showing 'Close Long | 250X' on BTCUSDT with +496.61% ROI. Message: 'patience fkin paid off', he took 100% off at 64.1k.</t>
  </si>
  <si>
    <t xml:space="preserve">BTCUSDT Perpetual
Close Long | 250X
+496.61%</t>
  </si>
  <si>
    <t xml:space="preserve">Entry/close prices cropped out (64.1k exit is from the message only). Exchange branding cropped; MEXC-style layout (see image 132).</t>
  </si>
  <si>
    <t xml:space="preserve">5m</t>
  </si>
  <si>
    <t xml:space="preserve">EMA20: 62,131.2 (pink); EMA50: 61,944.0 (orange); EMA200: 61,878.4 (purple)</t>
  </si>
  <si>
    <t xml:space="preserve">red 'S' sell-execution marker at the top of the spike wick (high label 64,247.0); low label 61,153.0 at the left; current price label 62,985.5 with dashed line; price axis 64,400.0 / 63,700.0 / 63,000.0 / 62,300.0 / 61,600.0</t>
  </si>
  <si>
    <t xml:space="preserve">BTCUSDT 5m on MEXC: after a slow base around 61.2k-61.8k along the EMAs, one giant 5m candle spikes from ~61.6k to a 64,247 wick high with his S marker at the very top, then the next candles retrace to ~63.0k. Shown to prove he sold the full position into the spike top rather than taking partials.</t>
  </si>
  <si>
    <t xml:space="preserve">MEXC app 5m chart of BTCUSDT with a red 'S' marker at the top of the 64,247 spike wick, posted two minutes after the 'Close Long 250X +496.61%' card to show he booked the whole position at the top (~64k) without partials; message calls it a 2k move and his 3rd BTC win in a row.</t>
  </si>
  <si>
    <t xml:space="preserve">BTCUSDT Perpetual
Markets AI Analysis Info Trading rules
Last Price 62,985.5
≈62,960.30 USD +1.49%
Fair Price 63,009.5
500x
24h High 64,247
24h Low 60,399.9
24h Vol(BTC) 98.700K
24h Vol (USDT) 6.108B
Iran uses BTC Lightning, buy now?
Line 15m 1h 4h 1D Week 5m
EMA20:62,131.2 EMA50:61,944.0 EMA200:61,878.4
64,247.0
61,153.0
62,985.5
64,400.0 63,700.0 63,000.0 62,300.0 61,600.0
MEXC</t>
  </si>
  <si>
    <t xml:space="preserve">Platform is MEXC (watermark), which is not in the platform list, hence 'other'. The 63,000.0 axis label is partly hidden behind the current-price box. The S marker's exact fill price is not printed. Side/status of the trade entry are from the marker plus the message context.</t>
  </si>
  <si>
    <t xml:space="preserve">EMA(20): 19.960 (yellow); EMA(50): 19.882 (blue); EMA(200): 19.886 (purple); Volume sub-panel: VOL: 826.3, MA(5): 1.281K, MA(10): 855.9</t>
  </si>
  <si>
    <t xml:space="preserve">dotted horizontal 'Breakeven Price' line at 20.600 (open position breakeven); high marker 22.049 at the spike wick; low marker 19.647 just before the spike; current price label 20.361 with dotted line; price axis 22.169 / 21.288 / 20.407 / 19.526; volume axis 2.773K / 0.0</t>
  </si>
  <si>
    <t xml:space="preserve">DEXEUSDT 15m on Blofin: hours of flat trade around 19.6-20.0 on the EMAs, then a single 15m candle wicks up to 22.049 on a huge volume spike (the 'scam wick'), closes back near 20.7, and the next candles fade to 20.36, just under his 20.600 breakeven line. He is short and wants the dump to continue.</t>
  </si>
  <si>
    <t xml:space="preserve">Blofin 15m chart of DEXEUSDT showing a violent wick to 22.049 on a volume spike and a fade back to 20.36; the 'Breakeven Price 20.600' line reveals he holds an open DEXE position, a short per his message 'Damn what a scam wick, should dump now!'.</t>
  </si>
  <si>
    <t xml:space="preserve">DEXEUSDT
Last Price 20.361
≈ $20.35 -1.07%
Mark Price 20.382
24h High 22.049
24h Low 19.634
24h Vol(DEXE) 54.745K
Funding Rate 0.0109%
Line 15m 1h 4h 1D More
EMA(20): 19.960 EMA(50): 19.882 EMA(200): 19.886
22.049
Breakeven Price 20.600
20.361
19.647
22.169 21.288 20.407 19.526
06-08-2026 00:00 06-08-2026 04:15
VOL: 826.3 MA(5): 1.281K MA(10): 855.9
2.773K 0.0
MA EMA BOLL VOL MACD KDJ RSI ROC WR OBV
BloFin</t>
  </si>
  <si>
    <t xml:space="preserve">06-08-2026 00:00 / 06-08-2026 04:15 (x-axis labels)</t>
  </si>
  <si>
    <t xml:space="preserve">Trade side, leverage, entry and size are not on the chart; side is inferred from the message and the breakeven line only shows that a position exists at breakeven 20.600. exit_price is the chart header mark price at the time of the screenshot.</t>
  </si>
  <si>
    <t xml:space="preserve">Blofin share card for an open BEATUSDT short at 25x: entry 4.2000, mark 3.7131, +289.79% unrealised. Message: it moved 2.5R and is now at 1.8R while he was asleep; members should take profits where happy and he will update where he closes.</t>
  </si>
  <si>
    <t xml:space="preserve">WOW
WAR OF WHALES 2026
BEATUSDT Perp
Sell 25X
+289.79%
Entry Price 4.2000
Mark Price 3.7131
Referral Code DwquXN
06-09 13:13:07</t>
  </si>
  <si>
    <t xml:space="preserve">06-09 13:13:07</t>
  </si>
  <si>
    <t xml:space="preserve">Cropped MEXC-style card 'Close Short | 250X' on BTCUSDT with +158.99% ROI. Message: closing BTC in small profits at 62.6k because price keeps missing his DCA and returning to entry; he notes it is his 4th BTC win in a row.</t>
  </si>
  <si>
    <t xml:space="preserve">BTCUSDT Perpetual
Close Short | 250X
+158.99%</t>
  </si>
  <si>
    <t xml:space="preserve">Entry/close prices cropped out (62.6k exit is from the message only). Exchange branding cropped; MEXC-style layout.</t>
  </si>
  <si>
    <t xml:space="preserve">16:50:29</t>
  </si>
  <si>
    <t xml:space="preserve">EMA(20): 4,340.28 (yellow); EMA(50): 4,337.18 (pink); EMA(200): 4,332.59 (purple)</t>
  </si>
  <si>
    <t xml:space="preserve">high marker 4,366.58 at the last (large green) candle; low marker 4,324.16 on an earlier dip in the middle of the range; current price label 4,361.19 with dashed line; price axis 4,368.71 / 4,350.04 / 4,340.70 / 4,331.37 / 4,322.03</t>
  </si>
  <si>
    <t xml:space="preserve">XAUUSDT (Gold perp) 15m on Binance: price chopped between ~4,324 and ~4,350 around the EMA cluster, the last red candle wicks down to roughly 4,331 (into the EMAs) and the very next candle rips to 4,366.58. Posted with 'hit my SL exactly to go 4R up' - his gold long was stopped on that wick right before the move in his direction.</t>
  </si>
  <si>
    <t xml:space="preserve">Binance Futures app 15m chart of XAUUSDT (Gold perp) at 4,361.07 right after a wick low and a sharp green candle to 4,366.58. Message: his stop loss was hit exactly on the wick before the move went 4R in his favour ('not my day'). The local-fiat line shows the price in Rs (1,213,118.84, about 278 Rs per USD).</t>
  </si>
  <si>
    <t xml:space="preserve">XAUUSDT Perp
Gold
Price Info Trading Data Square Trade-X New
Last Price 4,361.07
Rs1,213,118.84 +0.54%
Mark Price 4,361.07
24h High 4,366.58
24h Low 4,315.60
24h Vol(XAU) 194,451.263
24h Vol(USDT) 842.99M
Time 15m 1h 4h 1D More
EMA(20): 4,340.28 EMA(50): 4,337.18 EMA(200): 4,332.59
4,366.58
4,361.19
4,324.16
4,368.71 4,350.04 4,340.70 4,331.37 4,322.03
BINANCE</t>
  </si>
  <si>
    <t xml:space="preserve">Hit my SL exactly to go 4R up, not my day :' )</t>
  </si>
  <si>
    <t xml:space="preserve">No position data on the chart and the SL level is not marked, so no trade entry was created (the gold long/SL-hit is known only from the message). Header price 4,361.07 and the chart label 4,361.19 differ slightly (live tick).</t>
  </si>
  <si>
    <t xml:space="preserve">136_2026-06-09_165029_Screenshot_20260609-184919.png</t>
  </si>
  <si>
    <t xml:space="preserve">https://discord.com/channels/1042855255089623100/1501271173588193290/1513903113101119708</t>
  </si>
  <si>
    <t xml:space="preserve">Cropped MEXC-style share card of an open BTCUSDT long at 150x showing +122.20% unrealised ROI. Message: 'Pump it boys, first TP @ 62460'.</t>
  </si>
  <si>
    <t xml:space="preserve">BTCUSDT Perpetual
Long | 150x
+122.20%</t>
  </si>
  <si>
    <t xml:space="preserve">Entry price and exchange branding are cropped out. The 62460 TP is from the message, not the card.</t>
  </si>
  <si>
    <t xml:space="preserve">Cropped MEXC-style card of the open BTCUSDT 150x long, now +290.59% unrealised. Message: TP1 hit on BTC, saving the majority for 63k+.</t>
  </si>
  <si>
    <t xml:space="preserve">BTCUSDT Perpetual
Long | 150x
+290.59%</t>
  </si>
  <si>
    <t xml:space="preserve">Entry price and exchange branding are cropped out.</t>
  </si>
  <si>
    <t xml:space="preserve">Tiny crop of a MEXC-style closed-position card showing only 'Avg Close Price $62,668.4'. Message: took 25% at 62460 and the remaining 75% at 62700 on the BTC long from 61.1k, and will now look to short around 63.2-64k.</t>
  </si>
  <si>
    <t xml:space="preserve">Avg Close Price $62,668.4</t>
  </si>
  <si>
    <t xml:space="preserve">Symbol, side, leverage, entry price and ROI are cropped out; symbol/side come from the message context only.</t>
  </si>
  <si>
    <t xml:space="preserve">Cropped MEXC-style card of an open ALLOUSDT short at 100x showing +1,037.04% unrealised ROI. Message: holding, it moved 1.5R for him (probably 3-6R for those with better entries), hoping for a drop to at least 0.33-0.36.</t>
  </si>
  <si>
    <t xml:space="preserve">ALLOUSDT Perpetual
Short | 100X
+1,037.04%</t>
  </si>
  <si>
    <t xml:space="preserve">Entry/mark prices and exchange branding are cropped out.</t>
  </si>
  <si>
    <t xml:space="preserve">Cropped Blofin-style share card for an INJUSDT long at 75x showing +216.11%. Message: INJ moved 1R after filling but the move was quick; he took 25% off at 5.3 and has not moved his SL yet.</t>
  </si>
  <si>
    <t xml:space="preserve">INJUSDT Perp
Buy 75X
+216.11%</t>
  </si>
  <si>
    <t xml:space="preserve">Crop removes the entry/mark price rows and clips the left edge of the '+' in the ROI figure; platform identified from the Blofin card styling ('Perp', green 'Buy 75X'), no logo visible. Open/closed cannot be read from the crop itself.</t>
  </si>
  <si>
    <t xml:space="preserve">Re-post of the exact same INJUSDT 'Buy 75X +216.11%' crop (identical file to image 141). Message: closing INJ fully here at 5.28 because it is lagging and his DCA got filled, happy with the profits.</t>
  </si>
  <si>
    <t xml:space="preserve">File is identical to 141_2026-06-11_070121_Screenshot_20260611-090010.png (same md5), so the ROI shown does not reflect the 5.28 full close; entry/close prices are cropped out and the closed status comes from the message.</t>
  </si>
  <si>
    <t xml:space="preserve">Cropped 'Closed PNL' share card for a closed BTCUSDT 250X long at +315.35% ROI. Posted with the message that he took profit on BTC just under 63k (62946) after his DCA order was missed by about $50, making it 7/7 wins on BTC.</t>
  </si>
  <si>
    <t xml:space="preserve">Closed PNL
BTCUSDT Perpetual  Long | 250X
+315.35%</t>
  </si>
  <si>
    <t xml:space="preserve">No exchange logo in the crop; platform inferred as MEXC from the card template (the same template elsewhere in this export carries MEXC's 'Fair Price' wording and '0% / Liquidity NO.1' branding). Entry and close prices are not in the crop.</t>
  </si>
  <si>
    <t xml:space="preserve">Cropped share card for a BTCUSDT 150x long at +245.50% ROI, posted without text about 1.5 minutes after the 250X 'Closed PNL' card and the '7/7 wins on BTC' message, so it most likely shows the same BTC scalp taken on a second exchange at 150x.</t>
  </si>
  <si>
    <t xml:space="preserve">BTCUSDT Perpetual
Long | 150x
+245.50%</t>
  </si>
  <si>
    <t xml:space="preserve">No logo or prices in the crop. The template ('Long | 150x' with lowercase x; elsewhere in the export this template shows 'Entry Price / Last Price') differs from both the Blofin ('Perp / Buy') and the MEXC-style ('| 250X') cards, so the exchange cannot be identified. Open/closed status not shown.</t>
  </si>
  <si>
    <t xml:space="preserve">Cropped share card for an ALLOUSDT 100X short showing +762.19% ROI. Posted with 'I hope someone's still holding ALLO with me, 2R+ full or a SL', i.e. he was still in the trade and intended to hold for a full 2R+ target or get stopped rather than take partials.</t>
  </si>
  <si>
    <t xml:space="preserve">ALLOUSDT Perpetual
Short | 100X
+762.19%</t>
  </si>
  <si>
    <t xml:space="preserve">No exchange logo in the crop; platform inferred as MEXC from the card template. Entry/close prices not shown; status taken from the accompanying message, not from the image.</t>
  </si>
  <si>
    <t xml:space="preserve">Blofin WOW share card of an open SOLUSDT 125X long, entry 63.30, mark price 66.97, +726.09% ROI. Posted with the message that SOL is up 1.5R, a small TP can be taken, the stop is already at entry, and he will fully exit at 68.</t>
  </si>
  <si>
    <t xml:space="preserve">WOW
WAR OF WHALES 2026
SOLUSDT Perp
Buy 125X
+726.09%
Entry Price 63.30
Mark Price 66.97
Referral Code DwquXN
06-11 22:51:18</t>
  </si>
  <si>
    <t xml:space="preserve">06-11 22:51:18</t>
  </si>
  <si>
    <t xml:space="preserve">Cropped share card for a closed BTCUSDT 250X long at +363.9% ROI. Posted with the message that he fully closed BTC at 63.8k before going to sleep, and that anyone keeping the trade should take 25% here and the remaining 50% at 64-64.2k.</t>
  </si>
  <si>
    <t xml:space="preserve">BTCUSDT Perpetual
Close Long | 250X
+363.9%</t>
  </si>
  <si>
    <t xml:space="preserve">No exchange logo in the crop; platform inferred as MEXC from the card template. Entry and close prices are not in the crop.</t>
  </si>
  <si>
    <t xml:space="preserve">Same closed BTCUSDT 250X long card (+363.9%) re-posted in the end-of-day recap 'All from today, GG's! Made 3.2R today, that's realized without any partials, I don't take partials!'.</t>
  </si>
  <si>
    <t xml:space="preserve">Duplicate of file 147. No exchange logo in the crop; platform inferred as MEXC from the card template. Entry and close prices are not in the crop.</t>
  </si>
  <si>
    <t xml:space="preserve">Blofin WOW share card of the closed SOLUSDT 125X long: entry 63.30, close 67.24, +778.04% ROI. Posted in the end-of-day recap ('All from today... Made 3.2R today... I don't take partials!'), showing he exited the SOL long in full rather than scaling out.</t>
  </si>
  <si>
    <t xml:space="preserve">WOW
WAR OF WHALES 2026
SOLUSDT Perp
Buy 125X
+778.04%
Entry Price 63.30
Close Price 67.24
Referral Code DwquXN
06-11 23:16:35</t>
  </si>
  <si>
    <t xml:space="preserve">06-11 23:16:35</t>
  </si>
  <si>
    <t xml:space="preserve">Re-post of the ALLOUSDT 100X short card (+762.19%) in the end-of-day recap 'All from today, GG's! Made 3.2R today, that's realized without any partials, I don't take partials!'.</t>
  </si>
  <si>
    <t xml:space="preserve">Duplicate of file 145. Status not shown on the card (earlier post said it was still open; the recap implies it was later realized). No exchange logo; platform inferred as MEXC from the card template.</t>
  </si>
  <si>
    <t xml:space="preserve">Small cropped share card for an INJUSDT 75X long at +216.11% ROI, posted as part of the end-of-day recap ('All from today, GG's! Made 3.2R today... I don't take partials!').</t>
  </si>
  <si>
    <t xml:space="preserve">Very small, low-resolution crop (225x216 px). No logo, so platform inferred from Blofin card wording and colour ('Perp', 'Buy', teal). Leverage read as 75X. No prices or status shown.</t>
  </si>
  <si>
    <t xml:space="preserve">Cropped share card for a closed BTCUSDT 250X long at +305.06% ROI. Posted with 'Remaining at 64900 if you're holding!', i.e. he closed his own position and gave 64900 as the exit level for anyone still holding the remainder.</t>
  </si>
  <si>
    <t xml:space="preserve">BTCUSDT Perpetual
Close Long | 250X
+305.06%</t>
  </si>
  <si>
    <t xml:space="preserve">Blofin share card (logo visible) for a BTCUSDT 150X long at +225.07% ROI, one of three Blofin BTC cards posted together with the message 'we have a 10 win streak on BTC scalps'.</t>
  </si>
  <si>
    <t xml:space="preserve">BloFin
BTCUSDT Perp
Buy 150X
+225.07%</t>
  </si>
  <si>
    <t xml:space="preserve">Entry/close/mark price and open/closed status are not in the crop.</t>
  </si>
  <si>
    <t xml:space="preserve">Blofin share card (logo visible) for a BTCUSDT 150X long at +281.65% ROI, one of three Blofin BTC cards posted with the '10 win streak on BTC scalps' message.</t>
  </si>
  <si>
    <t xml:space="preserve">BloFin
BTCUSDT Perp
Buy 150X
+281.65%</t>
  </si>
  <si>
    <t xml:space="preserve">Blofin share card (logo visible) for a BTCUSDT 150X long at +219.32% ROI, one of three Blofin BTC cards posted with the '10 win streak on BTC scalps' message.</t>
  </si>
  <si>
    <t xml:space="preserve">BloFin
BTCUSDT Perp
Buy 150X
+219.32%</t>
  </si>
  <si>
    <t xml:space="preserve">Share card of a closed BTCUSDT 250X long scalp: avg entry 63477.6, avg close 64252.2, +280.95% ROI. One of seven 250X closed-trade cards posted with 'we have a 10 win streak on BTC scalps'; the sparkline shows the trade went under water before the exit near the high.</t>
  </si>
  <si>
    <t xml:space="preserve">BTCUSDT Perpetual
Long | 250X
+280.95%
Avg Entry Price $63,477.6
Avg Close Price $64,252.2</t>
  </si>
  <si>
    <t xml:space="preserve">No exchange logo in the crop; platform inferred as MEXC from the card template ('Avg Entry/Close Price', 'Low-fee saved you' badge on sibling cards, 'Fair Price' wording on same-template cards elsewhere in the export).</t>
  </si>
  <si>
    <t xml:space="preserve">Share card of a closed BTCUSDT 250X long scalp: avg entry 62805, avg close 63582.5, +284.66% ROI. Posted in the set of cards backing the '10 win streak on BTC scalps' message; sparkline shows a drawdown below entry before the rally to the exit.</t>
  </si>
  <si>
    <t xml:space="preserve">BTCUSDT Perpetual
Long | 250X
+284.66%
Avg Entry Price $62,805
Avg Close Price $63,582.5</t>
  </si>
  <si>
    <t xml:space="preserve">No exchange logo in the crop; platform inferred as MEXC from the card template.</t>
  </si>
  <si>
    <t xml:space="preserve">Share card of a closed BTCUSDT 250X long scalp: avg entry 62141.4, avg close 62668.4, +197.68% ROI, with a 'Low-fee saved you: 3.4362 USDT' badge. Posted in the '10 win streak on BTC scalps' set; the sparkline shows a deep drawdown right after entry that he sat through before the recovery and exit.</t>
  </si>
  <si>
    <t xml:space="preserve">BTCUSDT Perpetual
Low-fee saved you: 3.4362 USDT
Long | 250X
+197.68%
Avg Entry Price $62,141.4
Avg Close Price $62,668.4</t>
  </si>
  <si>
    <t xml:space="preserve">No exchange logo in the crop; platform inferred as MEXC from the card template. The same close price ($62,668.4) appears in OCR of a card posted on 2026-06-10 (file 139), so this may be a re-share of an earlier scalp rather than a 06-12 trade.</t>
  </si>
  <si>
    <t xml:space="preserve">Share card of a closed BTCUSDT 250X short scalp: avg entry 63068, avg close 62699.6, +135.50% ROI, with a 'Low-fee saved you: 2.0986 USDT' badge. Posted in the '10 win streak on BTC scalps' set; the sparkline shows price moved against the short first before dropping to the exit.</t>
  </si>
  <si>
    <t xml:space="preserve">BTCUSDT Perpetual
Low-fee saved you: 2.0986 USDT
Short | 250X
+135.50%
Avg Entry Price $63,068
Avg Close Price $62,699.6</t>
  </si>
  <si>
    <t xml:space="preserve">Share card of a closed BTCUSDT 250X long scalp: avg entry 62314.4, avg close 63552.2, +463.21% ROI. Posted in the '10 win streak on BTC scalps' set; the sparkline shows a large drawdown immediately after entry before the rally to the exit at the high.</t>
  </si>
  <si>
    <t xml:space="preserve">BTCUSDT Perpetual
Long | 250X
+463.21%
Avg Entry Price $62,314.4
Avg Close Price $63,552.2</t>
  </si>
  <si>
    <t xml:space="preserve">Share card of a closed BTCUSDT 250X long scalp: avg entry 63094.1, avg close 64082.2, +363.26% ROI. Posted in the '10 win streak on BTC scalps' set; the exit came slightly after the peak of the move.</t>
  </si>
  <si>
    <t xml:space="preserve">No exchange logo in the crop; platform inferred as MEXC from the card template. Identical numbers to file 162 (same trade posted twice) and to the OCR of a card posted on 2026-06-04 (file 128), so this is likely a re-share of an earlier scalp, not a 06-12 trade.</t>
  </si>
  <si>
    <t xml:space="preserve">Second screenshot of the same closed BTCUSDT 250X long scalp as file 161 (avg entry 63094.1, avg close 64082.2, +363.26% ROI), posted in the '10 win streak on BTC scalps' set.</t>
  </si>
  <si>
    <t xml:space="preserve">Duplicate trade of file 161 (different screenshot, identical values); the same values also match the OCR of a card posted on 2026-06-04 (file 128). No exchange logo in the crop; platform inferred as MEXC from the card template.</t>
  </si>
  <si>
    <t xml:space="preserve">Cropped share card (unbranded MEXC-style template) of a closed BTCUSDT 250X long showing +228.9% ROI. Posted with his note that BTC was almost at TP, 40% closed at 64.2k with the remainder to be closed at 64.5k.</t>
  </si>
  <si>
    <t xml:space="preserve">BTCUSDT Perpetual
Close Long | 250X
+228.9%</t>
  </si>
  <si>
    <t xml:space="preserve">Entry/close prices not visible (card cropped). Exchange identified only from the MEXC-style card template; no branding visible.</t>
  </si>
  <si>
    <t xml:space="preserve">MEXC-style share card of a BTCUSDT 250X long with average entry 63,094.1 and +363.26% ROI, with a mini price sparkline (B and S markers). Posted without a message, minutes before a closed WTI short card; documents the BTC long he had been running from the ~63k local bottom.</t>
  </si>
  <si>
    <t xml:space="preserve">BTCUSDT Perpetual
Long | 250X
+363.26%
Avg Entry Price $63,094.1</t>
  </si>
  <si>
    <t xml:space="preserve">Card is cropped: the close/fair price row is cut off. Status inferred from the 'Long' (vs 'Close Long') header, but the sparkline shows both B and S markers, so open vs closed is not certain.</t>
  </si>
  <si>
    <t xml:space="preserve">Cropped MEXC-style share card of a closed 100X short on the OIL(WTI)USDT perpetual showing +450.98% ROI. Shows he was also shorting crude oil (likely around the Pakistan/peace-deal news he was following) in addition to crypto.</t>
  </si>
  <si>
    <t xml:space="preserve">OIL(WTI)USDT Perpetual
Close Short | 100X
+450.98%</t>
  </si>
  <si>
    <t xml:space="preserve">Entry/close prices not visible (card cropped). Exchange identified only from the MEXC-style card template.</t>
  </si>
  <si>
    <t xml:space="preserve">00:47:47</t>
  </si>
  <si>
    <t xml:space="preserve">Screenshot of Discord general-chat from 06/13/2026: Paladin replies to Cryptohunter's 'Will pump to atleast 66' with 'Agreed, 65-67k is locked in, Local bottom or bottom in general to me is in', and a member (yassin) replies to his 'We will pump guys' with a private-jet GIF. Reposted two days later to show his bullish BTC call (65-67k target, bottom is in) was playing out.</t>
  </si>
  <si>
    <t xml:space="preserve"># general-chat (99)
We will pump guys
[reply to] @Cryptohunter [HKRS] Will pump to atleast 66
Paladin [Will not DM] [SX] [VIP] 06/13/2026 6:29 PM
Agreed
65-67k is locked in
Local bottom or bottom in general to me is in
[reply to] @Paladin [Will not DM] [SX] We will pump guys
yassin (Wont DM first) [VIP] 06/13/2026 6:29 PM
[GIF: man sitting on the wing of a private jet]</t>
  </si>
  <si>
    <t xml:space="preserve">06/13/2026 6:29 PM</t>
  </si>
  <si>
    <t xml:space="preserve">166_2026-06-15_004747_Screenshot_20260615-024457.png</t>
  </si>
  <si>
    <t xml:space="preserve">https://discord.com/channels/1042855255089623100/1501271173588193290/1515835171797209199</t>
  </si>
  <si>
    <t xml:space="preserve">Discord search-results screenshot (two of his general-chat messages from a day earlier): one saying the coin (LTC per his post) is struggling at daily resistance but could see 45-46 by tomorrow and 48 in coming days if the deal is done, and that he would try a long on the 4h; the other a news note that mediators went to Geneva for a peace-deal signing with '80% chances' of happening Sunday. Reveals he trades around geopolitical news catalysts and daily-resistance breakouts.</t>
  </si>
  <si>
    <t xml:space="preserve">Messages (7)
# general-chat
Paladin [Will not DM] 1d
...truggling around daily resistance but I think you can see 45-46 by tomorrow if we get a pump, 48 in coming days, if deal is done  Struggling rn but I would try a long, 4h
# general-chat
Paladin [Will not DM] 1d
Pakistani prime minister the mediators went to Geneva for a peace deal signing 80% chances happens this Sunday</t>
  </si>
  <si>
    <t xml:space="preserve">1d (relative timestamps only)</t>
  </si>
  <si>
    <t xml:space="preserve">First message is truncated at the start ('...truggling'). Symbol (LTC) comes from the accompanying message, not from the image.</t>
  </si>
  <si>
    <t xml:space="preserve">Blofin War of Whales share card for a closed PYTHUSDT 75X long: entry 0.03910, close 0.04062, +292.53% ROI, closed 06-15 16:35:54. He commented that he closed PYTH publicly only to watch it keep flying afterwards.</t>
  </si>
  <si>
    <t xml:space="preserve">WOW WAR OF WHALES 2026
PYTHUSDT Perp
Buy 75X
+292.53%
Entry Price 0.03910
Close Price 0.04062
Referral Code DwquXN
06-15 16:35:54</t>
  </si>
  <si>
    <t xml:space="preserve">06-15 16:35:54</t>
  </si>
  <si>
    <t xml:space="preserve">14:38:29</t>
  </si>
  <si>
    <t xml:space="preserve">Screenshot of his own earlier Discord message (7:15 AM) predicting good pumpy days, a weekend pump and possibly a mini alt season, with the self-aware caveat that he is usually always bullish. Reposted as the weekend pump and alt rally arrived.</t>
  </si>
  <si>
    <t xml:space="preserve">Paladin [Will not DM] [SX] [VIP] Today at 7:15 AM
Feels like we're gonna get some good pumpy days, a good pump this weekend probably, maybe even a mini alt season.
Idk I'm usually always bullish.
[reactions: eyes 20, fire 23, joy 11, chart-up 3, rocket 6, crown 4, rofl 1, thumbs-up 1]</t>
  </si>
  <si>
    <t xml:space="preserve">Weekend pump came, ALTs flying, a mini alt season is in the make.
@Paladin Notify</t>
  </si>
  <si>
    <t xml:space="preserve">Today at 7:15 AM</t>
  </si>
  <si>
    <t xml:space="preserve">169_2026-06-15_143829_Screenshot_20260615-163740.png</t>
  </si>
  <si>
    <t xml:space="preserve">https://discord.com/channels/1042855255089623100/1501271173588193290/1516044221868544122</t>
  </si>
  <si>
    <t xml:space="preserve">Blofin War of Whales card for a closed RENDERUSDT 90X long: entry 1.761, close 1.779, +91.99% ROI at 06-16 02:10:50. Per his post he closed it after it had reached 1R and round-tripped because AI coins lagged, preferring a small win over a break-even stop; at the same time he planned to TP XMR around 390-400 and added margin to his BTC long targeting at least the 65k region.</t>
  </si>
  <si>
    <t xml:space="preserve">WOW WAR OF WHALES 2026
RENDERUSDT Perp
Buy 90X
+91.99%
Entry Price 1.761
Close Price 1.779
Referral Code DwquXN
06-16 02:10:50</t>
  </si>
  <si>
    <t xml:space="preserve">06-16 02:10:50</t>
  </si>
  <si>
    <t xml:space="preserve">Cropped MEXC-style share card of a closed BTCUSDT 250X short showing +160.49% ROI. Posted as 'TP hit, 0.5R' with the note that he had added to the position earlier so the average entry was 66.2k.</t>
  </si>
  <si>
    <t xml:space="preserve">BTCUSDT Perpetual
Close Short | 250X
+160.49%</t>
  </si>
  <si>
    <t xml:space="preserve">Blofin War of Whales card for a closed BTCUSDT 150X short: entry 67,119.9, close 65,634.5, +331.94% ROI at 06-16 19:40:30. He noted his entry on his other exchange was a better 'sniper' entry, and counted this as 12/12 BTC wins for the month.</t>
  </si>
  <si>
    <t xml:space="preserve">WOW WAR OF WHALES 2026
BTCUSDT Perp
Sell 150X
+331.94%
Entry Price 67,119.9
Close Price 65,634.5
Referral Code DwquXN
06-16 19:40:30</t>
  </si>
  <si>
    <t xml:space="preserve">06-16 19:40:30</t>
  </si>
  <si>
    <t xml:space="preserve">17:59:14</t>
  </si>
  <si>
    <t xml:space="preserve">Screenshot of two of his own Discord messages from May 28, 2026 (in the ScalpX server's general-chat and paladin channels) predicting that the crypto market bottoms in June 2026, at least a local bottom for June-July. Reposted mid-June with 'Let's see if this prediction holds', framing his bullish positioning.</t>
  </si>
  <si>
    <t xml:space="preserve">general-chat  ScalpX - Exclusive Trading Community
Paladin [Will not DM] [SX] [VIP] May 28, 2026 10:50 PM
Bottoms coming in June
paladin  ScalpX - Exclusive Trading Community
Paladin [Will not DM] [SX] [VIP] May 28, 2026 7:16 PM
My prediction is crypto market bottoms in June for 2026
At least a local bottom for June-July</t>
  </si>
  <si>
    <t xml:space="preserve">Let's see if this prediction holds</t>
  </si>
  <si>
    <t xml:space="preserve">May 28, 2026 10:50 PM; May 28, 2026 7:16 PM</t>
  </si>
  <si>
    <t xml:space="preserve">173_2026-06-16_175914_Screenshot_20260616-195846.png</t>
  </si>
  <si>
    <t xml:space="preserve">https://discord.com/channels/1042855255089623100/1501271173588193290/1516457130771615744</t>
  </si>
  <si>
    <t xml:space="preserve">Screenshot of his Discord DM/message to a member from Jun 16, 2026 8:08 PM, with an embedded spot PnL card showing his HYPE holding at +21.66% from an average buy price of $60. Used to back up his spot recommendation of HYPE (held since 60, add every $10 drop, targets 83-84 then 90-100).</t>
  </si>
  <si>
    <t xml:space="preserve">Jun 16, 2026
Paladin [Will not DM] [SX] Jun 16, 2026 8:08 PM
Really hope you got some HYPE when I recommended brother, went up nearly 30% from 60
[embedded card] HYPE
+21.66%
Avg. Buy Price $60</t>
  </si>
  <si>
    <t xml:space="preserve">Jun 16, 2026 8:08 PM</t>
  </si>
  <si>
    <t xml:space="preserve">Exchange of the embedded HYPE card is not identifiable (unbranded spot 'Avg. Buy Price' template).</t>
  </si>
  <si>
    <t xml:space="preserve">Blofin War of Whales card for an open PORTALUSDT 10X short: entry 0.01631, mark 0.01515, +71.28% ROI at 06-17 00:53:49. Posted as a management update: 0.8R in profit, take 50% here and move stop loss to break-even.</t>
  </si>
  <si>
    <t xml:space="preserve">WOW WAR OF WHALES 2026
PORTALUSDT Perp
Sell 10X
+71.28%
Entry Price 0.01631
Mark Price 0.01515
Referral Code DwquXN
06-17 00:53:49</t>
  </si>
  <si>
    <t xml:space="preserve">06-17 00:53:49</t>
  </si>
  <si>
    <t xml:space="preserve">BloFin share card for an open WLDUSDT 75X long: entry 0.6545, mark 0.7079, +611.46% ROI at 06-17 06:40:26. Posted as 'Up 0.6R, send it higher!' - still holding for more.</t>
  </si>
  <si>
    <t xml:space="preserve">BloFin
WLDUSDT Perp
Buy 75X
+611.46%
Entry Price 0.6545
Mark Price 0.7079
Referral Code DwquXN
06-17 06:40:26</t>
  </si>
  <si>
    <t xml:space="preserve">06-17 06:40:26</t>
  </si>
  <si>
    <t xml:space="preserve">Blofin War of Whales card for an open TAOUSDT 100X long: entry 249.66, mark 256.05, +256.08% ROI at 06-17 18:15:55. He said he wanted to post the entry but the move was too fast, though he 'sniped' it.</t>
  </si>
  <si>
    <t xml:space="preserve">WOW WAR OF WHALES 2026
TAOUSDT Perp
Buy 100X
+256.08%
Entry Price 249.66
Mark Price 256.05
Referral Code DwquXN
06-17 18:15:55</t>
  </si>
  <si>
    <t xml:space="preserve">06-17 18:15:55</t>
  </si>
  <si>
    <t xml:space="preserve">EMA(20) 65,431.9; EMA(50) 65,597.3; EMA(200) 64,812.6; Volume with MA(5) 6.97K and MA(10) 6.52K; RSI(6) 52.7</t>
  </si>
  <si>
    <t xml:space="preserve">swing high label 67,255.4 at left of chart; swing low label 64,525.0 with green 'B' (buy execution) marker just after the low; green dashed position/entry line with right-axis tag 64,736 (labelled 'PNL' at left edge, partly hidden by the card); dashed current price line with axis tag 65,273; red 'S' (sell execution) marker at the far left edge around the 66,300 area; right-axis gridlines 67,392 / 66,722 / 66,053 / 65,384 / 64,046</t>
  </si>
  <si>
    <t xml:space="preserve">Binance 1h BTCUSDT perp chart: a sharp sell-off from ~66.7k to a 64,525 low that bounced right off the purple EMA(200) (~64,812), where he bought (B marker, entry 64,736.50); price has recovered to ~65,273 but is still under the EMA(20)/EMA(50). RSI(6) has recovered from oversold to 52.7 and volume picked up on the flush. He noted a chance of revisiting the 64s once more before going higher.</t>
  </si>
  <si>
    <t xml:space="preserve">Binance app 1h chart of BTCUSDT perp with his position share card overlaid: 150x long entered at 64,736.50 right at the flush low (B marker at 64,525), +119.18% with last price 65,257.60. Shows he bought the dip into the EMA(200) while everyone was dumping, while acknowledging a possible revisit of the 64s before higher.</t>
  </si>
  <si>
    <t xml:space="preserve">BTCUSDT Perp  Bitcoin
Price  Info  Trading Data  Square  Trade-X (New)
Last Price 65,273.9
Rs18,162,462.68  -1.24%
Mark Price 65,278.7
24h High 66,246.1  24h Vol(BTC) 128,683.285
24h Low 64,525.0  24h Vol(USDT) 8.42B
Time  15m  1h  4h  1D  More
EMA(20): 65,431.9  EMA(50): 65,597.3  EMA(200): 64,812.6
67,255.4  64,525.0  64,736  65,273
[share card] BTCUSDT Perpetual
Long | 150x
+119.18%
Entry Price 64,736.50  Last Price 65,257.60
MA(5): 6.97K  MA(10): 6.52K
RSI(6): 52.7</t>
  </si>
  <si>
    <t xml:space="preserve">Volume header partly hidden behind the share card (Vol(BTC)/Vol(USDT) values unreadable). The left-edge 'S' marker level is approximate.</t>
  </si>
  <si>
    <t xml:space="preserve">EMA(20) 65,318.1; EMA(50) 65,312.7; EMA(200) 65,577.4</t>
  </si>
  <si>
    <t xml:space="preserve">swing high label 66,090.6 on the latest candle; swing low label 64,525.0 with green 'B' (buy execution) marker at the bottom; current price axis tag 66,021.3 with dashed line; right-axis gridlines 66,168.9 / 65,824.4 / 65,480.0 / 65,135.6 / 64,791.2 / 64,446.7</t>
  </si>
  <si>
    <t xml:space="preserve">Binance 15m BTCUSDT perp chart showing a V-shaped reversal: sell-off to 64,525 (where his buy marker sits), a short consolidation with one wick back down to ~64.7k (the retest of his entry), then a vertical rally through the EMA(20)/EMA(50)/EMA(200) to 66,090. Posted to show he 'sniped' the low and that price came back to entry exactly once before going higher as he had said.</t>
  </si>
  <si>
    <t xml:space="preserve">Binance app 15m BTCUSDT chart after the bounce: buy marker at the 64,525 low, a single retest wick back toward entry, then a sharp rally to 66,090 with last price 66,021.6. Posted as confirmation that his dip buy was the bottom and that the 'once back to entry then higher' call played out.</t>
  </si>
  <si>
    <t xml:space="preserve">BTCUSDT Perp  Bitcoin
Price  Info  Trading Data  Square  Trade-X (New)
Last Price 66,021.6
Rs18,371,170.42  +0.44%
Mark Price 66,034.8
24h High 66,246.1  24h Vol(BTC) 129,033.831
24h Low 64,525.0  24h Vol(USDT) 8.43B
Time  15m  1h  4h  1D  More
EMA(20): 65,318.1  EMA(50): 65,312.7  EMA(200): 65,577.4
66,090.6  66,021.3  64,525.0</t>
  </si>
  <si>
    <t xml:space="preserve">The 'B' marker overlaps the 64,525.0 low label; no position details (leverage/entry/ROI) shown on this screenshot.</t>
  </si>
  <si>
    <t xml:space="preserve">Binance share card of his open BTCUSDT 150x long from 64,736.50, now at last price 66,370.90 for +367.41% ROI. Posted with 'Up almost 1R you can take 20-25%' - partial profit-taking advice near 1R.</t>
  </si>
  <si>
    <t xml:space="preserve">BTCUSDT Perpetual
Long | 150x
+367.41%
Entry Price 64,736.50
Last Price 66,370.90</t>
  </si>
  <si>
    <t xml:space="preserve">Screenshot of his Discord reply (Jun 18, 2026 1:24 PM) to a member saying 'there goes lab': his plan is to short LAB around 22, maybe half now and half at 22, and he expects it to eventually collapse to $2-3. Posted alongside advice that LAB is bullish short-term, so members should long it instead with SL at 12.8-13 and short from 20-22 later.</t>
  </si>
  <si>
    <t xml:space="preserve">[reply to] @Gijstb12 Okay there goes lab [rofl emoji]
Paladin [Will not DM] [SX] [VIP] Jun 18, 2026 1:24 PM
I have a plan to short Lab around 22, maybe 50% here 50% 22, pretty sure when this dies it goes around 2-3$
[reaction: fire 2]</t>
  </si>
  <si>
    <t xml:space="preserve">Jun 18, 2026 1:24 PM</t>
  </si>
  <si>
    <t xml:space="preserve">Heavily cropped share card (Binance-style Entry Price / Last Price layout) showing entry 15.6790000 and last price 17.0150000 - his LAB long, posted with the remark that he started mentioning a LAB long in chat when price was around 14.8.</t>
  </si>
  <si>
    <t xml:space="preserve">Entry Price 15.6790000
Last Price 17.0150000</t>
  </si>
  <si>
    <t xml:space="preserve">Card cropped: symbol, side, leverage and ROI are not visible; LAB/long are inferred from the accompanying message. Platform inferred from the card layout matching his Binance futures cards.</t>
  </si>
  <si>
    <t xml:space="preserve">A heavily cropped PnL share card showing only the Entry Price (15.6790000) and Last Price (18.0080000) row, i.e. price moved ~+14.9% in his favour if long. Posted with the single word 'Out.', so he was announcing the exit of this position.</t>
  </si>
  <si>
    <t xml:space="preserve">Entry Price 15.6790000    Last Price 18.0080000</t>
  </si>
  <si>
    <t xml:space="preserve">Crop only contains the Entry Price / Last Price row: symbol, side, leverage, ROI% and exchange branding are all cut off, so no trade object could be built (no symbol visible). The 7-decimal price formatting suggests a low-priced alt, but the pair cannot be determined from the image. | Trade reconstructed from the identical crop in image 182 (LAB long, same entry).</t>
  </si>
  <si>
    <t xml:space="preserve">16:11:38</t>
  </si>
  <si>
    <t xml:space="preserve">Top of a mobile exchange chart page for REUSDT: last price 1.0020 (red, i.e. down on the candle) but +28.28% on the 24h, 24h range 0.6671-1.0660, funding -0.0324%. The 15m timeframe tab is selected, so he was watching the intraday leg.</t>
  </si>
  <si>
    <t xml:space="preserve">Screenshot of the REUSDT ticker header on an exchange app with the 15m timeframe selected. He posted it while managing a RE position (taking 50% off and leaving the rest for a 2x+), so it is a price/market check rather than a trade card - the candles themselves are cropped out.</t>
  </si>
  <si>
    <t xml:space="preserve">REUSDT
Last Price
1.0020
≈ $1.00 +28.28%
Mark Price 1.0040
24h High 1.0660
24h Low 0.6671
24h Vol(RE) 10.287M
Funding Rate -0.0324%
Line 15m 1h 4h 1D More</t>
  </si>
  <si>
    <t xml:space="preserve">Nearly a 50% move down, exactly a 43% move (0.75 avg)
Out 50%, remaining 50% I exit at 2x+
@Paladin Notify</t>
  </si>
  <si>
    <t xml:space="preserve">Only the ticker header and the timeframe bar are visible; the actual candlestick chart and any position data are cropped out. Exchange not identifiable from the crop.</t>
  </si>
  <si>
    <t xml:space="preserve">184_2026-06-20_161138_Screenshot_20260620-180139.png</t>
  </si>
  <si>
    <t xml:space="preserve">https://discord.com/channels/1042855255089623100/1501271173588193290/1517879602603884615</t>
  </si>
  <si>
    <t xml:space="preserve">Blofin whale-template share card for a still-open 150x BTC long entered at 63,667.3, marked at 63,923.2 for +60.28% ROI. Posted with 'BTC older trade back in green' - he is showing that an older long that had been underwater is profitable again.</t>
  </si>
  <si>
    <t xml:space="preserve">WOW WAR OF WHALES 2026
BTCUSDT Perp
Buy 150X
+60.28%
Entry Price 63,667.3
Mark Price 63,923.2
Referral Code DwquXN
06-20 19:51:52</t>
  </si>
  <si>
    <t xml:space="preserve">06-20 19:51:52</t>
  </si>
  <si>
    <t xml:space="preserve">Cropped share card header for a 200x BTC long showing +291.06% ROI, on a dollar-bill artwork background. Posted with 'New running from 62.8k can do SL to entry' - he is telling members the new long is in profit and risk can be removed by moving the stop to breakeven.</t>
  </si>
  <si>
    <t xml:space="preserve">BTCUSDT | Long 200X
+291.06%</t>
  </si>
  <si>
    <t xml:space="preserve">Only the top of the card is visible: entry/mark/close prices, duration and exchange branding are cropped off. Platform not identifiable.</t>
  </si>
  <si>
    <t xml:space="preserve">Re-post of the same Blofin card as the earlier 'BTC older trade back in green' message (entry 63,667.3, mark 63,923.2, +60.28%), this time captioned 'Closes fully'. Shows he exited the older 150x BTC long about 45 minutes after flagging it back in profit.</t>
  </si>
  <si>
    <t xml:space="preserve">The card shows Mark Price (open-position card) while the message announces a full close; the card image is a duplicate of the earlier upload, so it does not show the actual exit price.</t>
  </si>
  <si>
    <t xml:space="preserve">Cropped share-card header for the 200x BTC long now at +335.51% ROI. Posted with '50% from 62.8k position, 50% at 65-66k' - his scaling plan: bank half here, hold the rest for the 65-66k target.</t>
  </si>
  <si>
    <t xml:space="preserve">BTCUSDT | Long 200X
+335.51%</t>
  </si>
  <si>
    <t xml:space="preserve">Only the header row is visible (symbol, side, leverage, ROI); entry/close prices and exchange branding are cropped off.</t>
  </si>
  <si>
    <t xml:space="preserve">Share card for an open 150x BTC long from 63,044.0, last price 64,594.2, +368.83% ROI after a 3-day hold. Posted with 'Glad we added at a good time... 65k TP missed by 200$ but still hopeful we will get it' - he is holding for the 65k target after adding to the position.</t>
  </si>
  <si>
    <t xml:space="preserve">BTCUSDT | Long 150X
+368.83%
Entry Price 63,044.0
Last Price 64,594.2
Duration 3D 0H 45M 4S</t>
  </si>
  <si>
    <t xml:space="preserve">Exchange branding is cropped out (unbranded card with a red car background), so the platform could not be identified.</t>
  </si>
  <si>
    <t xml:space="preserve">Closed-trade share card: 150x BTC long from 63,044.0 closed at 64,987.9 via the 65,000 take-profit for +462.50%. Posted with 'TP hit @ 65k guys, we took TP before then added again to get another TP' - documents the planned TP execution and that he re-entered afterwards.</t>
  </si>
  <si>
    <t xml:space="preserve">BTCUSDT | Long 150X
+462.50%
Entry Price 63,044.0
Close Price 64,987.9
TP Price 65,000.0</t>
  </si>
  <si>
    <t xml:space="preserve">Exchange branding cropped out (celebration/fireworks background), platform not identifiable.</t>
  </si>
  <si>
    <t xml:space="preserve">Open 150x BTC long from 59,214.30, last price 60,649.70, +353.22%. Posted with 'May this be the bottom, spam AMEN bros' right after BTC put in a new low and bounced - he had just caught the reversal.</t>
  </si>
  <si>
    <t xml:space="preserve">BTCUSDT Perpetual
Long | 150x
+353.22%
Entry Price 59,214.30
Last Price 60,649.70</t>
  </si>
  <si>
    <t xml:space="preserve">Unbranded card crop; exchange not identifiable.</t>
  </si>
  <si>
    <t xml:space="preserve">Blofin card for the open 150x BTC long entered at 59,595.1, mark 60,793.4, +301.62% ROI. Posted with no text right after the 'may this be the bottom' message, as his Blofin-side proof of the same bounce long.</t>
  </si>
  <si>
    <t xml:space="preserve">BloFin
BTCUSDT Perp
Buy 150X
+301.62%
Entry Price
59,595.1
Mark Price
60,793.4
06-25 01:10:58
Referral Code: DwquXN
Elevate Trading with BloFin</t>
  </si>
  <si>
    <t xml:space="preserve">06-25 01:10:58</t>
  </si>
  <si>
    <t xml:space="preserve">Blofin card for the running 150x BTC long from 59,595.1, mark 61,117.2, +383.11%. Posted with his reasoning that the market would make a new daily low then bounce it (which it did), plus partial-TP guidance (25-30% here, full exit ~62 or on a rejection).</t>
  </si>
  <si>
    <t xml:space="preserve">BloFin
BTCUSDT Perp
Buy 150X
+383.11%
Entry Price
59,595.1
Mark Price
61,117.2
06-25 01:53:02
Referral Code: DwquXN
Elevate Trading with BloFin</t>
  </si>
  <si>
    <t xml:space="preserve">06-25 01:53:02</t>
  </si>
  <si>
    <t xml:space="preserve">Cropped card showing the same 59,214.30 BTC long now at 61,037.60 for +445.88%. Posted with 'Actual entry when I uploaded' - he is proving that the entry he published in the channel is the one he is actually filled at.</t>
  </si>
  <si>
    <t xml:space="preserve">+445.88%
Entry Price 59,214.30
Last Price 61,037.60</t>
  </si>
  <si>
    <t xml:space="preserve">Symbol, side and leverage rows are cropped out; BTCUSDT/long attributed from the identical 59,214.30 entry price on the earlier card in the same sequence.</t>
  </si>
  <si>
    <t xml:space="preserve">Re-post of the +383.11% Blofin card (entry 59,595.1, mark 61,117.2) about an hour later, this time to announce he is fully closing the 150x BTC long at Target 1 while leaving members a 61.8-62k full-TP plan.</t>
  </si>
  <si>
    <t xml:space="preserve">Duplicate of the earlier card image (Mark Price / open-position card) used to announce a close, so it does not show the actual exit price.</t>
  </si>
  <si>
    <t xml:space="preserve">Cropped card of the 59,214.30 BTC long at 61,042.10, +446.88%. Posted with 'Majority of you should have this entry, when posted was around 59.3k' - he is showing that the published call entry matches his own fill.</t>
  </si>
  <si>
    <t xml:space="preserve">+446.88%
Entry Price 59,214.30
Last Price 61,042.10</t>
  </si>
  <si>
    <t xml:space="preserve">Symbol, side and leverage are cropped out; attributed to the same BTCUSDT long from the identical 59,214.30 entry.</t>
  </si>
  <si>
    <t xml:space="preserve">Blofin card for a 150x BTC long opened at 61,253.1 and closed at 61,270.6 for +4.28% - a breakeven exit. Reveals his decision rule at that moment: no edge here, so flat and wait to either long lower or short above 62k.</t>
  </si>
  <si>
    <t xml:space="preserve">BloFin
BTCUSDT Perp
Buy 150X
+4.28%
Entry Price 61,253.1
Close Price 61,270.6
Referral Code DwquXN
Sharing Time: 06-25 18:00:24</t>
  </si>
  <si>
    <t xml:space="preserve">06-25 18:00:24</t>
  </si>
  <si>
    <t xml:space="preserve">Blofin card for a fresh 150x BTC long from 58,616.4, mark 59,502.9, +226.87% - the long he took after BTC dropped, having gone flat at breakeven earlier that day. He banks 70% here and leaves the rest for 60k.</t>
  </si>
  <si>
    <t xml:space="preserve">BloFin
BTCUSDT Perp
Buy 150X
+226.87%
Entry Price 58,616.4
Mark Price 59,502.9
Referral Code DwquXN
Sharing Time: 06-25 19:10:14</t>
  </si>
  <si>
    <t xml:space="preserve">06-25 19:10:14</t>
  </si>
  <si>
    <t xml:space="preserve">Cropped closed-trade card: entry 58,305.1, average close price 60,008.60. Posted with '60k hit, caught both yesterday's + today's bottom bounce' - confirming the 60k target from the scaled BTC long filled.</t>
  </si>
  <si>
    <t xml:space="preserve">Entry Price 58,305.1    Average Close Price 60,008.60</t>
  </si>
  <si>
    <t xml:space="preserve">Only the entry / average close price row is visible - symbol, side, leverage and ROI% are all cropped out; BTCUSDT long attributed from context and price level.</t>
  </si>
  <si>
    <t xml:space="preserve">Screenshot of his own Discord replies to a member about SOL: he calls SOL the strongest mainstream alt, says he holds a set-and-forget 10x swing long with 10% margin on a side app, and expects a July bounce to 75-80. Posted as proof of the SOL call he says he mentioned days earlier.</t>
  </si>
  <si>
    <t xml:space="preserve">@misfitnl [SX] My last purchase for Sol was just below 64, but if it drops further will buy soe more
Paladin [Will not DM] [SX] [VIP] - Yesterday at 10:16 PM
SOL is the strongest in mainstream ALTs I think rn
Paladin [Will not DM] [SX] [VIP] - Yesterday at 10:16 PM
Good choice
I have a swing on it on a side app 10% margin 10x lev and forget
It'll bounce in July I believe around 75-80</t>
  </si>
  <si>
    <t xml:space="preserve">Yesterday at 10:16 PM</t>
  </si>
  <si>
    <t xml:space="preserve">Badge icons next to the usernames transcribed as [SX] and [VIP]; original text typo 'soe more' kept verbatim.</t>
  </si>
  <si>
    <t xml:space="preserve">Blofin card evidencing the open 10x SOL swing long at 67.55 entry, mark 70.30, +40.71% ROI. Posted immediately after the Discord screenshot about SOL to back up the claim that he is long SOL and expecting 75-85 in July.</t>
  </si>
  <si>
    <t xml:space="preserve">BloFin
SOLUSDT Perp
Buy 10X
+40.71%
Entry Price 67.55
Mark Price 70.30
Referral Code DwquXN
Sharing Time: 06-26 18:55:02</t>
  </si>
  <si>
    <t xml:space="preserve">06-26 18:55:02</t>
  </si>
  <si>
    <t xml:space="preserve">Screenshot of his own earlier Discord message saying he added to SOL at 66. Posted with 'Really bought yesterday's bottom, regret not giving a long here' - he is showing he timed the SOL low but did not publish it as a call.</t>
  </si>
  <si>
    <t xml:space="preserve">Paladin [Will not DM] [SX] [VIP] - Today at 7:32 AM
I just added SOL some here at 66</t>
  </si>
  <si>
    <t xml:space="preserve">Today at 7:32 AM</t>
  </si>
  <si>
    <t xml:space="preserve">Badge icons transcribed as [SX] and [VIP].</t>
  </si>
  <si>
    <t xml:space="preserve">EMA(20): 0.0001150; EMA(50): 0.0001121; EMA(200): 0.0001146; volume (bottom, partially cut off: Vol / MA(5) / MA(10))</t>
  </si>
  <si>
    <t xml:space="preserve">position entry line at 0.0001101 with PnL tag (value obscured); current price tag 0.0001297 with candle countdown 38:06; swing high label 0.0001375 on the pump wick; swing low label 0.0001078 before the pump; price axis ticks 0.0001389 / 0.0001172 / 0.0001063</t>
  </si>
  <si>
    <t xml:space="preserve">TOSHIUSDT 1h: a long flat base around 0.00011 followed by an almost vertical pump (two large green candles) to a 0.0001375 high, with the current red candle pulling back to 0.0001297. His long entry at 0.0001101 sits right at the base before the pump; all three EMAs are far below price and curling up.</t>
  </si>
  <si>
    <t xml:space="preserve">Blofin app 1h chart of TOSHIUSDT showing a sudden pump from his entry zone (~0.00011) to 0.0001375, now at 0.0001297 (+18.44% 24h) with a heavily negative funding rate (-1.1492%). Posted to show the TOSHI move (message: TOSHI up 25% in spot, +1.5R move) while his long from 0.0001101 is open.</t>
  </si>
  <si>
    <t xml:space="preserve">TOSHIUSDT | Last Price 0.0001297 ≈ $0.00012 +18.44% | Mark Price 0.0001291 | 24h High 0.0001375 | 24h Low 0.0001078 | 24h Vol(TOSHI) 466.419M | Funding Rate -1.1492% | Line 15m 1h 4h 1D More | EMA(20): 0.0001150 EMA(50): 0.0001121 EMA(200): 0.0001146 | 0.0001389 | 0.0001375 | 0.0001297 38:06 | 0.0001172 | 0.0001101 | 0.0001078 | 0.0001063 | PnL +[obscured] | BloFin | 06-27-2026 12:00 | 06-28-2026 05:00</t>
  </si>
  <si>
    <t xml:space="preserve">x-axis: 06-27-2026 12:00, 06-28-2026 05:00; candle countdown 38:06</t>
  </si>
  <si>
    <t xml:space="preserve">PnL value on the position tag is scribbled over and unreadable; side and leverage are not printed on the chart (long inferred); volume panel at the bottom is cut off.</t>
  </si>
  <si>
    <t xml:space="preserve">Blofin share card for an open TOSHIUSDT 50x long from 0.0001101, mark 0.0001314, showing +965.92% ROI. Posted seconds after the TOSHI chart as proof of the long catching the pump.</t>
  </si>
  <si>
    <t xml:space="preserve">BloFin | TOSHIUSDT Perp | Buy 50X | +965.92% | Entry Price 0.0001101 | Mark Price 0.0001314 | Referral Code DwquXN | Sharing Time: 06-28 18:21:02</t>
  </si>
  <si>
    <t xml:space="preserve">Sharing Time: 06-28 18:21:02</t>
  </si>
  <si>
    <t xml:space="preserve">Blofin share card for an open BTCUSDT 150x long from 59,200.0 with mark 60,063.9 (+218.89%). Message says price ran up fast while he was still writing and he hopes the DCA order fills, i.e. he wanted more size lower.</t>
  </si>
  <si>
    <t xml:space="preserve">BloFin | BTCUSDT Perp | Buy 150X | +218.89% | Entry Price 59,200.0 | Mark Price 60,063.9 | Referral Code DwquXN | Sharing Time: 06-29 08:11:26</t>
  </si>
  <si>
    <t xml:space="preserve">Sharing Time: 06-29 08:11:26</t>
  </si>
  <si>
    <t xml:space="preserve">Cropped Blofin-style share card for an open SOLUSDT 10x long from 68.46, mark 76.02, +110.42%. Posted with his comment that he kept telling everyone to buy SOL and HYPE and expects 80+ by the weekend.</t>
  </si>
  <si>
    <t xml:space="preserve">SOLUSDT Perp | Buy 10X | +110.42% | Entry Price 68.46 | Mark Price 76.02</t>
  </si>
  <si>
    <t xml:space="preserve">Image is a crop: no exchange logo or sharing time visible; platform identified from card style only.</t>
  </si>
  <si>
    <t xml:space="preserve">Tiny crop of a closed-position detail showing an average close price of 59,104.4. Per his message this is the BTC long scalp whose TP was hit instantly: he took 50% off here, keeps the rest with a target around 59.5k, moves SL to 57k and plans to add 25% back at 58.2k if price returns.</t>
  </si>
  <si>
    <t xml:space="preserve">Average Close Price 59,104.4</t>
  </si>
  <si>
    <t xml:space="preserve">Symbol, side, entry and ROI are not visible (symbol/side inferred from the message). Platform not identifiable from the crop.</t>
  </si>
  <si>
    <t xml:space="preserve">Blofin share card for a BTCUSDT 150x long (re-long) from 58,372.7 with mark 58,957.8, +150.34%. Posted with 'Closed this after re-longing', so the card captures the position just before he took profit.</t>
  </si>
  <si>
    <t xml:space="preserve">BloFin | BTCUSDT Perp | Buy 150X | +150.34% | Entry Price 58,372.7 | Mark Price 58,957.8 | Referral Code DwquXN | Sharing Time: 07-01 06:45:44</t>
  </si>
  <si>
    <t xml:space="preserve">Sharing Time: 07-01 06:45:44</t>
  </si>
  <si>
    <t xml:space="preserve">Blofin share card (generated 06-30 19:05:23) for a BTCUSDT 150x long scalp from 58,486.2, mark 58,950.3, +119.03%. Reposted the next morning in a recap of two ~0.5R long scalps plus a short that nearly hit TP.</t>
  </si>
  <si>
    <t xml:space="preserve">BloFin | BTCUSDT Perp | Buy 150X | +119.03% | Entry Price 58,486.2 | Mark Price 58,950.3 | Referral Code DwquXN | Sharing Time: 06-30 19:05:23</t>
  </si>
  <si>
    <t xml:space="preserve">Sharing Time: 06-30 19:05:23</t>
  </si>
  <si>
    <t xml:space="preserve">Repost of the same Blofin share card as image 208: BTCUSDT 150x long from 58,372.7, mark 58,957.8, +150.34%. Shared as the second of the two ~0.5R BTC long scalps in his recap.</t>
  </si>
  <si>
    <t xml:space="preserve">Duplicate of 208_2026-07-01_044843_blofin_1782870345836.png.</t>
  </si>
  <si>
    <t xml:space="preserve">Blofin share card for a closed BTCUSDT 150x short from 59,972.9 closed at 59,318.1 for +163.77%. He closed it after price bounced just short of his TP rather than wait for the full target.</t>
  </si>
  <si>
    <t xml:space="preserve">BloFin | BTCUSDT Perp | Sell 150X | +163.77% | Entry Price 59,972.9 | Close Price 59,318.1 | Referral Code DwquXN | Sharing Time: 07-01 06:55:30</t>
  </si>
  <si>
    <t xml:space="preserve">Sharing Time: 07-01 06:55:30</t>
  </si>
  <si>
    <t xml:space="preserve">Cropped MEXC share card for a closed BTCUSDT 250x long: avg entry $58,637.9, avg close $59,939.6, +554.97%. Posted while saying he is personally longing BTC again, expects 62k this week, and that his short TP was missed by $200.</t>
  </si>
  <si>
    <t xml:space="preserve">BTCUSDT Perpetual | Close Long | 250X | +554.97% | Avg Entry Price $58,637.9 | Avg Close Price $59,939.6</t>
  </si>
  <si>
    <t xml:space="preserve">Card is cropped: exchange logo and share time not visible; platform identified from the 'Close Long | 250X / Avg Entry Price / Avg Close Price' template.</t>
  </si>
  <si>
    <t xml:space="preserve">Blofin share card for an open SOLUSDT 10x long from 68.53 with mark 77.46, +130.23%. Posted as an update on his SOL swing: 75 done at the weekend, 78 now, expecting 80-82 by the coming weekend.</t>
  </si>
  <si>
    <t xml:space="preserve">BloFin | SOLUSDT Perp | Buy 10X | +130.23% | Entry Price 68.53 | Mark Price 77.46 | Referral Code DwquXN | Sharing Time: 07-02 01:53:12</t>
  </si>
  <si>
    <t xml:space="preserve">Sharing Time: 07-02 01:53:12</t>
  </si>
  <si>
    <t xml:space="preserve">Blofin share card for the closed SOLUSDT 10x long from 68.53, closed at 82.00 for +196.41%, hitting the 80-82 target he had been calling. Message notes he kept telling people to buy SOL at 66-67 right before the pump.</t>
  </si>
  <si>
    <t xml:space="preserve">BloFin | SOLUSDT Perp | Buy 10X | +196.41% | Entry Price 68.53 | Close Price 82.00 | Referral Code DwquXN | Sharing Time: 07-02 16:07:51</t>
  </si>
  <si>
    <t xml:space="preserve">Sharing Time: 07-02 16:07:51</t>
  </si>
  <si>
    <t xml:space="preserve">Blofin share card for an ETHUSDT 150x short from 1,702.00 with mark 1,699.37, only +23.10%. He exited near break even because he was not confident, suggesting a swing short with SL at 1780 for others while he stays out.</t>
  </si>
  <si>
    <t xml:space="preserve">BloFin | ETHUSDT Perp | Sell 150X | +23.10% | Entry Price 1,702.00 | Mark Price 1,699.37 | Referral Code DwquXN | Sharing Time: 07-03 04:53:35</t>
  </si>
  <si>
    <t xml:space="preserve">Sharing Time: 07-03 04:53:35</t>
  </si>
  <si>
    <t xml:space="preserve">Blofin share card for an open XRPUSDT 125x long from 1.0870 with mark 1.1052, +209.34%. Posted with his targets: TP at 1.1269 and TP2 at 1.16 for those who want to hold.</t>
  </si>
  <si>
    <t xml:space="preserve">BloFin | XRPUSDT Perp | Buy 125X | +209.34% | Entry Price 1.0870 | Mark Price 1.1052 | Referral Code DwquXN | Sharing Time: 07-03 11:19:15</t>
  </si>
  <si>
    <t xml:space="preserve">Sharing Time: 07-03 11:19:15</t>
  </si>
  <si>
    <t xml:space="preserve">Blofin share card for the closed XRPUSDT 125x long from 1.0870, closed at 1.1270 for +459.98%. Posted as 'XRP TP hit!', matching his earlier 1.1269 take-profit.</t>
  </si>
  <si>
    <t xml:space="preserve">BloFin | XRPUSDT Perp | Buy 125X | +459.98% | Entry Price 1.0870 | Close Price 1.1270 | Referral Code DwquXN | Sharing Time: 07-03 23:46:18</t>
  </si>
  <si>
    <t xml:space="preserve">Sharing Time: 07-03 23:46:18</t>
  </si>
  <si>
    <t xml:space="preserve">23:53:23</t>
  </si>
  <si>
    <t xml:space="preserve">Screenshot of six of Paladin's own earlier Discord messages (Jun 24-26, 2026, ScalpX server, general-chat and Trade Test channels) in which he repeatedly called a June bottom and a July relief/bounce month (mentioning a bounce to around 75-80). Reposted as evidence his thesis played out, alongside his new call of 64k this weekend and 66k next week in a 'pumpy relief month'.</t>
  </si>
  <si>
    <t xml:space="preserve">general-chat ScalpX - Exclusive Trading Community
Paladin [Will not DM] SX VIP Jun 26, 2026 6:55 AM
Think June give bottom and July releif month
general-chat ScalpX - Exclusive Trading Community
Paladin [Will not DM] SX VIP Jun 25, 2026 10:16 PM
It'll bounce in July I believe around 75-80
general-chat ScalpX - Exclusive Trading Community
Paladin [Will not DM] SX VIP Jun 25, 2026 8:28 PM
Local bottom for sure, my belief is June gives bottom at least local for July
Trade Test ScalpX - Exclusive Trading Community
Paladin [Will not D... SX VIP OP Jun 25, 2026 7:33 PM
July is pumpy or at least not this dumpy, it'll be a releif or less stressful month
general-chat ScalpX - Exclusive Trading Community
Paladin [Will not DM] SX VIP Jun 25, 2026 6:40 AM
We will get it, this is what I believe 100% relief July at least choppy
general-chat ScalpX - Exclusive Trading Community
Paladin [Will not DM] SX VIP Jun 24, 2026 10:25 PM
July is the dead cat month in my opinion</t>
  </si>
  <si>
    <t xml:space="preserve">64k this weekend, 66k by next week most probably.
It's a pumpy relief month.</t>
  </si>
  <si>
    <t xml:space="preserve">Jun 26, 2026 6:55 AM; Jun 25, 2026 10:16 PM; Jun 25, 2026 8:28 PM; Jun 25, 2026 7:33 PM; Jun 25, 2026 6:40 AM; Jun 24, 2026 10:25 PM</t>
  </si>
  <si>
    <t xml:space="preserve">The '75-80' bounce target does not name a pair on the image.</t>
  </si>
  <si>
    <t xml:space="preserve">218_2026-07-03_235323_Screenshot_20260704-015254.png</t>
  </si>
  <si>
    <t xml:space="preserve">https://discord.com/channels/1042855255089623100/1501271173588193290/1522706848959037440</t>
  </si>
  <si>
    <t xml:space="preserve">Crop of a closed-position detail showing entry 1.0868 and average close price 1.162, posted as 'XRP full TP if someone held' to show the XRP long's second target (1.16) being reached.</t>
  </si>
  <si>
    <t xml:space="preserve">Entry Price 1.0868 | Average Close Price 1.162</t>
  </si>
  <si>
    <t xml:space="preserve">Symbol, side, leverage and ROI are not visible (symbol/side inferred from the message). Platform not identifiable from the crop (same layout as image 207).</t>
  </si>
  <si>
    <t xml:space="preserve">Blofin share card for an open TAOUSDT 100x long from 212.45 with mark 215.07, +123.25%. Posted with his plan: TP1 at 219.4 where he personally exits fully, TP2 at 223.</t>
  </si>
  <si>
    <t xml:space="preserve">BloFin | TAOUSDT Perp | Buy 100X | +123.25% | Entry Price 212.45 | Mark Price 215.07 | Referral Code DwquXN | Sharing Time: 07-04 20:13:11</t>
  </si>
  <si>
    <t xml:space="preserve">Sharing Time: 07-04 20:13:11</t>
  </si>
  <si>
    <t xml:space="preserve">Blofin share card for the closed TAOUSDT 100x long from 212.45, closed at 218.36 for +278.02%. He took profit just under TP1 (219.4) as price nearly rejected from the target, calling it a decent win.</t>
  </si>
  <si>
    <t xml:space="preserve">BloFin | TAOUSDT Perp | Buy 100X | +278.02% | Entry Price 212.45 | Close Price 218.36 | Referral Code DwquXN | Sharing Time: 07-04 22:36:10</t>
  </si>
  <si>
    <t xml:space="preserve">Sharing Time: 07-04 22:36:10</t>
  </si>
  <si>
    <t xml:space="preserve">Blofin share card for an open ZECUSDT 75x short from 468.70 with mark 462.71, +95.89%. Posted with risk-management instructions: move SL to entry, set TP at 453.23, optionally take 10% off to cover fees in case it stops at break even.</t>
  </si>
  <si>
    <t xml:space="preserve">BloFin | ZECUSDT Perp | Sell 75X | +95.89% | Entry Price 468.70 | Mark Price 462.71 | Referral Code DwquXN | Sharing Time: 07-05 04:16:04</t>
  </si>
  <si>
    <t xml:space="preserve">Sharing Time: 07-05 04:16:04</t>
  </si>
  <si>
    <t xml:space="preserve">Blofin share card for a ZECUSDT perpetual short at 75x closed for +250.72% ROI (entry 468.70, close 453.04), shared 07-05 07:20:37. Posted as 'ZEC TP hit', one of a run of back-to-back winning shorts (XRP, TAO, ZEC).</t>
  </si>
  <si>
    <t xml:space="preserve">BloFin
ZECUSDT Perp
Sell 75X
+250.72%
Entry Price 468.70
Close Price 453.04
Referral Code DwquXN
Sharing Time: 07-05 07:20:37</t>
  </si>
  <si>
    <t xml:space="preserve">Sharing Time: 07-05 07:20:37</t>
  </si>
  <si>
    <t xml:space="preserve">Blofin share card for a JUPUSDT perpetual short at 50x showing +44.25% ROI at mark price 0.2358 vs entry 0.2380, shared 07-05 08:31:27. Per his message he closed the short manually here because it was not moving, taking the small gain instead of waiting for the target.</t>
  </si>
  <si>
    <t xml:space="preserve">BloFin
JUPUSDT Perp
Sell 50X
+44.25%
Entry Price 0.2380
Mark Price 0.2358
Referral Code DwquXN
Sharing Time: 07-05 08:31:27</t>
  </si>
  <si>
    <t xml:space="preserve">Sharing Time: 07-05 08:31:27</t>
  </si>
  <si>
    <t xml:space="preserve">Blofin share card for an ETHUSDT perpetual short at 150x, +55.25% ROI at mark price 1,753.36 vs entry 1,759.84, still open, shared 07-05 14:49:13. Shows the ETH short recovering into profit; he had asked followers not to take the stop loss, says they can close safely now, and holds on himself.</t>
  </si>
  <si>
    <t xml:space="preserve">BloFin
ETHUSDT Perp
Sell 150X
+55.25%
Entry Price 1,759.84
Mark Price 1,753.36
Referral Code DwquXN
Sharing Time: 07-05 14:49:13</t>
  </si>
  <si>
    <t xml:space="preserve">Sharing Time: 07-05 14:49:13</t>
  </si>
  <si>
    <t xml:space="preserve">Blofin share card for a HYPEUSDT perpetual long at 75x closed for +219.04% ROI (entry 68.787, close 70.796), shared 07-06 02:33:34. Posted as 'HYPE TP done' during a weekend hot streak (JUP, XRP, TAO, ZEC and HYPE).</t>
  </si>
  <si>
    <t xml:space="preserve">BloFin
HYPEUSDT Perp
Buy 75X
+219.04%
Entry Price 68.787
Close Price 70.796
Referral Code DwquXN
Sharing Time: 07-06 02:33:34</t>
  </si>
  <si>
    <t xml:space="preserve">Sharing Time: 07-06 02:33:34</t>
  </si>
  <si>
    <t xml:space="preserve">Blofin share card for an OPUSDT perpetual short at 75x closed for +231.95% ROI (entry 0.1067, close 0.1034), shared 07-06 18:09:32. Posted as 'TP hit on OP'; he says he was asleep and could not update in time but the trade still made around 0.5+ R.</t>
  </si>
  <si>
    <t xml:space="preserve">BloFin
OPUSDT Perp
Sell 75X
+231.95%
Entry Price 0.1067
Close Price 0.1034
Referral Code DwquXN
Sharing Time: 07-06 18:09:32</t>
  </si>
  <si>
    <t xml:space="preserve">Sharing Time: 07-06 18:09:32</t>
  </si>
  <si>
    <t xml:space="preserve">Blofin share card for the ETHUSDT perpetual short at 150x (entry 1,759.84), now +195.50% ROI at mark price 1,736.90 and still open, shared 07-06 18:11:38. Posted with 'Oh by the way' to show that the ETH short he kept holding the previous day has extended its profit.</t>
  </si>
  <si>
    <t xml:space="preserve">BloFin
ETHUSDT Perp
Sell 150X
+195.50%
Entry Price 1,759.84
Mark Price 1,736.90
Referral Code DwquXN
Sharing Time: 07-06 18:11:38</t>
  </si>
  <si>
    <t xml:space="preserve">Sharing Time: 07-06 18:11:38</t>
  </si>
  <si>
    <t xml:space="preserve">16:31:45</t>
  </si>
  <si>
    <t xml:space="preserve">pnl_summary</t>
  </si>
  <si>
    <t xml:space="preserve">Exchange app 'Futures Trading Analysis' statistics panel: trading volume 5,163.94, 11 closed orders, 11 winning closed orders, 100% win rate. Posted as 'What a start to July, 100% WR past week'.</t>
  </si>
  <si>
    <t xml:space="preserve">Futures Trading Analysis
Trading Volume 5,163.94
Closed Orders 11
Winning Closed Orders 11
Win Rate Of Closed Orders 100%</t>
  </si>
  <si>
    <t xml:space="preserve">What a start to July, 100% WR past week.
@Paladin Notify</t>
  </si>
  <si>
    <t xml:space="preserve">No logo in the crop; identified as the Blofin app's PnL analysis page from the font and layout (same typeface as his Blofin share cards). The period the statistics cover is not shown on the image (his message says the past week).</t>
  </si>
  <si>
    <t xml:space="preserve">229_2026-07-06_163145_Screenshot_20260706-182839.png</t>
  </si>
  <si>
    <t xml:space="preserve">https://discord.com/channels/1042855255089623100/1501271173588193290/1523682871821340743</t>
  </si>
  <si>
    <t xml:space="preserve">16:32:15</t>
  </si>
  <si>
    <t xml:space="preserve">Exchange app 'Total PnL%' performance chart dated 07-06-2026: cumulative account PnL +30.92% (orange line) versus BTC change +3.33% (blue line) from 07-02 to 07-06. The PnL line climbs steadily every day from roughly 0% on 07-02 to about +31% on 07-06 while BTC stays between roughly +3% and +6.5%. Posted with 'This is where I risk only 3-5% per trade', i.e. the run was made with small per-trade risk.</t>
  </si>
  <si>
    <t xml:space="preserve">Total PnL% (i)
07-06-2026
+30.92%
Total PnL%
+3.33%
BTC Change%
34.01%
24.73%
15.46%
6.18%
-3.09%
07-02 07-03 07-04 07-05 07-06</t>
  </si>
  <si>
    <t xml:space="preserve">This is where I risk only 3-5% per trade 🚀</t>
  </si>
  <si>
    <t xml:space="preserve">07-06-2026</t>
  </si>
  <si>
    <t xml:space="preserve">No logo in the crop; identified as the Blofin app PnL analysis page from the font and layout. Only the endpoint values (+30.92%, +3.33%) are printed; intermediate daily values are approximate readings of the curves. This is an account-performance line chart, not a price chart, so no chart object was created.</t>
  </si>
  <si>
    <t xml:space="preserve">230_2026-07-06_163215_Screenshot_20260706-183042.png</t>
  </si>
  <si>
    <t xml:space="preserve">https://discord.com/channels/1042855255089623100/1501271173588193290/1523682998124417115</t>
  </si>
  <si>
    <t xml:space="preserve">01:40:58</t>
  </si>
  <si>
    <t xml:space="preserve">Screenshot of Paladin's own earlier Discord message (shown as 06/20/2026 1:03 AM) forecasting BTC's path: weekend pumps usually come on Sundays, he sees 64-66k, then a Monday dump to 60.5-61.5k, then back to 64-65k. Re-posted on 07-07 as proof the call played out exactly ('It can't get any more accurate than this').</t>
  </si>
  <si>
    <t xml:space="preserve">Paladin [Will not DM] [SX] [VIP] 06/20/2026 1:03 AM
Yeah if weekend pumps happen they usually happen on Sundays
What I see is 64-66k then Monday dump till 60.5-61.5k
Then back to 64-65k
[reaction: thumbs up 1]</t>
  </si>
  <si>
    <t xml:space="preserve">It can't get any more accurate than this
Mentioned on Sunday, we go 64k -&gt; dump to 60-61k on Monday -&gt; back to 64-65k
@Paladin Notify</t>
  </si>
  <si>
    <t xml:space="preserve">06/20/2026 1:03 AM</t>
  </si>
  <si>
    <t xml:space="preserve">The symbol (BTC) is not written in the message, only implied by the price levels. The timestamp shown on the message (06/20/2026) is transcribed as displayed even though the re-post says it was 'mentioned on Sunday'.</t>
  </si>
  <si>
    <t xml:space="preserve">231_2026-07-07_014058_IMG_20260707_033852_5892.jpg</t>
  </si>
  <si>
    <t xml:space="preserve">https://discord.com/channels/1042855255089623100/1501271173588193290/1523821087757041878</t>
  </si>
  <si>
    <t xml:space="preserve">Screenshot of a Discord exchange: Igor_Ivanovski asks Paladin whether he is going to short something; Paladin ('Yesterday at 2:40 AM') answers that he would only short if price reached 63.5-64k and does not want to short now because he is very confident BTC will pump to at least 65-66k. Re-posted on 07-07 to show he had called the pump to ~65k rather than shorting.</t>
  </si>
  <si>
    <t xml:space="preserve">@Igor_Ivanovski Paladin are you going to short something now
Paladin [Will not DM] [SX] [VIP] Yesterday at 2:40 AM
If I get something like 63.5-64k then I'll short rn I don't want to I'm very confident BTC will pump UpTo 65-66k a minimum
[reaction: custom green dabbing emoji 1]</t>
  </si>
  <si>
    <t xml:space="preserve">Yesterday at 2:40 AM</t>
  </si>
  <si>
    <t xml:space="preserve">Blofin share card for an XLMUSDT perpetual short at 75x closed for +188.93% ROI (entry 0.19789, close 0.19291), shared 07-07 16:32:04. Posted as 'And the streak continues, XLM TP hit'.</t>
  </si>
  <si>
    <t xml:space="preserve">BloFin
XLMUSDT Perp
Sell 75X
+188.93%
Entry Price 0.19789
Close Price 0.19291
Referral Code DwquXN
Sharing Time: 07-07 16:32:04</t>
  </si>
  <si>
    <t xml:space="preserve">Sharing Time: 07-07 16:32:04</t>
  </si>
  <si>
    <t xml:space="preserve">Blofin share card for a BTCUSDT perpetual long at 150x, +182.32% ROI with mark price 63,998.4 vs entry 63,229.9, shared 07-10 07:52:22. Posted as 'BTC TP hit': the long from ~63.2k was taken off as price reached ~64k.</t>
  </si>
  <si>
    <t xml:space="preserve">BloFin
BTCUSDT Perp
Buy 150X
+182.32%
Entry Price 63,229.9
Mark Price 63,998.4
Referral Code DwquXN
Sharing Time: 07-10 07:52:22</t>
  </si>
  <si>
    <t xml:space="preserve">Sharing Time: 07-10 07:52:22</t>
  </si>
  <si>
    <t xml:space="preserve">Blofin share card for a TRIAUSDT perpetual long at 25x, +342.56% ROI at mark price 0.009649 vs entry 0.008487, shared 07-14 08:24:11. His message gives the exit logic: the coin had made a ~20% spot move, which he judged good enough for a scalp, so he closed.</t>
  </si>
  <si>
    <t xml:space="preserve">BloFin
TRIAUSDT Perp
Buy 25X
+342.56%
Entry Price 0.008487
Mark Price 0.009649
Referral Code DwquXN
Sharing Time: 07-14 08:24:11</t>
  </si>
  <si>
    <t xml:space="preserve">Sharing Time: 07-14 08:24:11</t>
  </si>
  <si>
    <t xml:space="preserve">Blofin share card for a BTCUSDT perpetual long at 150x closed for +240.40% ROI (entry 62,775.4, close 63,781.6), shared 07-14 18:11:50. Posted as 'TP taken on BTC, 64k was almost hit', i.e. the long from the pullback to ~62.8k was closed just under 64k.</t>
  </si>
  <si>
    <t xml:space="preserve">BloFin
BTCUSDT Perp
Buy 150X
+240.40%
Entry Price 62,775.4
Close Price 63,781.6
Referral Code DwquXN
Sharing Time: 07-14 18:11:50</t>
  </si>
  <si>
    <t xml:space="preserve">Sharing Time: 07-14 18:11:50</t>
  </si>
  <si>
    <t xml:space="preserve">Screenshot of Paladin's own Discord message from 07/12/2026 1:34 AM: after the early-July win streak he is not forcing trades, expects BTC to pump to 65.5-66k+ over the weekend and the coming week, and is waiting for a pullback to get long. Re-posted on 07-15 to show that the pullback-then-65k scenario played out as called.</t>
  </si>
  <si>
    <t xml:space="preserve">Paladin [Will not DM] [SX] [VIP] 07/12/2026 1:34 AM
We had a nice win streak at the start of the month so not forcing any trades.
Expecting a pump to 65.5-66k+ at weekend and coming week but waiting for a pullback to get some longs.
Have a great weekend everyone and thankyou for the wonderful support always 🙏🏻</t>
  </si>
  <si>
    <t xml:space="preserve">07/12/2026 1:34 AM</t>
  </si>
  <si>
    <t xml:space="preserve">Symbol (BTC) not written in the message, implied by the 65.5-66k levels.</t>
  </si>
  <si>
    <t xml:space="preserve">Screenshot of Paladin's Discord message from 07/12/2026 1:58 AM stating a long bias to at least 65k because the 4h timeframe looks much cleaner for longs than shorts. Posted without text right after the 1:34 AM message screenshot as evidence of the earlier call.</t>
  </si>
  <si>
    <t xml:space="preserve">Paladin [Will not DM] [SX] [VIP] 07/12/2026 1:58 AM
Long makes sense at least till 65k, 4h looks way cleaner for long than short</t>
  </si>
  <si>
    <t xml:space="preserve">07/12/2026 1:58 AM</t>
  </si>
  <si>
    <t xml:space="preserve">Symbol (BTC) not written, implied by the 65k level and context.</t>
  </si>
  <si>
    <t xml:space="preserve">Cropped exchange share card for a BTCUSDT perpetual short at 150x showing +11.92% ROI with last price 64,896.80 vs entry 64,948.66. His message says he closed for a very small profit because he had a feeling BTC wanted 66k that day and preferred to exit here rather than in red.</t>
  </si>
  <si>
    <t xml:space="preserve">BTCUSDT Perpetual
Short | 150x
+11.92%
Entry Price 64,948.66
Last Price 64,896.80</t>
  </si>
  <si>
    <t xml:space="preserve">Exchange logo and the lower part of the card are cropped out, so the platform cannot be identified. The template ('BTCUSDT Perpetual', 'Short | 150x' with lowercase x, Entry Price / Last Price, dark chevron watermark) is the same non-Blofin, non-MEXC-style template used on his other '| 150x' cards in this export; 150x exceeds Binance's BTC leverage cap, so it is probably not Binance.</t>
  </si>
  <si>
    <t xml:space="preserve">10:34:47</t>
  </si>
  <si>
    <t xml:space="preserve">non_trading</t>
  </si>
  <si>
    <t xml:space="preserve">Black-and-white Wojak meme of a man in a suit with his fingers steepled, captioned 'All this overthinking and I still make the worst decisions'. Posted without text about an hour after he closed the BTC short for a tiny profit; it expresses regret about that decision (he later says he 'chickened out' of the BTC short).</t>
  </si>
  <si>
    <t xml:space="preserve">All this overthinking and I still make the worst decisions</t>
  </si>
  <si>
    <t xml:space="preserve">240_2026-07-16_103447_images_-_2026-07-16T123439.135.jpeg</t>
  </si>
  <si>
    <t xml:space="preserve">https://discord.com/channels/1042855255089623100/1501271173588193290/1527216919307096144</t>
  </si>
  <si>
    <t xml:space="preserve">11:30:25</t>
  </si>
  <si>
    <t xml:space="preserve">Screenshot of Paladin's Discord message from Jul 12, 2026 2:00 AM laying out his BTC roadmap: 65.3-65.6k over the weekend, then, if a pullback comes, 62-63k, then 66-67k. Re-posted on 07-16 saying price moved exactly like that but he 'chickened out' of the BTC short at the last moment.</t>
  </si>
  <si>
    <t xml:space="preserve">Paladin [Will not DM] [SX] [VIP] Jul 12, 2026 2:00 AM
Basically my prediction
65-3-65.6k weekend -&gt; if pullback then 62-63k -&gt; 66-67k</t>
  </si>
  <si>
    <t xml:space="preserve">Mentioned it last week, will go 65k then to 63k then higher, MOVED EXACTLY like that but chickened out from BTC short at the lost moment, feels awful 🥲</t>
  </si>
  <si>
    <t xml:space="preserve">Jul 12, 2026 2:00 AM</t>
  </si>
  <si>
    <t xml:space="preserve">'65-3-65.6' is rendered by Discord as a blue underlined auto-link (most likely a typo for '65.3-65.6k'); transcribed as displayed. Symbol (BTC) not written, implied by the price levels.</t>
  </si>
  <si>
    <t xml:space="preserve">241_2026-07-16_113025_Screenshot_20260716-132931.png</t>
  </si>
  <si>
    <t xml:space="preserve">https://discord.com/channels/1042855255089623100/1501271173588193290/1527230920023609345</t>
  </si>
  <si>
    <t xml:space="preserve">Cropped Blofin share card for a BTCUSDT perpetual long at 150x showing +171.25% ROI; the price section is cut off. His message says the BTC take-profit was hit with a DCA filled, average entry about 63.1k, so this is the DCA'd long taken off at target.</t>
  </si>
  <si>
    <t xml:space="preserve">LAST
BloFin
BTCUSDT Perp
Buy 150X
+171.25%</t>
  </si>
  <si>
    <t xml:space="preserve">Only the top of the card is visible: entry price, close/mark price and sharing time are cropped, so open/closed status cannot be read from the card. A white 'LAST' tag appears above the BloFin logo (meaning unclear, possibly a label from the sharing screen).</t>
  </si>
  <si>
    <t xml:space="preserve">Cropped PnL share card for a ZECUSDT perp long at 75x showing +147.51% ROI. Posted without any message text.</t>
  </si>
  <si>
    <t xml:space="preserve">ZECUSDT Perp
Buy 75X
+147.51%</t>
  </si>
  <si>
    <t xml:space="preserve">Exchange logo is cropped out; platform 'Blofin' is inferred from the card template ('... Perp', 'Buy 75X', green ROI text). Entry/exit prices, status and time not visible.</t>
  </si>
  <si>
    <t xml:space="preserve">Yubit share card for a BTCUSDT long entered at 63,244.70 and exited at 65,024.10 for +204.89% ROI, dated 2026-07-20 05:17. Posted as proof that the first TP of his BTC swing long was hit.</t>
  </si>
  <si>
    <t xml:space="preserve">YUBIT 2026-07-20 05:17
BTCUSDT | Long
+204.89%
Entry Price 63,244.70
Exit Price 65,024.10
Trade on YUBIT
Trade Crypto, Gold &amp; Stocks all on YUBIT</t>
  </si>
  <si>
    <t xml:space="preserve">2026-07-20 05:17</t>
  </si>
  <si>
    <t xml:space="preserve">03:28:34</t>
  </si>
  <si>
    <t xml:space="preserve">Screenshot of Paladin's own Discord message from Jul 12, 2026 2:00 AM giving a one-line BTC price-path prediction: 65.3-65.6k over the weekend, then a pullback to 62-63k if it comes, then 66-67k. Re-posted on Jul 20 to show that BTC followed exactly this path (the posting message says 'Now tell me didn't BTC move exactly as I mentioned?').</t>
  </si>
  <si>
    <t xml:space="preserve">Gave BTC prediction a week ago, no messy charts, no long explanation, just one line.
Now tell me didn't BTC move exactly as I mentioned?
@Paladin Notify</t>
  </si>
  <si>
    <t xml:space="preserve">The asset is not named inside the screenshot (BTC per the posting message). '65-3-65.6' is rendered as an auto-link and presumably means 65.3-65.6k.</t>
  </si>
  <si>
    <t xml:space="preserve">245_2026-07-20_032834_Screenshot_20260716-132931.png</t>
  </si>
  <si>
    <t xml:space="preserve">https://discord.com/channels/1042855255089623100/1501271173588193290/1528559209409417396</t>
  </si>
  <si>
    <t xml:space="preserve">03:28:37</t>
  </si>
  <si>
    <t xml:space="preserve">4H</t>
  </si>
  <si>
    <t xml:space="preserve">EMA-20 (64,360.2); EMA-50 (64,016.4); EMA-200 (63,131.6)</t>
  </si>
  <si>
    <t xml:space="preserve">swing high marker 65,590.8 (around 7-15/7-16) annotated '65.5k'; swing low marker 62,504.0 (around 7-17/7-18, at the EMA-200) annotated '-&gt; 62k'; text annotation '-&gt; Back on the way to 66k' next to the current candle at 64,883.9; price axis labels 65,765.9 / 64,952.4 / 64,139.0 / 63,325.5 / 62,512.1; current price tag 64,883.9 with candle countdown 03:35:21</t>
  </si>
  <si>
    <t xml:space="preserve">BTCUSDT Perp 4H candles on Yubit: a push up to 65,590.8, a pullback down to 62,504.0 that tagged the EMA-200, and a recovery back above the EMA-20/EMA-50 with price at 64,883.9 and heading toward 66k. It visualises his Jul 12 prediction (65.3-65.6k -&gt; 62-63k pullback -&gt; 66-67k) playing out step by step.</t>
  </si>
  <si>
    <t xml:space="preserve">Annotated Yubit BTCUSDT Perp 4H chart with EMA-20/50/200: he marked the 65.5k high (65,590.8), the 62k low (62,504.0) and wrote 'Back on the way to 66k' at the current price of 64,883.9. Posted together with his Jul 12 prediction screenshot as proof that BTC moved exactly along the path he called; he is now watching for the 66-67k leg.</t>
  </si>
  <si>
    <t xml:space="preserve">BTCUSDT Perp
Last Price
64,883.90
≈$64,883.9 +0.52%
Mark Price 64,884.10
24h High 65,084.90
24h Low 64,259.10
24h Vol(BTC) 9.06K
24h Turnover(USDT) 585.13M
15m 1H 4H 1D More
EMA-20: 64,360.2 EMA-50: 64,016.4 EMA-200: 63,131.6
65,590.8
65.5k
-&gt; Back on the way to 66k
64,883.9 03:35:21
-&gt; 62k
62,504.0
65,765.9 64,952.4 64,139.0 63,325.5 62,512.1
7-15 13:00 7-17 05:00 7-18 21:00 7-20 13:00 7-22 05:00</t>
  </si>
  <si>
    <t xml:space="preserve">The 64,952.4 axis label is partly covered by the price tag.</t>
  </si>
  <si>
    <t xml:space="preserve">246_2026-07-20_032837_Screenshot_20260720-052715.png</t>
  </si>
  <si>
    <t xml:space="preserve">https://discord.com/channels/1042855255089623100/1501271173588193290/1528559220172001350</t>
  </si>
  <si>
    <t xml:space="preserve">Cropped snippet of a share card showing entry 63,244.70 and last price 65,578.60 for the still-open BTC swing long. Posted when he took another 20% of the position off, with the remaining target being a full exit at 66.2k.</t>
  </si>
  <si>
    <t xml:space="preserve">Entry Price 63,244.70
Last Price 65,578.60</t>
  </si>
  <si>
    <t xml:space="preserve">Symbol, side, leverage and ROI are cropped out; BTCUSDT long is taken from the matching entry price on the earlier Yubit card and the posting message. Platform inferred from the same match.</t>
  </si>
  <si>
    <t xml:space="preserve">Blofin share card for a SOLUSDT perp long at 125x closed at 77.99 from a 77.90 entry (+14.22% ROI) on 07-21 05:56:04. He closed it around break-even after the trade nearly stopped out twice, calling it a messy trade.</t>
  </si>
  <si>
    <t xml:space="preserve">BloFin
SOLUSDT Perp
Buy 125X
+14.22%
Entry Price 77.90
Close Price 77.99
Referral Code DwquXN
07-21 05:56:04</t>
  </si>
  <si>
    <t xml:space="preserve">07-21 05:56:04</t>
  </si>
  <si>
    <t xml:space="preserve">Blofin share card for a ZECUSDT perp short at 75x, entered at 543.18 and closed at 527.22 for +220.48% ROI on 07-22 13:43:23. Posted as the ZEC take-profit being hit.</t>
  </si>
  <si>
    <t xml:space="preserve">BloFin
ZECUSDT Perp
Sell 75X
+220.48%
Entry Price 543.18
Close Price 527.22
Referral Code DwquXN
07-22 13:43:23</t>
  </si>
  <si>
    <t xml:space="preserve">07-22 13:43:23</t>
  </si>
  <si>
    <t xml:space="preserve">Blofin share card for an open BTCUSDT perp short at 150x from 66,137.7 with mark price 65,552.1 (+132.80% ROI) on 07-23 10:03:25. He posted it while targeting 65120, with 64840 as a possible second take-profit.</t>
  </si>
  <si>
    <t xml:space="preserve">BloFin
BTCUSDT Perp
Sell 150X
+132.80%
Entry Price 66,137.7
Mark Price 65,552.1
Referral Code DwquXN
07-23 10:03:25</t>
  </si>
  <si>
    <t xml:space="preserve">07-23 10:03:25</t>
  </si>
  <si>
    <t xml:space="preserve">Blofin share card for the BTCUSDT 150x short from 66,137.7 closed at 65,409.7 for +165.11% ROI on 07-23 12:17:09. Posted when he took 70% profit at 65120 and moved the stop loss to break-even on the remainder.</t>
  </si>
  <si>
    <t xml:space="preserve">BloFin
BTCUSDT Perp
Sell 150X
+165.11%
Entry Price 66,137.7
Close Price 65,409.7
Referral Code DwquXN
07-23 12:17:09</t>
  </si>
  <si>
    <t xml:space="preserve">07-23 12:17:09</t>
  </si>
  <si>
    <t xml:space="preserve">Card close price 65,409.7 differs from the 65120 level stated in the message; the card likely reflects a partial close.</t>
  </si>
  <si>
    <t xml:space="preserve">Blofin share card for an open BTCUSDT perp long at 150x from 64,790.5 with mark price 65,716.4 (+214.37% ROI) on 07-24 12:13:23. Posted as he took profit at 65.7k, noting followers could extend the TP to 66.1k but should take some off.</t>
  </si>
  <si>
    <t xml:space="preserve">BloFin
BTCUSDT Perp
Buy 150X
+214.37%
Entry Price 64,790.5
Mark Price 65,716.4
Referral Code DwquXN
07-24 12:13:23</t>
  </si>
  <si>
    <t xml:space="preserve">07-24 12:13:23</t>
  </si>
  <si>
    <t xml:space="preserve">Blofin share card for an open XAUUSDT (gold) perp long at 100x from 4,066.90 with mark price 4,080.98 (+34.63% ROI) on 07-24 20:19:16. Posted when the trade was nearly 1R in profit, advising to move the stop loss to entry.</t>
  </si>
  <si>
    <t xml:space="preserve">BloFin
XAUUSDT Perp
Buy 100X
+34.63%
Entry Price 4,066.90
Mark Price 4,080.98
Referral Code DwquXN
07-24 20:19:16</t>
  </si>
  <si>
    <t xml:space="preserve">07-24 20:19:16</t>
  </si>
  <si>
    <t xml:space="preserve">Blofin share card for a MEUSDT perp long at 50x, entered at 0.06447 and closed at 0.06680 for +179.96% ROI on 07-25 11:25:05. He closed it to reduce the number of simultaneous open trades.</t>
  </si>
  <si>
    <t xml:space="preserve">BloFin
MEUSDT Perp
Buy 50X
+179.96%
Entry Price 0.06447
Close Price 0.06680
Referral Code DwquXN
07-25 11:25:05</t>
  </si>
  <si>
    <t xml:space="preserve">07-25 11:25:05</t>
  </si>
  <si>
    <t xml:space="preserve">Cropped MEXC-style share card for an open GENIUSUSDT perpetual long at 20x from $0.3509 with fair price $0.3816 (+172.22% ROI). Posted as he considered closing it because it had been held too long, suggesting SL to entry and an exit at 0.4-0.44 otherwise.</t>
  </si>
  <si>
    <t xml:space="preserve">GENIUSUSDT Perpetual
Long | 20X
+172.22%
Entry Price $0.3509
Fair Price $0.3816</t>
  </si>
  <si>
    <t xml:space="preserve">No exchange logo visible; platform 'MEXC' inferred from the 'Perpetual / Fair Price' template.</t>
  </si>
  <si>
    <t xml:space="preserve">Blofin share card for an EDUUSDT perp long at 49x, entered at 0.03375 and closed at 0.03504 for +187.28% ROI on 07-25 17:13:40. He exited at almost 1R.</t>
  </si>
  <si>
    <t xml:space="preserve">BloFin
EDUUSDT Perp
Buy 49X
+187.28%
Entry Price 0.03375
Close Price 0.03504
Referral Code DwquXN
07-25 17:13:40</t>
  </si>
  <si>
    <t xml:space="preserve">07-25 17:13:40</t>
  </si>
  <si>
    <t xml:space="preserve">Blofin share card for an open BNBUSDT perp long at 75x from 565.35 with mark price 571.95 (+87.66% ROI) on 07-26 10:47:31. Posted while moving the stop loss to break-even.</t>
  </si>
  <si>
    <t xml:space="preserve">BloFin
BNBUSDT Perp
Buy 75X
+87.66%
Entry Price 565.35
Mark Price 571.95
Referral Code DwquXN
07-26 10:47:31</t>
  </si>
  <si>
    <t xml:space="preserve">07-26 10:47:31</t>
  </si>
  <si>
    <t xml:space="preserve">Blofin share card for a BTCUSDT perp long at 150x, entered at 64,489.7 and closed at 64,791.9 for +70.28% ROI on 07-26 21:40:18. Shared alongside a previous BTC long to show the same setup working, claiming 6/6 BTC wins for the week.</t>
  </si>
  <si>
    <t xml:space="preserve">BloFin
BTCUSDT Perp
Buy 150X
+70.28%
Entry Price 64,489.7
Close Price 64,791.9
Referral Code DwquXN
07-26 21:40:18</t>
  </si>
  <si>
    <t xml:space="preserve">07-26 21:40:18</t>
  </si>
  <si>
    <t xml:space="preserve">Re-post of the Blofin share card for the BTCUSDT 150x long from 64,790.5 (mark 65,716.4, +214.37% ROI, 07-24 12:13:23). Posted on 07-26 next to the newer BTC long card with the comment that both used the same setup and he won 6 of 6 BTC trades that week.</t>
  </si>
  <si>
    <t xml:space="preserve">Duplicate of 252_2026-07-24_101644_blofin_1784877205495.png.</t>
  </si>
  <si>
    <t xml:space="preserve">05:40:00</t>
  </si>
  <si>
    <t xml:space="preserve">Cropped 24h market statistics for BTC showing a 24h high of 65,555.00 and low of 64,256.80. Posted with 'Went EXACTLY there' to show price reached his 65.5k level; he adds that it looks good for higher.</t>
  </si>
  <si>
    <t xml:space="preserve">24h High 65,555.00
24h Low 64,256.80
24h Vol(BTC) 8.74K
24h Turnover(USDT) 566.11M</t>
  </si>
  <si>
    <t xml:space="preserve">Went EXACTLY there, looks good for higher in my opinion</t>
  </si>
  <si>
    <t xml:space="preserve">Symbol and exchange are cropped out; BTC is implied by 'Vol(BTC)' and the platform 'Yubit' is inferred from the identical stats layout in the earlier Yubit chart screenshot.</t>
  </si>
  <si>
    <t xml:space="preserve">260_2026-07-27_054000_Screenshot_20260727-055156.png</t>
  </si>
  <si>
    <t xml:space="preserve">https://discord.com/channels/1042855255089623100/1501271173588193290/1531128999038681261</t>
  </si>
  <si>
    <t xml:space="preserve">Cropped snippet of a closed-trade share card showing entry 565.46 and average close price 577.32. Posted as the BNB take-profit at 577.3.</t>
  </si>
  <si>
    <t xml:space="preserve">Entry Price 565.46
Average Close Price 577.32</t>
  </si>
  <si>
    <t xml:space="preserve">Symbol, side, leverage, ROI and exchange are cropped out; BNBUSDT long is taken from the posting message and the matching BNB entry/close levels. Platform unknown.</t>
  </si>
  <si>
    <t xml:space="preserve">Blofin share card for the BNBUSDT perp long at 75x, entered at 565.35 and closed at 576.08 for +142.34% ROI on 07-27 11:18:08. Posted right after the 'TPed on BNB @ 577.3' message as the Blofin-side close of the trade.</t>
  </si>
  <si>
    <t xml:space="preserve">BloFin
BNBUSDT Perp
Buy 75X
+142.34%
Entry Price 565.35
Close Price 576.08
Referral Code DwquXN
07-27 11:18:08</t>
  </si>
  <si>
    <t xml:space="preserve">07-27 11:18:08</t>
  </si>
  <si>
    <t xml:space="preserve">Bottom portion of an MEXC-style closed-position share card (Avg Entry Price / Avg Close Price / Date template) showing an XRP trade closed at $1.1081 from an average entry of $1.1069 on 2026-07-27 12:37:34. He closed XRP for a tiny profit because it was a slow mover and he had new trades to take, planning to re-long at 1.08.</t>
  </si>
  <si>
    <t xml:space="preserve">Avg Entry Price $1.1069
Avg Close Price $1.1081
Date 2026-07-27 12:37:34</t>
  </si>
  <si>
    <t xml:space="preserve">2026-07-27 12:37:34</t>
  </si>
  <si>
    <t xml:space="preserve">Card is cropped: no symbol, side, leverage or ROI visible. Symbol inferred from the message; platform inferred from the 'Avg Entry Price / Avg Close Price' template.</t>
  </si>
  <si>
    <t xml:space="preserve">Blofin share card for a closed ZECUSDT 75X short: entry 501.92, close 482.14, +295.56% ROI, card time 07-27 20:44:07. Posted without a message alongside a closed BTC short card, i.e. he closed both shorts at the same time.</t>
  </si>
  <si>
    <t xml:space="preserve">BloFin
ZECUSDT Perp
Sell 75X
+295.56%
Entry Price 501.92
Close Price 482.14
BLOFIN
Referral Code DwquXN
07-27 20:44:07</t>
  </si>
  <si>
    <t xml:space="preserve">07-27 20:44:07</t>
  </si>
  <si>
    <t xml:space="preserve">Blofin share card for a closed BTCUSDT 150X short: entry 65,213.3, close 64,551.1, +152.31% ROI, card time 07-27 20:44:11. Closed simultaneously with the ZEC short, posted without commentary.</t>
  </si>
  <si>
    <t xml:space="preserve">BloFin
BTCUSDT Perp
Sell 150X
+152.31%
Entry Price 65,213.3
Close Price 64,551.1
BLOFIN
Referral Code DwquXN
07-27 20:44:11</t>
  </si>
  <si>
    <t xml:space="preserve">07-27 20:44:11</t>
  </si>
  <si>
    <t xml:space="preserve">Blofin share card for an open SOLUSDT 125X long at +156.83% (entry 73.19, mark 74.10), card time 07-28 21:13:27. Posted with the instruction to move the stop loss to breakeven now that the trade is in profit.</t>
  </si>
  <si>
    <t xml:space="preserve">BloFin
SOLUSDT Perp
Buy 125X
+156.83%
Entry Price 73.19
Mark Price 74.10
BLOFIN
Referral Code DwquXN
07-28 21:13:27</t>
  </si>
  <si>
    <t xml:space="preserve">07-28 21:13:27</t>
  </si>
  <si>
    <t xml:space="preserve">Blofin share card for a BTCUSDT 150X long closed (70% partial) at 63,939.0 from entry 63,182.1, +179.69%, card time 07-28 22:05:11. He scaled out 70% at 64k and kept the rest targeting 65k, giving followers two management options.</t>
  </si>
  <si>
    <t xml:space="preserve">BloFin
BTCUSDT Perp
Buy 150X
+179.69%
Entry Price 63,182.1
Close Price 63,939.0
BLOFIN
Referral Code DwquXN
07-28 22:05:11</t>
  </si>
  <si>
    <t xml:space="preserve">07-28 22:05:11</t>
  </si>
  <si>
    <t xml:space="preserve">Cropped share card row showing entry 63,182.1 and mark price 64,652.4 for his remaining BTC long, posted as he exited the last part of the position (followers could hold to 64.9k). He also cancelled a pending BTC order given earlier.</t>
  </si>
  <si>
    <t xml:space="preserve">Entry Price 63,182.1
Mark Price 64,652.4</t>
  </si>
  <si>
    <t xml:space="preserve">Heavily cropped: symbol, side, leverage, ROI and timestamp not visible. Symbol from message; platform identified from the Blofin card typography and the matching entry price of image 267.</t>
  </si>
  <si>
    <t xml:space="preserve">Blofin share card for an open BTCUSDT 150X long at +180.10% (entry 63,812.5, mark 64,578.7), card time 07-30 14:39:48. Posted with the instruction to close 50% here; he describes the entry as a gamble that worked.</t>
  </si>
  <si>
    <t xml:space="preserve">BloFin
BTCUSDT Perp
Buy 150X
+180.10%
Entry Price 63,812.5
Mark Price 64,578.7
BLOFIN
Referral Code DwquXN
07-30 14:39:48</t>
  </si>
  <si>
    <t xml:space="preserve">07-30 14:39:48</t>
  </si>
  <si>
    <t xml:space="preserve">Blofin share card for the BTCUSDT 150X long fully closed at 64,800.0 from entry 63,812.5, +232.12%, card time 07-30 16:56:15. Final take-profit about 2h15m after the 50% partial; he had been targeting 65k.</t>
  </si>
  <si>
    <t xml:space="preserve">BloFin
BTCUSDT Perp
Buy 150X
+232.12%
Entry Price 63,812.5
Close Price 64,800.0
BLOFIN
Referral Code DwquXN
07-30 16:56:15</t>
  </si>
  <si>
    <t xml:space="preserve">07-30 16:56:15</t>
  </si>
  <si>
    <t xml:space="preserve">Yubit share card for a BTCUSDT short at +188.47%, dated 2026-07-31 10:15. Posted to confirm that the take-profit he had given on the BTC short was hit at 64.2k.</t>
  </si>
  <si>
    <t xml:space="preserve">YUBIT
2026-07-31 10:15
BTCUSDT | Short
+188.47%
Trade on YUBIT
Trade Crypto, Gold &amp; Stocks all on YUBIT</t>
  </si>
  <si>
    <t xml:space="preserve">2026-07-31 10:15</t>
  </si>
  <si>
    <t xml:space="preserve">Card shows no entry/close price or leverage; 'closed' status comes from the accompanying message rather than the card.</t>
  </si>
  <si>
    <t xml:space="preserve">Cropped share card for an ARKMUSDT 50X long at +67.07%. He scalped it for 0.5R from a 0.096 entry and suggested others move the stop to entry and target 0.1.</t>
  </si>
  <si>
    <t xml:space="preserve">ARKMUSDT Perp
Buy 50X
+67.07%</t>
  </si>
  <si>
    <t xml:space="preserve">Cropped: no prices, timestamp or exchange logo visible. Platform identified from the 'Perp / Buy 50X' Blofin card wording; status from the message.</t>
  </si>
  <si>
    <t xml:space="preserve">Blofin share card for a UNIUSDT 75X short at +267.66% (entry 4.240, mark 4.088), card time 08-01 11:31:52. Morning update: he booked profit on UNI here, with 3.99 as the full take-profit for followers.</t>
  </si>
  <si>
    <t xml:space="preserve">BloFin
UNIUSDT Perp
Sell 75X
+267.66%
Entry Price 4.240
Mark Price 4.088
BLOFIN
Referral Code DwquXN
08-01 11:31:52</t>
  </si>
  <si>
    <t xml:space="preserve">08-01 11:31:52</t>
  </si>
  <si>
    <t xml:space="preserve">Yubit share card for a BTCUSDT long at +219.96%, dated 2026-08-02 12:09, posted as he took 50% profit at 63.5k from a 62.5k entry. He frames the result in R-multiples depending on which stop (62k or 61.4k) followers used, and targets 64k for the remainder.</t>
  </si>
  <si>
    <t xml:space="preserve">YUBIT
2026-08-02 12:09
BTCUSDT | Long
+219.96%
Trade on YUBIT
Trade Crypto, Gold &amp; Stocks all on YUBIT</t>
  </si>
  <si>
    <t xml:space="preserve">2026-08-02 12:09</t>
  </si>
  <si>
    <t xml:space="preserve">Card shows no prices or leverage; the 62.5k entry and 63.5k partial exit are from the message only.</t>
  </si>
  <si>
    <t xml:space="preserve">Yubit share card for a ZECUSDT long at +168.99%, dated 2026-08-03 01:34, posted when he took profit on ZEC at 490.</t>
  </si>
  <si>
    <t xml:space="preserve">YUBIT
2026-08-03 01:34
ZECUSDT | Long
+168.99%
Trade on YUBIT
Trade Crypto, Gold &amp; Stocks all on YUBIT</t>
  </si>
  <si>
    <t xml:space="preserve">2026-08-03 01:34</t>
  </si>
  <si>
    <t xml:space="preserve">No entry/exit price or leverage on the card; closed status from the message.</t>
  </si>
  <si>
    <t xml:space="preserve">Yubit share card for an ETHUSDT long at +329.17%, dated 2026-08-03 02:43, posted to confirm the ETH take-profit was hit shortly after the ZEC one.</t>
  </si>
  <si>
    <t xml:space="preserve">YUBIT
2026-08-03 02:43
ETHUSDT | Long
+329.17%
Trade on YUBIT
Trade Crypto, Gold &amp; Stocks all on YUBIT</t>
  </si>
  <si>
    <t xml:space="preserve">2026-08-03 02:43</t>
  </si>
  <si>
    <t xml:space="preserve">Cropped MEXC-style share card for an open BTCUSDT 500X long at +516.91% (entry $62,512.3, fair price $63,220.0) with a small sparkline marking the buy. He took this long personally but did not call it in the channel because he expected price to reach 61.8k before bouncing.</t>
  </si>
  <si>
    <t xml:space="preserve">BTCUSDT Perpetual
Long | 500X
+516.91%
B
Entry Price $62,512.3
Fair Price $63,220.0</t>
  </si>
  <si>
    <t xml:space="preserve">Card is cropped (no exchange logo or timestamp); platform identified from the 'Fair Price' template.</t>
  </si>
  <si>
    <t xml:space="preserve">Yubit share card for a HYPEUSDT long at +109.69%, dated 2026-08-03 19:05, posted as he took profit at 53.5 on a slow-moving trade while keeping 54-55 as the larger target for followers.</t>
  </si>
  <si>
    <t xml:space="preserve">YUBIT
2026-08-03 19:05
HYPEUSDT | Long
+109.69%
Trade on YUBIT
Trade Crypto, Gold &amp; Stocks all on YUBIT</t>
  </si>
  <si>
    <t xml:space="preserve">2026-08-03 19:05</t>
  </si>
  <si>
    <t xml:space="preserve">Yubit share card for a ZECUSDT long at +91.49%, dated 2026-08-03 19:06. ZEC missed his take-profit by $1, so he moved the stop loss to entry rather than closing.</t>
  </si>
  <si>
    <t xml:space="preserve">YUBIT
2026-08-03 19:06
ZECUSDT | Long
+91.49%
Trade on YUBIT
Trade Crypto, Gold &amp; Stocks all on YUBIT</t>
  </si>
  <si>
    <t xml:space="preserve">2026-08-03 19:06</t>
  </si>
  <si>
    <t xml:space="preserve">No entry/exit price or leverage on the card; open status from the message.</t>
  </si>
  <si>
    <t xml:space="preserve">Yubit share card for an open SPCXUSDT long at +89.38% (entry 107.82, last price 112.01), dated 2026-08-03 19:45. Shared in a recap boasting about the number of take-profits in less than a week of August.</t>
  </si>
  <si>
    <t xml:space="preserve">YUBIT
2026-08-03 19:45
SPCXUSDT | Long
+89.38%
Entry Price 107.82
Last Price 112.01
Trade on YUBIT
Trade Crypto, Gold &amp; Stocks all on YUBIT</t>
  </si>
  <si>
    <t xml:space="preserve">2026-08-03 19:45</t>
  </si>
  <si>
    <t xml:space="preserve">Re-share of the ZECUSDT long card (+91.49%, 2026-08-03 19:06) from image 279, posted as part of the recap counting the week's take-profits.</t>
  </si>
  <si>
    <t xml:space="preserve">Duplicate of 279_2026-08-03_170652_1785765993579.png; no prices or leverage on the card.</t>
  </si>
  <si>
    <t xml:space="preserve">Re-share of the HYPEUSDT long card (+109.69%, 2026-08-03 19:05) from image 278, posted as part of the recap counting the week's take-profits.</t>
  </si>
  <si>
    <t xml:space="preserve">Duplicate of 278_2026-08-03_170615_1785765919699.png; no prices or leverage on the card.</t>
  </si>
  <si>
    <t xml:space="preserve">Yubit share card for an ETHUSDT long showing +329.17% ROI, dated 2026-08-03 02:43. Posted together with ZEC and BTC long cards as a recap of take-profits hit in the first week of August ('Haven't even been a week and start counting the TPs').</t>
  </si>
  <si>
    <t xml:space="preserve">YUBIT 2026-08-03 02:43
ETHUSDT | Long
+329.17%
Trade on YUBIT
Trade Crypto, Gold &amp; Stocks all on YUBIT</t>
  </si>
  <si>
    <t xml:space="preserve">No entry/exit price, leverage or close/mark label on this card, so open/closed status cannot be determined from the image.</t>
  </si>
  <si>
    <t xml:space="preserve">Yubit share card for a ZECUSDT long showing +168.99% ROI, dated 2026-08-03 01:34. Part of the early-August TP recap post (ETH, ZEC, BTC longs).</t>
  </si>
  <si>
    <t xml:space="preserve">YUBIT 2026-08-03 01:34
ZECUSDT | Long
+168.99%
Trade on YUBIT
Trade Crypto, Gold &amp; Stocks all on YUBIT</t>
  </si>
  <si>
    <t xml:space="preserve">Yubit share card for a BTCUSDT long showing +255.75% ROI, dated 2026-08-02 12:07. Part of the early-August TP recap post (ETH, ZEC, BTC longs).</t>
  </si>
  <si>
    <t xml:space="preserve">YUBIT 2026-08-02 12:07
BTCUSDT | Long
+255.75%
Trade on YUBIT
Trade Crypto, Gold &amp; Stocks all on YUBIT</t>
  </si>
  <si>
    <t xml:space="preserve">2026-08-02 12:07</t>
  </si>
  <si>
    <t xml:space="preserve">Yubit share card for a SPCXUSDT long: entry 107.83, exit 115.00, +153.02% ROI, dated 2026-08-04 01:50. Posted as the TP taken on his SPCX call from X ('If anyone took my SPCX call from my X I have taken TP here').</t>
  </si>
  <si>
    <t xml:space="preserve">YUBIT 2026-08-04 01:50
SPCXUSDT | Long
+153.02%
Entry Price 107.83
Exit Price 115.00
Trade on YUBIT
Trade Crypto, Gold &amp; Stocks all on YUBIT</t>
  </si>
  <si>
    <t xml:space="preserve">2026-08-04 01:50</t>
  </si>
  <si>
    <t xml:space="preserve">Yubit share card of the still-open SPCXUSDT long: entry 107.82, last price 121.91, +300.55% ROI, dated 2026-08-04 21:22. Posted with 'SPCX up 15% from the X call! Excited for the earnings I just hope they don't kick me out at BE' - he is holding the remainder into earnings with stop at break-even.</t>
  </si>
  <si>
    <t xml:space="preserve">YUBIT 2026-08-04 21:22
SPCXUSDT | Long
+300.55%
Entry Price 107.82
Last Price 121.91
Trade on YUBIT
Trade Crypto, Gold &amp; Stocks all on YUBIT</t>
  </si>
  <si>
    <t xml:space="preserve">2026-08-04 21:22</t>
  </si>
  <si>
    <t xml:space="preserve">Yubit share card of the SPCXUSDT long at +402.08% ROI: entry 107.82, last price 126.67, dated 2026-08-05 00:17. Posted with 'Took more 20% after a 20% pump' - partial profit taking while still holding the position.</t>
  </si>
  <si>
    <t xml:space="preserve">YUBIT 2026-08-05 00:17
SPCXUSDT | Long
+402.08%
Entry Price 107.82
Last Price 126.67
Trade on YUBIT
Trade Crypto, Gold &amp; Stocks all on YUBIT</t>
  </si>
  <si>
    <t xml:space="preserve">2026-08-05 00:17</t>
  </si>
  <si>
    <t xml:space="preserve">Yubit share card for an ETHUSDT long at +114.52% ROI, dated 2026-08-05 17:31. Posted with 'I have closed ETH in small profits @ 1882, move SL to entry and TP @ 1892 if you want to hold' - he books a small profit and tells followers to trail SL to entry with a TP at 1892.</t>
  </si>
  <si>
    <t xml:space="preserve">YUBIT 2026-08-05 17:31
ETHUSDT | Long
+114.52%
Trade on YUBIT
Trade Crypto, Gold &amp; Stocks all on YUBIT</t>
  </si>
  <si>
    <t xml:space="preserve">2026-08-05 17:31</t>
  </si>
  <si>
    <t xml:space="preserve">No entry/exit price, leverage or close/mark label on this card; the 1882 close and 1892 TP come only from the message, not the image.</t>
  </si>
  <si>
    <t xml:space="preserve">Cropped unbranded (MEXC-style) share card for a BTCUSDT perpetual long at 500x showing +501.92% ROI, with a sparkline marked 'B' at the entry. Posted with 'BTC target hit as well @64.5 some of you longed with ETH' - the BTC long target at ~64.5k was reached.</t>
  </si>
  <si>
    <t xml:space="preserve">BTCUSDT Perpetual
Long | 500X
+501.92%</t>
  </si>
  <si>
    <t xml:space="preserve">Card is cropped: no entry/close/fair price, date or branding visible; platform inferred from the MEXC card style. Status cannot be determined from the image (header says 'Long' rather than 'Close Long').</t>
  </si>
  <si>
    <t xml:space="preserve">16:04:08</t>
  </si>
  <si>
    <t xml:space="preserve">EMA-200: 478.00; a second indicator value ending in '.51' cut off at the left edge (likely another EMA/MA)</t>
  </si>
  <si>
    <t xml:space="preserve">green dashed horizontal line with green price label 495.00 (order/TP line per the message: 'missed TP by 0.5$'); candle high marker labeled 494.48 on the wick of a green candle; price scale label 495.68 just above the 495.00 line</t>
  </si>
  <si>
    <t xml:space="preserve">Tiny crop of a mobile exchange chart (1D timeframe selected) showing the top of a candle whose high printed 494.48, just under a green dashed line at 495.00. Illustrates that the ZEC long missed its TP at 495 by ~0.5 before reversing; EMA-200 sits at 478.00.</t>
  </si>
  <si>
    <t xml:space="preserve">Very small cropped chart screenshot (taken 2026-08-04 00:17 per filename) of a daily chart with EMA-200 at 478.00, a candle high of 494.48 and a green dashed line at 495.00. Posted with 'ZEC missed TP by 0.5$ cents, hit BE and hit both TPs' - shows how close price came to his 495 take-profit before it reversed and stopped at break-even.</t>
  </si>
  <si>
    <t xml:space="preserve">1D  More
EMA-200: 478.00
495.68
494.48
495.00</t>
  </si>
  <si>
    <t xml:space="preserve">ZEC missed TP by 0.5$ cents, hit BE and hit both TPs</t>
  </si>
  <si>
    <t xml:space="preserve">Symbol is not visible on the image (ZEC taken from the message context). Platform unknown (mobile exchange app chart, Binance/Yubit-like header). A partial indicator value '.51' at the left edge is cut off. Whether the 495.00 dashed line is a TP order line or a price line is inferred from the message.</t>
  </si>
  <si>
    <t xml:space="preserve">291_2026-08-05_160408_Screenshot_20260804-001735.png</t>
  </si>
  <si>
    <t xml:space="preserve">https://discord.com/channels/1042855255089623100/1501271173588193290/1534547559215923331</t>
  </si>
  <si>
    <t xml:space="preserve">16:05:17</t>
  </si>
  <si>
    <t xml:space="preserve">Binance app market ticker header for BNB/USDT: last price 599.41 (~Rs166,396.21, +1.28%), 24h high 605.50, 24h low 588.70, 24h volume 118,699.57 BNB / 70.87M USDT. Posted with 'Likewise closed BNB too soon, never hit SL and went TP' - used as evidence that the BNB trade would have reached its TP (24h high 605.50) after he exited early. Fiat shown in INR (Rs).</t>
  </si>
  <si>
    <t xml:space="preserve">599.41
Rs166,396.21  +1.28%
Layer 1 / Layer 2 | Vol | Price Protection &gt;
24h High 605.50
24h Low 588.70
24h Vol(BNB) 118,699.57
24h Vol(USDT) 70.87M</t>
  </si>
  <si>
    <t xml:space="preserve">Likewise closed BNB too soon, never hit SL and hit went TP 
Not to worry we still got 9 TPs and it hasn't even 9 days but some hard luck</t>
  </si>
  <si>
    <t xml:space="preserve">Pair name is not printed; BNB/USDT inferred from the 24h Vol(BNB)/Vol(USDT) labels. No trade data in the image.</t>
  </si>
  <si>
    <t xml:space="preserve">292_2026-08-05_160517_Screenshot_20260805-180310.png</t>
  </si>
  <si>
    <t xml:space="preserve">https://discord.com/channels/1042855255089623100/1501271173588193290/1534547846572015678</t>
  </si>
  <si>
    <t xml:space="preserve">Yubit share card for an ETHUSDT long: entry 1,871.53, last price 1,890.27, +200.26% ROI, dated 2026-08-05 21:22. Posted with 'Closing ETH here' - he exits the ETH long near 1,890, close to the 1892 TP he mentioned earlier.</t>
  </si>
  <si>
    <t xml:space="preserve">YUBIT 2026-08-05 21:22
ETHUSDT | Long
+200.26%
Entry Price 1,871.53
Last Price 1,890.27
Trade on YUBIT
Trade Crypto, Gold &amp; Stocks all on YUBIT</t>
  </si>
  <si>
    <t xml:space="preserve">2026-08-05 21:22</t>
  </si>
  <si>
    <t xml:space="preserve">Yubit share card for an open BTCUSDT short: entry 64,823.00, last price 64,774.60, +14.93% ROI, dated 2026-08-06 14:26. Posted with 'still in ETH, went nearly 1R didn't book, I also shorted BTC last night with ETH. SL can be 66k, will keep some for DCA' - early in a BTC short, planning a 66k stop and DCA.</t>
  </si>
  <si>
    <t xml:space="preserve">YUBIT 2026-08-06 14:26
BTCUSDT | Short
+14.93%
Entry Price 64,823.00
Last Price 64,774.60
Trade on YUBIT
Trade Crypto, Gold &amp; Stocks all on YUBIT</t>
  </si>
  <si>
    <t xml:space="preserve">2026-08-06 14:26</t>
  </si>
  <si>
    <t xml:space="preserve">MEXC achievement share card ('7-Win Streak', 'Title Unlocked: Chart Whisperer') showing a closed ETHUSDT perpetual short at 300x with +235.10% ROI and a mini chart marked S (sell) then B (buy). Posted with 'Closed ETH @ 1892, 1R done. You can keep 50% and let it run to 1885' - he booked the ETH short at ~1892 for 1R and suggests holding half toward 1885.</t>
  </si>
  <si>
    <t xml:space="preserve">7-Win Streak
Title Unlocked
Chart Whisperer
Closed PNL
ETHUSDT Perpetual  Short | 300X
+235.10%</t>
  </si>
  <si>
    <t xml:space="preserve">Card is cropped: no entry/close prices or date shown. Platform identified from the MEXC logo on the figure's jacket and the MEXC card style.</t>
  </si>
  <si>
    <t xml:space="preserve">Screenshot of his own earlier Discord message (author/time cropped) about the BTC short: BTC 'doesn't want to go down', suggests exiting in small profit and re-entering around 65.3-65.8k while he keeps holding, expecting 65.6-66k before a move down. Re-posted on 2026-08-07 with 'If anyone entered from 65.3k you sniped! SL to entry it book 50%' to show the re-entry zone played out.</t>
  </si>
  <si>
    <t xml:space="preserve">BTC doesn't want to go down, you can exit in small profits and enter around 65.3-65.8k
I'm holding still but I think this goes 65.6-66k before coming down
[reactions: heart 11, face-with-rolling-eyes 1]</t>
  </si>
  <si>
    <t xml:space="preserve">Author name and message time are not visible in the crop.</t>
  </si>
  <si>
    <t xml:space="preserve">Cropped MEXC-style share card for a closed ETHUSDT perpetual short at 300x: avg entry $1,922.78, avg close $1,907.31, +241.45% ROI. Posted with 'Closed ETH finally' - final exit of the ETH short he had been holding since early August.</t>
  </si>
  <si>
    <t xml:space="preserve">ETHUSDT Perpetual
Close Short | 300X
+241.45%
Avg Entry Price $1,922.78
Avg Close Price $1,907.31</t>
  </si>
  <si>
    <t xml:space="preserve">Card is cropped: no date, branding or mini chart visible; platform inferred from the MEXC card template.</t>
  </si>
  <si>
    <t xml:space="preserve">Blofin share card for a BTCUSDT perp short (Sell 150X): entry 65,024.1, close 64,504.5, +119.86% ROI, timestamp 08-10 18:57:29. Posted with 'Target reached that I mentioned earlier 75% closed here, 25% leaving for 64k' - he took 75% off at his target (~64.5k) and keeps 25% for 64k.</t>
  </si>
  <si>
    <t xml:space="preserve">BloFin
BTCUSDT Perp
Sell 150X
+119.86%
Entry Price 65,024.1
Close Price 64,504.5
Referral Code DwquXN
08-10 18:57:29</t>
  </si>
  <si>
    <t xml:space="preserve">08-10 18:57:29</t>
  </si>
  <si>
    <t xml:space="preserve">Yubit share card for a closed GRTUSDT short: entry 0.01457, exit 0.01443, +48.04% ROI, dated 2026-08-10 20:02. Posted with 'TP taken for a 0.7R, 1R with soft SL' - a modest take-profit on a GRT short.</t>
  </si>
  <si>
    <t xml:space="preserve">YUBIT 2026-08-10 20:02
GRTUSDT | Short
+48.04%
Entry Price 0.01457
Exit Price 0.01443
Trade on YUBIT
Trade Crypto, Gold &amp; Stocks all on YUBIT</t>
  </si>
  <si>
    <t xml:space="preserve">2026-08-10 20:02</t>
  </si>
  <si>
    <t xml:space="preserve">Yubit share card for a closed ETHUSDT long: entry 1,872.74, exit 1,890.16, +186.03% ROI, dated 2026-08-11 16:04. Posted with 'ETH TP hit' - another ETH long from the ~1,872 area taken at ~1,890, the same zone as his earlier ETH long exits.</t>
  </si>
  <si>
    <t xml:space="preserve">YUBIT 2026-08-11 16:04
ETHUSDT | Long
+186.03%
Entry Price 1,872.74
Exit Price 1,890.16
Trade on YUBIT
Trade Crypto, Gold &amp; Stocks all on YUBIT</t>
  </si>
  <si>
    <t xml:space="preserve">2026-08-11 16:04</t>
  </si>
  <si>
    <t xml:space="preserve">Cropped MEXC-style share card for a closed SOLUSDT perpetual short at 100x: avg entry $77.23, avg close $75.23, +262.87% ROI, with a declining mini price line. Posted as an X link - a SOL short winner shared from his X account.</t>
  </si>
  <si>
    <t xml:space="preserve">SOLUSDT Perpetual
Short | 100X
+262.87%
Avg Entry Price $77.23
Avg Close Price $75.23</t>
  </si>
  <si>
    <t xml:space="preserve">Card is cropped: no date or branding visible; platform inferred from the MEXC card template.</t>
  </si>
  <si>
    <t xml:space="preserve">Cropped spot share card showing a BTC holding at +0% with an average buy price of $63,500, decorated with a 3D candlestick graphic. Posted with his note that he believes the bottom is near or before Oct-Nov and has started a public spot accumulation plan on X (NFA) - this is the first accumulation buy at $63,500.</t>
  </si>
  <si>
    <t xml:space="preserve">BTC
+0%
Avg. Buy Price $63,500</t>
  </si>
  <si>
    <t xml:space="preserve">Card is cropped with no branding or date; platform inferred from the MEXC spot share-card style. Amount bought is not shown.</t>
  </si>
  <si>
    <t xml:space="preserve">Yubit share card for an open BTCUSDT long showing +91.10% ROI, posted while he reported the DCA entry (~63.8k) had filled and he was targeting 64.5-64.6k (possible 65k), planning to exit on rejection and noting people could exit before CPI.</t>
  </si>
  <si>
    <t xml:space="preserve">YUBIT 2026-08-12 17:12
BTCUSDT | Long
+91.10%
Trade on YUBIT
Trade Crypto, Gold &amp; Stocks all on YUBIT</t>
  </si>
  <si>
    <t xml:space="preserve">2026-08-12 17:12</t>
  </si>
  <si>
    <t xml:space="preserve">Entry and exit prices are not printed on the card; status 'open' comes from the accompanying message, not from the card itself.</t>
  </si>
  <si>
    <t xml:space="preserve">Yubit closed-trade share card (trophy graphic) for a HYPEUSDT short: entry 58.35, exit 56.503, +158.26% ROI. Posted as a take-profit hit on HYPE.</t>
  </si>
  <si>
    <t xml:space="preserve">YUBIT 2026-08-14 13:39
HYPEUSDT | Short
+158.26%
Entry Price 58.35
Exit Price 56.503
Trade on YUBIT
Trade Crypto, Gold &amp; Stocks all on YUBIT</t>
  </si>
  <si>
    <t xml:space="preserve">2026-08-14 13:39</t>
  </si>
  <si>
    <t xml:space="preserve">Yubit share card for a ZECUSDT long at +103.90% ROI, posted as 'ZEC TP hit'.</t>
  </si>
  <si>
    <t xml:space="preserve">YUBIT 2026-08-15 06:39
ZECUSDT | Long
+103.90%
Trade on YUBIT
Trade Crypto, Gold &amp; Stocks all on YUBIT</t>
  </si>
  <si>
    <t xml:space="preserve">2026-08-15 06:39</t>
  </si>
  <si>
    <t xml:space="preserve">No entry/exit prices on the card; 'closed' status is taken from the accompanying message (TP hit).</t>
  </si>
  <si>
    <t xml:space="preserve">EMA-20: 490.02 (yellow); EMA-50: 490.59 (green); EMA-200: 490.07 (magenta); Volume (VOL: 106.421, MA-5: 264.637, MA-10: 237.315)</t>
  </si>
  <si>
    <t xml:space="preserve">'S' sell marker with horizontal tick at the chart high 498.44 (his exit); chart low label 486.05 at bottom-left; current price tag 491.45 with candle countdown 08:23; price axis labels 499.14 / 495.87 / 492.61 / 489.34 / 486.08; time axis 03:30 / 07:45 / 12:00 / 16:15 / 20:30; no user-drawn lines or zones</t>
  </si>
  <si>
    <t xml:space="preserve">ZEC perp 15m: price rallied into 498.44 where his long was sold (S marker), then sold off below the 20/50/200 EMA cluster (~490) to about 486, and has just bounced back above the EMAs with a strong green candle to 491.45. He reads this as the same long setup (EMA reclaim/bounce) forming again for a 'round 2' he is not taking.</t>
  </si>
  <si>
    <t xml:space="preserve">Yubit mobile 15m chart of ZECUSDT Perp after his ZEC long exit: the sell marker at 498.44 shows he sold at the top of the move, price then dipped to ~486 and is bouncing back over the EMA-20/50/200 cluster near 490. He posted it to point out the exit and that the same setup looks valid again (a 'round 2' he is not taking).</t>
  </si>
  <si>
    <t xml:space="preserve">ZECUSDT Perp
Last Price 491.45
≈$491.45 +0.78%
Mark Price 491.45
24h High 498.44
24h Low 480.50
24h Vol(ZEC) 29.45K
24h Turnover(USDT) 14.43M
15m 1H 4H 1D More
EMA-20: 490.02 EMA-50: 490.59 EMA-200: 490.07
S 498.44
486.05
491.45 08:23
03:30 07:45 12:00 16:15 20:30
VOL: 106.421 MA-5: 264.637 MA-10: 237.315
MA BOLL EMA VOL MACD KDJ RSI WR
Today -0.34% 7 Day -1.66% 30 Days -10.11% 90 Days -4.58% 180 Days 66.42% 1 Year 263.61%
Order Book Depth Trades Futures
Long Short Alert</t>
  </si>
  <si>
    <t xml:space="preserve">The time axis shows times only (no date); '08:23' next to the price is the candle-close countdown, not a timestamp.</t>
  </si>
  <si>
    <t xml:space="preserve">17:49:18</t>
  </si>
  <si>
    <t xml:space="preserve">tweet_screenshot</t>
  </si>
  <si>
    <t xml:space="preserve">X/Twitter</t>
  </si>
  <si>
    <t xml:space="preserve">Screenshot of his own tweet (Tehfeez @Paladinccore) from 2 Aug 2026 predicting BTC would chop in a 62-65k range for most of August with a small chance of 67-70k in the second half of August / early September. Reposted in Discord on 15 Aug with no comment, apparently to show the range call playing out.</t>
  </si>
  <si>
    <t xml:space="preserve">Tehfeez @Paladinccore
August, chop shop.
Will be spending first half to majority of August between 62-65k range.
Small chances we will be around 67-70k by 2nd half of August to early September.
Not a financial advise but a prediction.
1:44 AM · 02 Aug 26 · 1K Views
2 reposts · 20 likes · 1 bookmark</t>
  </si>
  <si>
    <t xml:space="preserve">1:44 AM · 02 Aug 26</t>
  </si>
  <si>
    <t xml:space="preserve">307_2026-08-15_174918_Screenshot_20260815-194113.png</t>
  </si>
  <si>
    <t xml:space="preserve">https://discord.com/channels/1042855255089623100/1501271173588193290/1538197902764281976</t>
  </si>
  <si>
    <t xml:space="preserve">Yubit share card for a SOLUSDT long at +123.88% ROI, posted as he closed the DCA'd SOL long around 75.6 'for now' after it moved into profit.</t>
  </si>
  <si>
    <t xml:space="preserve">YUBIT 2026-08-17 15:34
SOLUSDT | Long
+123.88%
Trade on YUBIT
Trade Crypto, Gold &amp; Stocks all on YUBIT</t>
  </si>
  <si>
    <t xml:space="preserve">2026-08-17 15:34</t>
  </si>
  <si>
    <t xml:space="preserve">No entry/exit prices on the card; closed status and the ~75.6 exit come from the accompanying message.</t>
  </si>
  <si>
    <t xml:space="preserve">Yubit closed-trade card for a BTCUSDT long: entry 63,797.10, exit 64,144.90, +109.01% ROI; this appears to be the close of the ~63.8k DCA long from 12 Aug.</t>
  </si>
  <si>
    <t xml:space="preserve">YUBIT 2026-08-17 20:49
BTCUSDT | Long
+109.01%
Entry Price 63,797.10
Exit Price 64,144.90
Trade on YUBIT
Trade Crypto, Gold &amp; Stocks all on YUBIT</t>
  </si>
  <si>
    <t xml:space="preserve">2026-08-17 20:49</t>
  </si>
  <si>
    <t xml:space="preserve">Yubit closed-trade card for a WLDUSDT short scalp: entry 0.3552, exit 0.3493, +83.05% ROI, closed for profit as he said he was only scalping it.</t>
  </si>
  <si>
    <t xml:space="preserve">YUBIT 2026-08-18 00:51
WLDUSDT | Short
+83.05%
Entry Price 0.3552
Exit Price 0.3493
Trade on YUBIT
Trade Crypto, Gold &amp; Stocks all on YUBIT</t>
  </si>
  <si>
    <t xml:space="preserve">2026-08-18 00:51</t>
  </si>
  <si>
    <t xml:space="preserve">2026-08-18</t>
  </si>
  <si>
    <t xml:space="preserve">17:50:14</t>
  </si>
  <si>
    <t xml:space="preserve">EMA-20: 63,801.2 (yellow); EMA-50: 63,723.1 (green); EMA-200: 63,979.0 (magenta); Volume (VOL: 1.75K, MA-5: 1.70K, MA-10: 2.30K)</t>
  </si>
  <si>
    <t xml:space="preserve">chart high label 64,729.3 on the latest candle (equals 24h High 64,729.30); chart low label 62,485.7 on the 8-14/8-15 swing low; current price tag 64,719.5 with candle countdown 01:34:38; price axis labels 64,856.5 / 64,265.3 / 63,674.0 / 63,082.8 / 62,491.5; time axis 8-14 01:00 / 8-15 13:00 / 8-17 01:00 / 8-18 13:00 / 8-20 01:00; no user-drawn lines or zones; the EMA-200 (~63,979) acts as the level being retested</t>
  </si>
  <si>
    <t xml:space="preserve">BTC perp 4H: after basing around 62.5-63k, a strong impulse candle broke above the 4H EMA-200 (~63,979); price pulled back onto the EMA-200 and bounced, and is now pushing to a new local high at 64,729.3. He posted it as an educational example: once EMA 200 is reclaimed it is hard to break back down and you can expect at least two bounces from it on any timeframe.</t>
  </si>
  <si>
    <t xml:space="preserve">Yubit mobile 4H chart of BTCUSDT (200x perp) at 64,719.50 showing the break above, retest of and bounce from the 4H EMA-200 (~63,979). Posted as an educational note on how a reclaimed EMA 200 tends to hold and produce at least two bounces on any timeframe.</t>
  </si>
  <si>
    <t xml:space="preserve">BTCUSDT 200x Perp
Last Price 64,719.50
≈$64,719.5 +0.86%
Mark Price 64,711.50
24h High 64,729.30
24h Low 63,560.60
24h Vol(BTC) 14.06K
24h Turnover(USDT) 902.80M
15m 1H 4H 1D More
EMA-20: 63,801.2 EMA-50: 63,723.1 EMA-200: 63,979.0
64,729.3
64,719.5 01:34:38
62,485.7
8-14 01:00 8-15 13:00 8-17 01:00 8-18 13:00 8-20 01:00
VOL: 1.75K MA-5: 1.70K MA-10: 2.30K
MA BOLL EMA VOL MACD KDJ RSI WR
Today 0.33% 7 Day 1.14% 30 Days 0.48% 90 Days -16.31% 180 Days -1.9% 1 Year -43.93%</t>
  </si>
  <si>
    <t xml:space="preserve">From an educational point of view this is how EMA 200 acts, if it's reclaims, it's very hard to breakdown, you can expect at least 2 bounce from EMA 200 on any time frame</t>
  </si>
  <si>
    <t xml:space="preserve">Time axis shows month-day and hour only (no year); '01:34:38' is the candle-close countdown.</t>
  </si>
  <si>
    <t xml:space="preserve">311_2026-08-18_175014_Screenshot_20260818-192521.png</t>
  </si>
  <si>
    <t xml:space="preserve">https://discord.com/channels/1042855255089623100/1501271173588193290/1539285303523545188</t>
  </si>
  <si>
    <t xml:space="preserve">Twitter embed image of an unbranded spot PnL card showing his BTC holding up +9.43%, shared to show that his public BTC accumulation (bought around 63k) was ~10% up right after the pump.</t>
  </si>
  <si>
    <t xml:space="preserve">BTC
+9.43%</t>
  </si>
  <si>
    <t xml:space="preserve">Card is cropped/embedded: no platform branding, no buy price, no date visible. Side 'long' reflects a spot holding rather than a labeled futures position.</t>
  </si>
  <si>
    <t xml:space="preserve">18:56:39</t>
  </si>
  <si>
    <t xml:space="preserve">Cropped screenshot of the same 2 Aug 2026 tweet (62-65k August chop range, small chance of 67-70k later), reposted on 19 Aug after three stop-losses to argue that his August call was accurate and that this was why he 'bought big at 63k' while others called August bearish.</t>
  </si>
  <si>
    <t xml:space="preserve">Tehfeez @Paladinccore
August, chop shop.
Will be spending first half to majority of August between 62-65k range.
Small chances we will be around 67-70k by 2nd half of August to early September.
Not a financial advise but a prediction.</t>
  </si>
  <si>
    <t xml:space="preserve">I know we had SLs and it must be hurting rn but we win alot, 3 SLs after a whole month of almost winning we will win again and alot, I promise.
Meanwhile look HOW ACCURATE THIS WAS, everyone else said August is bearish, not me, that's why I bought big at 63k</t>
  </si>
  <si>
    <t xml:space="preserve">Tweet timestamp and engagement counts are cropped out (visible in image 307).</t>
  </si>
  <si>
    <t xml:space="preserve">313_2026-08-19_185639_Screenshot_20260819-204740.png</t>
  </si>
  <si>
    <t xml:space="preserve">https://discord.com/channels/1042855255089623100/1501271173588193290/1539664403241238568</t>
  </si>
  <si>
    <t xml:space="preserve">Unbranded spot PnL card showing his HYPE holding at +27.77% with an average buy price of $56.23; posted to say HYPE/SOL longs he had been recommending for a month were up ~30% and that he plans to take profit around a new ATH.</t>
  </si>
  <si>
    <t xml:space="preserve">HYPE
+27.77%
Avg. Buy Price $56.23</t>
  </si>
  <si>
    <t xml:space="preserve">No platform branding or date on the card; it was cropped/edited in Picsart.</t>
  </si>
  <si>
    <t xml:space="preserve">BloFin closed-position share card for a 150x BTCUSDT long scalp: entry 69,111.2, close 69,907.6, +172.83% ROI, closed 08-20 12:12:59. He called it a snipe entry for anyone who entered from 68.9k.</t>
  </si>
  <si>
    <t xml:space="preserve">BloFin
BTCUSDT Perp
Buy 150X
+172.83%
Entry Price 69,111.2
Close Price 69,907.6
Referral Code DwquXN
08-20 12:12:59</t>
  </si>
  <si>
    <t xml:space="preserve">08-20 12:12:59</t>
  </si>
  <si>
    <t xml:space="preserve">Cropped share-card fragment showing the averaged entry ($69,220.4) and close ($70,999.5) of his 'extended TP' BTC long, closed around 71k shortly after the 150x scalp.</t>
  </si>
  <si>
    <t xml:space="preserve">Avg Entry Price $69,220.4
Avg Close Price $70,999.5</t>
  </si>
  <si>
    <t xml:space="preserve">Only the two price lines are visible: pair, side, leverage, ROI and date are cropped out. Symbol/side taken from the accompanying message; platform 'MEXC' assigned from the Avg Entry/Avg Close template style, branding not visible.</t>
  </si>
  <si>
    <t xml:space="preserve">AVAXUSDT, BTCUSDT, ETHUSDT, HYPEUSDT, LINKUSDT, SOLUSDT, SUIUSDT</t>
  </si>
  <si>
    <t xml:space="preserve">Donut chart of his spot portfolio allocation 'for the bull run' (accumulated over the last 6 months per his message): BTC 29.27%, HYPE 22.89%, ETH 20.82%, SOL 13.64%, LINK 7.33%, AVAX 3.84%, SUI 2.21%. No dollar values shown.</t>
  </si>
  <si>
    <t xml:space="preserve">BTC 29.27%
HYPE 22.89%
ETH 20.82%
SOL 13.64%
LINK 7.33%
AVAX 3.84%
SUI 2.21%</t>
  </si>
  <si>
    <t xml:space="preserve">Portfolio app is not identifiable (unbranded, light-theme allocation widget); no USD values or prices shown. Trade entries represent spot holdings, not futures positions.</t>
  </si>
  <si>
    <t xml:space="preserve">04:47:22</t>
  </si>
  <si>
    <t xml:space="preserve">Screenshot of his tweet '73k-75k $BTC' (with a White Rabbit / pocket-watch image, implying 'it's time') posted at 1:21 PM on 20 Aug 2026; the X cashtag widget shows BTC at $74,631.00 (+7.73%) with a rising sparkline at the time of the screenshot. Shared to show the 73-75k call was made when BTC was 69k and had since reached 75k.</t>
  </si>
  <si>
    <t xml:space="preserve">73k-75k $BTC
[image: white rabbit holding a pocket watch]
Bitcoin
BTC $74,631.00 +7.73%
1:21 PM · 20 Aug 26 · 652 Views
1 comment · 11 likes</t>
  </si>
  <si>
    <t xml:space="preserve">Check time when I posted this when BTC was 69k, rn it's 75k
@Paladin Notify</t>
  </si>
  <si>
    <t xml:space="preserve">1:21 PM · 20 Aug 26</t>
  </si>
  <si>
    <t xml:space="preserve">Author name/handle is cropped out of the screenshot (attributed to him via the message). The $74,631.00 price is the live widget value at screenshot time, not the price when the tweet was posted.</t>
  </si>
  <si>
    <t xml:space="preserve">318_2026-08-21_044722_Screenshot_20260821-064543.png</t>
  </si>
  <si>
    <t xml:space="preserve">https://discord.com/channels/1042855255089623100/1501271173588193290/1540175451157176320</t>
  </si>
  <si>
    <t xml:space="preserve">Twitter embed image of an unbranded spot PnL card showing his BTC holding up +20.95%, posted as proof that the BTC buy he called at ~63k two days earlier was up about 20%.</t>
  </si>
  <si>
    <t xml:space="preserve">BTC
+20.95%</t>
  </si>
  <si>
    <t xml:space="preserve">Card is cropped/embedded: no platform branding, buy price or date visible. Side 'long' reflects a spot holding.</t>
  </si>
  <si>
    <t xml:space="preserve">13:32:36</t>
  </si>
  <si>
    <t xml:space="preserve">Screenshot of his tweet (6:53 AM, 21 Aug 2026) calling for 77-80k on BTC after a daily close above the daily EMA 200, with a feeling it could be sent to almost 80k over the weekend; the X widget shows BTC at $77,722.00 (+8.17%). Posted in Discord saying the market was speed-running his predictions (mentioned at 73k, 80k next) and that BTC/HYPE were up 30-50% with SUI, AVAX, LINK, SOL moving too.</t>
  </si>
  <si>
    <t xml:space="preserve">Tehfeez @Paladinccore
Daily close above daily ema 200 on $BTC , next possibility is between 77-80k
I have a feeling they might just send it to almost 80k on the weekend!
Bitcoin
BTC $77,722.00 +8.17%
6:53 AM · 21 Aug 26 · 1.6K Views</t>
  </si>
  <si>
    <t xml:space="preserve">Well guys they are speed running my predictions, mentioned at 73k, 80k is next!
Up 30-50% on BTC and HYPE
SUI, AVAX, LINK, SOL moving as well!</t>
  </si>
  <si>
    <t xml:space="preserve">6:53 AM · 21 Aug 26</t>
  </si>
  <si>
    <t xml:space="preserve">The $77,722.00 price is the live widget value at screenshot time, not necessarily the price at posting.</t>
  </si>
  <si>
    <t xml:space="preserve">320_2026-08-21_133236_Screenshot_20260821-143727.png</t>
  </si>
  <si>
    <t xml:space="preserve">https://discord.com/channels/1042855255089623100/1501271173588193290/1540307630168215632</t>
  </si>
  <si>
    <t xml:space="preserve">Timeframe</t>
  </si>
  <si>
    <t xml:space="preserve">Price shown</t>
  </si>
  <si>
    <t xml:space="preserve">Indicators</t>
  </si>
  <si>
    <t xml:space="preserve">Levels / drawings</t>
  </si>
  <si>
    <t xml:space="preserve">Annotations on chart</t>
  </si>
  <si>
    <t xml:space="preserve">What it shows</t>
  </si>
  <si>
    <t xml:space="preserve">Last Traded Price 3.687 (Mark Price 3.689)</t>
  </si>
  <si>
    <t xml:space="preserve">3.698 | 3.687 05:13 | 3.392 | BYBIT Demo Trading</t>
  </si>
  <si>
    <t xml:space="preserve">Last Traded Price 92.240 (Mark Price 92.240)</t>
  </si>
  <si>
    <t xml:space="preserve">92.760 | 92.240 01:06:14 | 82.740 | BYBIT Demo Trading</t>
  </si>
  <si>
    <t xml:space="preserve">Last Traded Price 1.5902 (Mark Price 1.5902)</t>
  </si>
  <si>
    <t xml:space="preserve">1.6069 | 1.5902 01:05:31 | 1.1285 | BYBIT Demo Trading</t>
  </si>
  <si>
    <t xml:space="preserve">PUMPFUNUSDT</t>
  </si>
  <si>
    <t xml:space="preserve">Last Traded Price 0.0021615 (Mark Price 0.0021615)</t>
  </si>
  <si>
    <t xml:space="preserve">0.0021932 | 0.0021615 01:05:12 | 0.0017500 | BYBIT Demo Trading</t>
  </si>
  <si>
    <t xml:space="preserve">Last Traded Price 0.6893 (Mark Price 0.6894)</t>
  </si>
  <si>
    <t xml:space="preserve">0.6992 | 0.6893 01:04:49 | 0.6487 | BYBIT Demo Trading</t>
  </si>
  <si>
    <t xml:space="preserve">Last Traded Price 0.037500 (Mark Price 0.037499)</t>
  </si>
  <si>
    <t xml:space="preserve">Last Traded Price 0.037500 | Mark Price 0.037499 | 24h High 0.037953 | 24h Low 0.034025 | 24h Turnover 2.21M | +8.85% | MM 0.49% | EMA7: 0.035311 EMA14: 0.034935 EMA28: 0.034676 | 0.037953 | 0.037500 16:48 | 0.033704 | BYBIT Demo Trading</t>
  </si>
  <si>
    <t xml:space="preserve">Last Price 0.03884 (Fair Price 0.03884)</t>
  </si>
  <si>
    <t xml:space="preserve">Last Price 0.03884 ≈0.038 USD +11.09% | Fair Price 0.03884 | 24h High 0.03896 | 24h Low 0.03403 | 24h Vol(STABLE) 12.034M | 24h Vol (USDT) 436.437K | Why is the price of STABLE rising? | EMA20:0.03655 EMA50:0.03538 EMA200:0.03406 | 0.03896 | 0.03884 | PNL +43.1294 | 10,000 | 0.03453 | 0.03378 | MEXC</t>
  </si>
  <si>
    <t xml:space="preserve">Last Traded Price 1.4654 (Mark Price 1.4655)</t>
  </si>
  <si>
    <t xml:space="preserve">Last Traded Price 1.4654 | Mark Price 1.4655 | 24h High 1.4661 | 24h Low 1.4101 | 24h Turnover 324.42M | +2.79% | MM 0.74% | EMA7: 1.4443 EMA14: 1.4385 EMA28: 1.4366 | 1.4661 | 1.4654 14:20</t>
  </si>
  <si>
    <t xml:space="preserve">1.5367</t>
  </si>
  <si>
    <t xml:space="preserve">1.5431 / 1.4105 / 1.5367 (auto price labels only; no hand-written text)</t>
  </si>
  <si>
    <t xml:space="preserve">Last Price 57.636 (≈ $57.57, -0.32%), Mark Price 57.635</t>
  </si>
  <si>
    <t xml:space="preserve">58.102
57.636
54.506</t>
  </si>
  <si>
    <t xml:space="preserve">0.3304</t>
  </si>
  <si>
    <t xml:space="preserve">0.3321; 0.3304; 0.2986; 05-25-2026 16:30; 05-25-2026 20:45</t>
  </si>
  <si>
    <t xml:space="preserve">76,806.2</t>
  </si>
  <si>
    <t xml:space="preserve">78,049.1; 76,806.2; 76,541.7; 05-26-2026 12:00; 05-26-2026 16:15</t>
  </si>
  <si>
    <t xml:space="preserve">17.593 (last), 17.601 (mark)</t>
  </si>
  <si>
    <t xml:space="preserve">EMA(20): 19.261 EMA(50): 20.113 EMA(200): 19.558; 22.039; 17.464; 17.593; 22.267; 20.590; 18.912; 17.235; 06-03-2026 15:00; 06-03-2026 19:15</t>
  </si>
  <si>
    <t xml:space="preserve">62,985.5 (last), 63,009.5 (fair)</t>
  </si>
  <si>
    <t xml:space="preserve">EMA20:62,131.2 EMA50:61,944.0 EMA200:61,878.4; 64,247.0; 61,153.0; 62,985.5; 64,400.0; 63,700.0; 63,000.0; 62,300.0; 61,600.0</t>
  </si>
  <si>
    <t xml:space="preserve">20.361 (last), 20.382 (mark)</t>
  </si>
  <si>
    <t xml:space="preserve">EMA(20): 19.960 EMA(50): 19.882 EMA(200): 19.886; 22.049; Breakeven Price 20.600; 20.361; 19.647; 22.169; 21.288; 20.407; 19.526; 06-08-2026 00:00; 06-08-2026 04:15; VOL: 826.3 MA(5): 1.281K MA(10): 855.9; 2.773K; 0.0; MA EMA BOLL VOL MACD KDJ RSI ROC WR OBV</t>
  </si>
  <si>
    <t xml:space="preserve">4,361.07 (header last/mark), 4,361.19 (chart label)</t>
  </si>
  <si>
    <t xml:space="preserve">EMA(20): 4,340.28 EMA(50): 4,337.18 EMA(200): 4,332.59; 4,366.58; 4,361.19; 4,324.16; 4,368.71; 4,350.04; 4,340.70; 4,331.37; 4,322.03</t>
  </si>
  <si>
    <t xml:space="preserve">65,273.9 (Last Price), Mark Price 65,278.7</t>
  </si>
  <si>
    <t xml:space="preserve">EMA(20): 65,431.9  EMA(50): 65,597.3  EMA(200): 64,812.6 | 67,255.4 | 64,525.0 | 64,736 | 65,273 | MA(5): 6.97K  MA(10): 6.52K | RSI(6): 52.7</t>
  </si>
  <si>
    <t xml:space="preserve">66,021.6 (Last Price), Mark Price 66,034.8</t>
  </si>
  <si>
    <t xml:space="preserve">EMA(20): 65,318.1  EMA(50): 65,312.7  EMA(200): 65,577.4 | 66,090.6 | 64,525.0 | 66,021.3</t>
  </si>
  <si>
    <t xml:space="preserve">REUSDT</t>
  </si>
  <si>
    <t xml:space="preserve">Last Price 1.0020 (Mark Price 1.0040)</t>
  </si>
  <si>
    <t xml:space="preserve">0.0001297</t>
  </si>
  <si>
    <t xml:space="preserve">0.0001375; 0.0001297 38:06; 0.0001101; 0.0001078</t>
  </si>
  <si>
    <t xml:space="preserve">64,883.90 (Last Price), Mark Price 64,884.10</t>
  </si>
  <si>
    <t xml:space="preserve">65.5k
-&gt; Back on the way to 66k
-&gt; 62k</t>
  </si>
  <si>
    <t xml:space="preserve">495.00 (green dashed line label) and 495.68 on the price scale; candle high 494.48</t>
  </si>
  <si>
    <t xml:space="preserve">1D  More  EMA-200: 478.00  495.68  494.48  495.00</t>
  </si>
  <si>
    <t xml:space="preserve">Last Price 491.45 (≈$491.45, +0.78%), Mark Price 491.45</t>
  </si>
  <si>
    <t xml:space="preserve">S 498.44 | 486.05 | 491.45 08:23 | EMA-20: 490.02 EMA-50: 490.59 EMA-200: 490.07 | VOL: 106.421 MA-5: 264.637 MA-10: 237.315</t>
  </si>
  <si>
    <t xml:space="preserve">Last Price 64,719.50 (≈$64,719.5, +0.86%), Mark Price 64,711.50</t>
  </si>
  <si>
    <t xml:space="preserve">64,729.3 | 62,485.7 | 64,719.5 01:34:38 | EMA-20: 63,801.2 EMA-50: 63,723.1 EMA-200: 63,979.0 | VOL: 1.75K MA-5: 1.70K MA-10: 2.30K</t>
  </si>
</sst>
</file>

<file path=xl/styles.xml><?xml version="1.0" encoding="utf-8"?>
<styleSheet xmlns="http://schemas.openxmlformats.org/spreadsheetml/2006/main">
  <numFmts count="6">
    <numFmt numFmtId="164" formatCode="General"/>
    <numFmt numFmtId="165" formatCode="General"/>
    <numFmt numFmtId="166" formatCode="0.0%"/>
    <numFmt numFmtId="167" formatCode="#,##0.0"/>
    <numFmt numFmtId="168" formatCode="#,##0.000000"/>
    <numFmt numFmtId="169" formatCode="#,##0.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name val="Arial"/>
      <family val="0"/>
      <charset val="1"/>
    </font>
    <font>
      <i val="true"/>
      <sz val="10"/>
      <name val="Noto Sans CJK SC"/>
      <family val="2"/>
    </font>
    <font>
      <b val="true"/>
      <sz val="12"/>
      <name val="Arial"/>
      <family val="0"/>
      <charset val="1"/>
    </font>
    <font>
      <b val="true"/>
      <sz val="10"/>
      <name val="Arial"/>
      <family val="0"/>
      <charset val="1"/>
    </font>
    <font>
      <sz val="10"/>
      <name val="Arial"/>
      <family val="0"/>
      <charset val="1"/>
    </font>
    <font>
      <i val="true"/>
      <sz val="9"/>
      <color rgb="FF808080"/>
      <name val="Arial"/>
      <family val="0"/>
      <charset val="1"/>
    </font>
    <font>
      <b val="true"/>
      <sz val="10"/>
      <color rgb="FFFFFFFF"/>
      <name val="Arial"/>
      <family val="0"/>
      <charset val="1"/>
    </font>
    <font>
      <sz val="10"/>
      <name val="Noto Sans CJK SC"/>
      <family val="2"/>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1" fillId="2" borderId="0" xfId="0" applyFont="true" applyBorder="fals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8" fontId="9" fillId="0" borderId="1" xfId="0" applyFont="true" applyBorder="true" applyAlignment="true" applyProtection="false">
      <alignment horizontal="general" vertical="top" textRotation="0" wrapText="false" indent="0" shrinkToFit="false"/>
      <protection locked="true" hidden="false"/>
    </xf>
    <xf numFmtId="169" fontId="9"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ables/table1.xml><?xml version="1.0" encoding="utf-8"?>
<table xmlns="http://schemas.openxmlformats.org/spreadsheetml/2006/main" id="1" name="ChartsTbl" displayName="ChartsTbl" ref="A1:M25" headerRowCount="1" totalsRowCount="0" totalsRowShown="0">
  <autoFilter ref="A1:M25"/>
  <tableColumns count="13">
    <tableColumn id="1" name="Date"/>
    <tableColumn id="2" name="Time"/>
    <tableColumn id="3" name="Symbol"/>
    <tableColumn id="4" name="Timeframe"/>
    <tableColumn id="5" name="Platform"/>
    <tableColumn id="6" name="Price shown"/>
    <tableColumn id="7" name="Indicators"/>
    <tableColumn id="8" name="Levels / drawings"/>
    <tableColumn id="9" name="Annotations on chart"/>
    <tableColumn id="10" name="What it shows"/>
    <tableColumn id="11" name="Message posted with image"/>
    <tableColumn id="12" name="Image file"/>
    <tableColumn id="13" name="Discord link"/>
  </tableColumns>
</table>
</file>

<file path=xl/tables/table2.xml><?xml version="1.0" encoding="utf-8"?>
<table xmlns="http://schemas.openxmlformats.org/spreadsheetml/2006/main" id="2" name="ImagesTbl" displayName="ImagesTbl" ref="A1:U321" headerRowCount="1" totalsRowCount="0" totalsRowShown="0">
  <autoFilter ref="A1:U321"/>
  <tableColumns count="21">
    <tableColumn id="1" name="#"/>
    <tableColumn id="2" name="Date"/>
    <tableColumn id="3" name="Time"/>
    <tableColumn id="4" name="Trading related"/>
    <tableColumn id="5" name="Image type"/>
    <tableColumn id="6" name="Platform"/>
    <tableColumn id="7" name="Trades in image"/>
    <tableColumn id="8" name="Symbols"/>
    <tableColumn id="9" name="Chart timeframe"/>
    <tableColumn id="10" name="Chart indicators"/>
    <tableColumn id="11" name="Chart levels / drawings"/>
    <tableColumn id="12" name="What the chart shows"/>
    <tableColumn id="13" name="Description"/>
    <tableColumn id="14" name="Text visible in image"/>
    <tableColumn id="15" name="Message posted with image"/>
    <tableColumn id="16" name="Date/time printed on image"/>
    <tableColumn id="17" name="Confidence"/>
    <tableColumn id="18" name="Issues"/>
    <tableColumn id="19" name="Image file"/>
    <tableColumn id="20" name="Duplicate of"/>
    <tableColumn id="21" name="Discord link"/>
  </tableColumns>
</table>
</file>

<file path=xl/tables/table3.xml><?xml version="1.0" encoding="utf-8"?>
<table xmlns="http://schemas.openxmlformats.org/spreadsheetml/2006/main" id="3" name="TradesTbl" displayName="TradesTbl" ref="A1:Y336" headerRowCount="1" totalsRowCount="0" totalsRowShown="0">
  <autoFilter ref="A1:Y336"/>
  <tableColumns count="25">
    <tableColumn id="1" name="Date"/>
    <tableColumn id="2" name="Time"/>
    <tableColumn id="3" name="Symbol"/>
    <tableColumn id="4" name="Base"/>
    <tableColumn id="5" name="Side"/>
    <tableColumn id="6" name="Leverage"/>
    <tableColumn id="7" name="Margin mode"/>
    <tableColumn id="8" name="Entry price"/>
    <tableColumn id="9" name="Exit price"/>
    <tableColumn id="10" name="Exit price type"/>
    <tableColumn id="11" name="ROI %"/>
    <tableColumn id="12" name="PnL USD"/>
    <tableColumn id="13" name="Position size"/>
    <tableColumn id="14" name="Margin USD"/>
    <tableColumn id="15" name="Stop loss"/>
    <tableColumn id="16" name="Take profits"/>
    <tableColumn id="17" name="Liq. price"/>
    <tableColumn id="18" name="Status"/>
    <tableColumn id="19" name="Platform"/>
    <tableColumn id="20" name="Image type"/>
    <tableColumn id="21" name="Trade notes"/>
    <tableColumn id="22" name="Message posted with image"/>
    <tableColumn id="23" name="Image file"/>
    <tableColumn id="24" name="Confidence"/>
    <tableColumn id="25" name="Discord link"/>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3" min="2" style="0" width="14"/>
    <col collapsed="false" customWidth="true" hidden="false" outlineLevel="0" max="4" min="4" style="0" width="12"/>
    <col collapsed="false" customWidth="true" hidden="false" outlineLevel="0" max="5" min="5" style="0" width="18"/>
    <col collapsed="false" customWidth="true" hidden="false" outlineLevel="0" max="6" min="6" style="0" width="14"/>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n">
        <f aca="false">COUNTA(Images!A2:A100000)</f>
        <v>320</v>
      </c>
    </row>
    <row r="6" customFormat="false" ht="15" hidden="false" customHeight="false" outlineLevel="0" collapsed="false">
      <c r="A6" s="4" t="s">
        <v>4</v>
      </c>
      <c r="B6" s="5" t="n">
        <f aca="false">COUNTIF(Images!D2:D100000,"yes")</f>
        <v>318</v>
      </c>
    </row>
    <row r="7" customFormat="false" ht="15" hidden="false" customHeight="false" outlineLevel="0" collapsed="false">
      <c r="A7" s="4" t="s">
        <v>5</v>
      </c>
      <c r="B7" s="5" t="n">
        <f aca="false">COUNTIF(Images!D2:D100000,"no")</f>
        <v>2</v>
      </c>
    </row>
    <row r="8" customFormat="false" ht="15" hidden="false" customHeight="false" outlineLevel="0" collapsed="false">
      <c r="A8" s="4" t="s">
        <v>6</v>
      </c>
      <c r="B8" s="5" t="n">
        <f aca="false">COUNTA(Trades!C2:C100000)</f>
        <v>335</v>
      </c>
    </row>
    <row r="9" customFormat="false" ht="15" hidden="false" customHeight="false" outlineLevel="0" collapsed="false">
      <c r="A9" s="4" t="s">
        <v>7</v>
      </c>
      <c r="B9" s="5" t="n">
        <f aca="false">COUNTA(Charts!A2:A100000)</f>
        <v>24</v>
      </c>
    </row>
    <row r="10" customFormat="false" ht="15" hidden="false" customHeight="false" outlineLevel="0" collapsed="false">
      <c r="A10" s="4" t="s">
        <v>8</v>
      </c>
      <c r="B10" s="5" t="n">
        <f aca="false">COUNTIF(Images!Q2:Q100000,"medium")</f>
        <v>38</v>
      </c>
    </row>
    <row r="12" customFormat="false" ht="15" hidden="false" customHeight="false" outlineLevel="0" collapsed="false">
      <c r="A12" s="3" t="s">
        <v>9</v>
      </c>
    </row>
    <row r="13" customFormat="false" ht="15" hidden="false" customHeight="false" outlineLevel="0" collapsed="false">
      <c r="A13" s="4" t="s">
        <v>10</v>
      </c>
      <c r="B13" s="5" t="n">
        <f aca="false">COUNT(Trades!H2:H100000)</f>
        <v>224</v>
      </c>
      <c r="C13" s="6" t="n">
        <f aca="false">IF($B$8=0,"-",B13/$B$8)</f>
        <v>0.668656716417911</v>
      </c>
    </row>
    <row r="14" customFormat="false" ht="15" hidden="false" customHeight="false" outlineLevel="0" collapsed="false">
      <c r="A14" s="4" t="s">
        <v>11</v>
      </c>
      <c r="B14" s="5" t="n">
        <f aca="false">COUNT(Trades!I2:I100000)</f>
        <v>223</v>
      </c>
      <c r="C14" s="6" t="n">
        <f aca="false">IF($B$8=0,"-",B14/$B$8)</f>
        <v>0.665671641791045</v>
      </c>
    </row>
    <row r="15" customFormat="false" ht="15" hidden="false" customHeight="false" outlineLevel="0" collapsed="false">
      <c r="A15" s="4" t="s">
        <v>12</v>
      </c>
      <c r="B15" s="5" t="n">
        <f aca="false">COUNT(Trades!K2:K100000)</f>
        <v>268</v>
      </c>
      <c r="C15" s="6" t="n">
        <f aca="false">IF($B$8=0,"-",B15/$B$8)</f>
        <v>0.8</v>
      </c>
    </row>
    <row r="16" customFormat="false" ht="15" hidden="false" customHeight="false" outlineLevel="0" collapsed="false">
      <c r="A16" s="4" t="s">
        <v>13</v>
      </c>
      <c r="B16" s="5" t="n">
        <f aca="false">COUNT(Trades!F2:F100000)</f>
        <v>234</v>
      </c>
      <c r="C16" s="6" t="n">
        <f aca="false">IF($B$8=0,"-",B16/$B$8)</f>
        <v>0.698507462686567</v>
      </c>
    </row>
    <row r="17" customFormat="false" ht="15" hidden="false" customHeight="false" outlineLevel="0" collapsed="false">
      <c r="A17" s="4" t="s">
        <v>14</v>
      </c>
      <c r="B17" s="5" t="n">
        <f aca="false">COUNTIF(Trades!E2:E100000,"long")+COUNTIF(Trades!E2:E100000,"short")</f>
        <v>307</v>
      </c>
      <c r="C17" s="6" t="n">
        <f aca="false">IF($B$8=0,"-",B17/$B$8)</f>
        <v>0.916417910447761</v>
      </c>
    </row>
    <row r="18" customFormat="false" ht="15" hidden="false" customHeight="false" outlineLevel="0" collapsed="false">
      <c r="A18" s="4" t="s">
        <v>15</v>
      </c>
      <c r="B18" s="5" t="n">
        <f aca="false">COUNT(Trades!O2:O100000)</f>
        <v>4</v>
      </c>
      <c r="C18" s="6" t="n">
        <f aca="false">IF($B$8=0,"-",B18/$B$8)</f>
        <v>0.0119402985074627</v>
      </c>
    </row>
    <row r="19" customFormat="false" ht="15" hidden="false" customHeight="false" outlineLevel="0" collapsed="false">
      <c r="A19" s="4" t="s">
        <v>16</v>
      </c>
      <c r="B19" s="5" t="n">
        <f aca="false">COUNTA(Trades!P2:P100000)</f>
        <v>3</v>
      </c>
      <c r="C19" s="6" t="n">
        <f aca="false">IF($B$8=0,"-",B19/$B$8)</f>
        <v>0.00895522388059702</v>
      </c>
    </row>
    <row r="20" customFormat="false" ht="15" hidden="false" customHeight="false" outlineLevel="0" collapsed="false">
      <c r="A20" s="4" t="s">
        <v>17</v>
      </c>
      <c r="B20" s="5" t="n">
        <f aca="false">COUNT(Trades!Q2:Q100000)</f>
        <v>3</v>
      </c>
      <c r="C20" s="6" t="n">
        <f aca="false">IF($B$8=0,"-",B20/$B$8)</f>
        <v>0.00895522388059702</v>
      </c>
    </row>
    <row r="21" customFormat="false" ht="15" hidden="false" customHeight="false" outlineLevel="0" collapsed="false">
      <c r="A21" s="4" t="s">
        <v>18</v>
      </c>
      <c r="B21" s="5" t="n">
        <f aca="false">COUNT(Trades!L2:L100000)</f>
        <v>10</v>
      </c>
      <c r="C21" s="6" t="n">
        <f aca="false">IF($B$8=0,"-",B21/$B$8)</f>
        <v>0.0298507462686567</v>
      </c>
    </row>
    <row r="22" customFormat="false" ht="15" hidden="false" customHeight="false" outlineLevel="0" collapsed="false">
      <c r="A22" s="7" t="s">
        <v>19</v>
      </c>
    </row>
    <row r="24" customFormat="false" ht="15" hidden="false" customHeight="false" outlineLevel="0" collapsed="false">
      <c r="A24" s="3" t="s">
        <v>20</v>
      </c>
    </row>
    <row r="25" customFormat="false" ht="15" hidden="false" customHeight="false" outlineLevel="0" collapsed="false">
      <c r="A25" s="4" t="s">
        <v>21</v>
      </c>
      <c r="B25" s="4" t="s">
        <v>22</v>
      </c>
      <c r="C25" s="4" t="s">
        <v>23</v>
      </c>
      <c r="D25" s="4" t="s">
        <v>24</v>
      </c>
      <c r="E25" s="4" t="s">
        <v>25</v>
      </c>
    </row>
    <row r="26" customFormat="false" ht="15" hidden="false" customHeight="false" outlineLevel="0" collapsed="false">
      <c r="A26" s="5" t="s">
        <v>26</v>
      </c>
      <c r="B26" s="5" t="n">
        <f aca="false">COUNTIF(Trades!$D$2:$D$100000,$A26)</f>
        <v>144</v>
      </c>
      <c r="C26" s="5" t="n">
        <f aca="false">COUNTIFS(Trades!$D$2:$D$100000,$A26,Trades!$E$2:$E$100000,"long")</f>
        <v>113</v>
      </c>
      <c r="D26" s="5" t="n">
        <f aca="false">COUNTIFS(Trades!$D$2:$D$100000,$A26,Trades!$E$2:$E$100000,"short")</f>
        <v>15</v>
      </c>
      <c r="E26" s="8" t="n">
        <f aca="false">IFERROR(AVERAGEIF(Trades!$D$2:$D$100000,$A26,Trades!$K$2:$K$100000),"-")</f>
        <v>219.206036036036</v>
      </c>
    </row>
    <row r="27" customFormat="false" ht="15" hidden="false" customHeight="false" outlineLevel="0" collapsed="false">
      <c r="A27" s="5" t="s">
        <v>27</v>
      </c>
      <c r="B27" s="5" t="n">
        <f aca="false">COUNTIF(Trades!$D$2:$D$100000,$A27)</f>
        <v>18</v>
      </c>
      <c r="C27" s="5" t="n">
        <f aca="false">COUNTIFS(Trades!$D$2:$D$100000,$A27,Trades!$E$2:$E$100000,"long")</f>
        <v>10</v>
      </c>
      <c r="D27" s="5" t="n">
        <f aca="false">COUNTIFS(Trades!$D$2:$D$100000,$A27,Trades!$E$2:$E$100000,"short")</f>
        <v>5</v>
      </c>
      <c r="E27" s="8" t="n">
        <f aca="false">IFERROR(AVERAGEIF(Trades!$D$2:$D$100000,$A27,Trades!$K$2:$K$100000),"-")</f>
        <v>173.065</v>
      </c>
    </row>
    <row r="28" customFormat="false" ht="15" hidden="false" customHeight="false" outlineLevel="0" collapsed="false">
      <c r="A28" s="5" t="s">
        <v>28</v>
      </c>
      <c r="B28" s="5" t="n">
        <f aca="false">COUNTIF(Trades!$D$2:$D$100000,$A28)</f>
        <v>16</v>
      </c>
      <c r="C28" s="5" t="n">
        <f aca="false">COUNTIFS(Trades!$D$2:$D$100000,$A28,Trades!$E$2:$E$100000,"long")</f>
        <v>14</v>
      </c>
      <c r="D28" s="5" t="n">
        <f aca="false">COUNTIFS(Trades!$D$2:$D$100000,$A28,Trades!$E$2:$E$100000,"short")</f>
        <v>1</v>
      </c>
      <c r="E28" s="8" t="n">
        <f aca="false">IFERROR(AVERAGEIF(Trades!$D$2:$D$100000,$A28,Trades!$K$2:$K$100000),"-")</f>
        <v>216.876666666667</v>
      </c>
    </row>
    <row r="29" customFormat="false" ht="15" hidden="false" customHeight="false" outlineLevel="0" collapsed="false">
      <c r="A29" s="5" t="s">
        <v>29</v>
      </c>
      <c r="B29" s="5" t="n">
        <f aca="false">COUNTIF(Trades!$D$2:$D$100000,$A29)</f>
        <v>16</v>
      </c>
      <c r="C29" s="5" t="n">
        <f aca="false">COUNTIFS(Trades!$D$2:$D$100000,$A29,Trades!$E$2:$E$100000,"long")</f>
        <v>15</v>
      </c>
      <c r="D29" s="5" t="n">
        <f aca="false">COUNTIFS(Trades!$D$2:$D$100000,$A29,Trades!$E$2:$E$100000,"short")</f>
        <v>0</v>
      </c>
      <c r="E29" s="8" t="n">
        <f aca="false">IFERROR(AVERAGEIF(Trades!$D$2:$D$100000,$A29,Trades!$K$2:$K$100000),"-")</f>
        <v>580.803076923077</v>
      </c>
    </row>
    <row r="30" customFormat="false" ht="15" hidden="false" customHeight="false" outlineLevel="0" collapsed="false">
      <c r="A30" s="5" t="s">
        <v>30</v>
      </c>
      <c r="B30" s="5" t="n">
        <f aca="false">COUNTIF(Trades!$D$2:$D$100000,$A30)</f>
        <v>14</v>
      </c>
      <c r="C30" s="5" t="n">
        <f aca="false">COUNTIFS(Trades!$D$2:$D$100000,$A30,Trades!$E$2:$E$100000,"long")</f>
        <v>11</v>
      </c>
      <c r="D30" s="5" t="n">
        <f aca="false">COUNTIFS(Trades!$D$2:$D$100000,$A30,Trades!$E$2:$E$100000,"short")</f>
        <v>2</v>
      </c>
      <c r="E30" s="8" t="n">
        <f aca="false">IFERROR(AVERAGEIF(Trades!$D$2:$D$100000,$A30,Trades!$K$2:$K$100000),"-")</f>
        <v>197.3225</v>
      </c>
    </row>
    <row r="31" customFormat="false" ht="15" hidden="false" customHeight="false" outlineLevel="0" collapsed="false">
      <c r="A31" s="5" t="s">
        <v>31</v>
      </c>
      <c r="B31" s="5" t="n">
        <f aca="false">COUNTIF(Trades!$D$2:$D$100000,$A31)</f>
        <v>14</v>
      </c>
      <c r="C31" s="5" t="n">
        <f aca="false">COUNTIFS(Trades!$D$2:$D$100000,$A31,Trades!$E$2:$E$100000,"long")</f>
        <v>10</v>
      </c>
      <c r="D31" s="5" t="n">
        <f aca="false">COUNTIFS(Trades!$D$2:$D$100000,$A31,Trades!$E$2:$E$100000,"short")</f>
        <v>4</v>
      </c>
      <c r="E31" s="8" t="n">
        <f aca="false">IFERROR(AVERAGEIF(Trades!$D$2:$D$100000,$A31,Trades!$K$2:$K$100000),"-")</f>
        <v>202.763076923077</v>
      </c>
    </row>
    <row r="32" customFormat="false" ht="15" hidden="false" customHeight="false" outlineLevel="0" collapsed="false">
      <c r="A32" s="5" t="s">
        <v>32</v>
      </c>
      <c r="B32" s="5" t="n">
        <f aca="false">COUNTIF(Trades!$D$2:$D$100000,$A32)</f>
        <v>8</v>
      </c>
      <c r="C32" s="5" t="n">
        <f aca="false">COUNTIFS(Trades!$D$2:$D$100000,$A32,Trades!$E$2:$E$100000,"long")</f>
        <v>7</v>
      </c>
      <c r="D32" s="5" t="n">
        <f aca="false">COUNTIFS(Trades!$D$2:$D$100000,$A32,Trades!$E$2:$E$100000,"short")</f>
        <v>0</v>
      </c>
      <c r="E32" s="8" t="n">
        <f aca="false">IFERROR(AVERAGEIF(Trades!$D$2:$D$100000,$A32,Trades!$K$2:$K$100000),"-")</f>
        <v>148.2</v>
      </c>
    </row>
    <row r="33" customFormat="false" ht="15" hidden="false" customHeight="false" outlineLevel="0" collapsed="false">
      <c r="A33" s="5" t="s">
        <v>33</v>
      </c>
      <c r="B33" s="5" t="n">
        <f aca="false">COUNTIF(Trades!$D$2:$D$100000,$A33)</f>
        <v>7</v>
      </c>
      <c r="C33" s="5" t="n">
        <f aca="false">COUNTIFS(Trades!$D$2:$D$100000,$A33,Trades!$E$2:$E$100000,"long")</f>
        <v>6</v>
      </c>
      <c r="D33" s="5" t="n">
        <f aca="false">COUNTIFS(Trades!$D$2:$D$100000,$A33,Trades!$E$2:$E$100000,"short")</f>
        <v>1</v>
      </c>
      <c r="E33" s="8" t="n">
        <f aca="false">IFERROR(AVERAGEIF(Trades!$D$2:$D$100000,$A33,Trades!$K$2:$K$100000),"-")</f>
        <v>353.641666666667</v>
      </c>
    </row>
    <row r="34" customFormat="false" ht="15" hidden="false" customHeight="false" outlineLevel="0" collapsed="false">
      <c r="A34" s="5" t="s">
        <v>34</v>
      </c>
      <c r="B34" s="5" t="n">
        <f aca="false">COUNTIF(Trades!$D$2:$D$100000,$A34)</f>
        <v>5</v>
      </c>
      <c r="C34" s="5" t="n">
        <f aca="false">COUNTIFS(Trades!$D$2:$D$100000,$A34,Trades!$E$2:$E$100000,"long")</f>
        <v>5</v>
      </c>
      <c r="D34" s="5" t="n">
        <f aca="false">COUNTIFS(Trades!$D$2:$D$100000,$A34,Trades!$E$2:$E$100000,"short")</f>
        <v>0</v>
      </c>
      <c r="E34" s="8" t="n">
        <f aca="false">IFERROR(AVERAGEIF(Trades!$D$2:$D$100000,$A34,Trades!$K$2:$K$100000),"-")</f>
        <v>206.1</v>
      </c>
    </row>
    <row r="35" customFormat="false" ht="15" hidden="false" customHeight="false" outlineLevel="0" collapsed="false">
      <c r="A35" s="5" t="s">
        <v>35</v>
      </c>
      <c r="B35" s="5" t="n">
        <f aca="false">COUNTIF(Trades!$D$2:$D$100000,$A35)</f>
        <v>5</v>
      </c>
      <c r="C35" s="5" t="n">
        <f aca="false">COUNTIFS(Trades!$D$2:$D$100000,$A35,Trades!$E$2:$E$100000,"long")</f>
        <v>5</v>
      </c>
      <c r="D35" s="5" t="n">
        <f aca="false">COUNTIFS(Trades!$D$2:$D$100000,$A35,Trades!$E$2:$E$100000,"short")</f>
        <v>0</v>
      </c>
      <c r="E35" s="8" t="n">
        <f aca="false">IFERROR(AVERAGEIF(Trades!$D$2:$D$100000,$A35,Trades!$K$2:$K$100000),"-")</f>
        <v>100.52</v>
      </c>
    </row>
    <row r="36" customFormat="false" ht="15" hidden="false" customHeight="false" outlineLevel="0" collapsed="false">
      <c r="A36" s="5" t="s">
        <v>36</v>
      </c>
      <c r="B36" s="5" t="n">
        <f aca="false">COUNTIF(Trades!$D$2:$D$100000,$A36)</f>
        <v>5</v>
      </c>
      <c r="C36" s="5" t="n">
        <f aca="false">COUNTIFS(Trades!$D$2:$D$100000,$A36,Trades!$E$2:$E$100000,"long")</f>
        <v>5</v>
      </c>
      <c r="D36" s="5" t="n">
        <f aca="false">COUNTIFS(Trades!$D$2:$D$100000,$A36,Trades!$E$2:$E$100000,"short")</f>
        <v>0</v>
      </c>
      <c r="E36" s="8" t="n">
        <f aca="false">IFERROR(AVERAGEIF(Trades!$D$2:$D$100000,$A36,Trades!$K$2:$K$100000),"-")</f>
        <v>157.892</v>
      </c>
    </row>
    <row r="37" customFormat="false" ht="15" hidden="false" customHeight="false" outlineLevel="0" collapsed="false">
      <c r="A37" s="5" t="s">
        <v>37</v>
      </c>
      <c r="B37" s="5" t="n">
        <f aca="false">COUNTIF(Trades!$D$2:$D$100000,$A37)</f>
        <v>5</v>
      </c>
      <c r="C37" s="5" t="n">
        <f aca="false">COUNTIFS(Trades!$D$2:$D$100000,$A37,Trades!$E$2:$E$100000,"long")</f>
        <v>5</v>
      </c>
      <c r="D37" s="5" t="n">
        <f aca="false">COUNTIFS(Trades!$D$2:$D$100000,$A37,Trades!$E$2:$E$100000,"short")</f>
        <v>0</v>
      </c>
      <c r="E37" s="8" t="n">
        <f aca="false">IFERROR(AVERAGEIF(Trades!$D$2:$D$100000,$A37,Trades!$K$2:$K$100000),"-")</f>
        <v>176.565</v>
      </c>
    </row>
    <row r="38" customFormat="false" ht="15" hidden="false" customHeight="false" outlineLevel="0" collapsed="false">
      <c r="A38" s="5" t="s">
        <v>38</v>
      </c>
      <c r="B38" s="5" t="n">
        <f aca="false">COUNTIF(Trades!$D$2:$D$100000,$A38)</f>
        <v>4</v>
      </c>
      <c r="C38" s="5" t="n">
        <f aca="false">COUNTIFS(Trades!$D$2:$D$100000,$A38,Trades!$E$2:$E$100000,"long")</f>
        <v>4</v>
      </c>
      <c r="D38" s="5" t="n">
        <f aca="false">COUNTIFS(Trades!$D$2:$D$100000,$A38,Trades!$E$2:$E$100000,"short")</f>
        <v>0</v>
      </c>
      <c r="E38" s="8" t="n">
        <f aca="false">IFERROR(AVERAGEIF(Trades!$D$2:$D$100000,$A38,Trades!$K$2:$K$100000),"-")</f>
        <v>154.755</v>
      </c>
    </row>
    <row r="39" customFormat="false" ht="15" hidden="false" customHeight="false" outlineLevel="0" collapsed="false">
      <c r="A39" s="5" t="s">
        <v>39</v>
      </c>
      <c r="B39" s="5" t="n">
        <f aca="false">COUNTIF(Trades!$D$2:$D$100000,$A39)</f>
        <v>4</v>
      </c>
      <c r="C39" s="5" t="n">
        <f aca="false">COUNTIFS(Trades!$D$2:$D$100000,$A39,Trades!$E$2:$E$100000,"long")</f>
        <v>4</v>
      </c>
      <c r="D39" s="5" t="n">
        <f aca="false">COUNTIFS(Trades!$D$2:$D$100000,$A39,Trades!$E$2:$E$100000,"short")</f>
        <v>0</v>
      </c>
      <c r="E39" s="8" t="n">
        <f aca="false">IFERROR(AVERAGEIF(Trades!$D$2:$D$100000,$A39,Trades!$K$2:$K$100000),"-")</f>
        <v>142.225</v>
      </c>
    </row>
    <row r="40" customFormat="false" ht="15" hidden="false" customHeight="false" outlineLevel="0" collapsed="false">
      <c r="A40" s="5" t="s">
        <v>40</v>
      </c>
      <c r="B40" s="5" t="n">
        <f aca="false">COUNTIF(Trades!$D$2:$D$100000,$A40)</f>
        <v>4</v>
      </c>
      <c r="C40" s="5" t="n">
        <f aca="false">COUNTIFS(Trades!$D$2:$D$100000,$A40,Trades!$E$2:$E$100000,"long")</f>
        <v>0</v>
      </c>
      <c r="D40" s="5" t="n">
        <f aca="false">COUNTIFS(Trades!$D$2:$D$100000,$A40,Trades!$E$2:$E$100000,"short")</f>
        <v>4</v>
      </c>
      <c r="E40" s="8" t="n">
        <f aca="false">IFERROR(AVERAGEIF(Trades!$D$2:$D$100000,$A40,Trades!$K$2:$K$100000),"-")</f>
        <v>530.983333333333</v>
      </c>
    </row>
    <row r="42" customFormat="false" ht="15" hidden="false" customHeight="false" outlineLevel="0" collapsed="false">
      <c r="A42" s="3" t="s">
        <v>41</v>
      </c>
    </row>
    <row r="43" customFormat="false" ht="15" hidden="false" customHeight="false" outlineLevel="0" collapsed="false">
      <c r="A43" s="4" t="s">
        <v>13</v>
      </c>
      <c r="B43" s="4" t="s">
        <v>42</v>
      </c>
    </row>
    <row r="44" customFormat="false" ht="15" hidden="false" customHeight="false" outlineLevel="0" collapsed="false">
      <c r="A44" s="5" t="n">
        <v>3</v>
      </c>
      <c r="B44" s="5" t="n">
        <f aca="false">COUNTIF(Trades!$F$2:$F$100000,$A44)</f>
        <v>4</v>
      </c>
    </row>
    <row r="45" customFormat="false" ht="15" hidden="false" customHeight="false" outlineLevel="0" collapsed="false">
      <c r="A45" s="5" t="n">
        <v>10</v>
      </c>
      <c r="B45" s="5" t="n">
        <f aca="false">COUNTIF(Trades!$F$2:$F$100000,$A45)</f>
        <v>7</v>
      </c>
    </row>
    <row r="46" customFormat="false" ht="15" hidden="false" customHeight="false" outlineLevel="0" collapsed="false">
      <c r="A46" s="5" t="n">
        <v>20</v>
      </c>
      <c r="B46" s="5" t="n">
        <f aca="false">COUNTIF(Trades!$F$2:$F$100000,$A46)</f>
        <v>14</v>
      </c>
    </row>
    <row r="47" customFormat="false" ht="15" hidden="false" customHeight="false" outlineLevel="0" collapsed="false">
      <c r="A47" s="5" t="n">
        <v>25</v>
      </c>
      <c r="B47" s="5" t="n">
        <f aca="false">COUNTIF(Trades!$F$2:$F$100000,$A47)</f>
        <v>10</v>
      </c>
    </row>
    <row r="48" customFormat="false" ht="15" hidden="false" customHeight="false" outlineLevel="0" collapsed="false">
      <c r="A48" s="5" t="n">
        <v>30</v>
      </c>
      <c r="B48" s="5" t="n">
        <f aca="false">COUNTIF(Trades!$F$2:$F$100000,$A48)</f>
        <v>2</v>
      </c>
    </row>
    <row r="49" customFormat="false" ht="15" hidden="false" customHeight="false" outlineLevel="0" collapsed="false">
      <c r="A49" s="5" t="n">
        <v>40</v>
      </c>
      <c r="B49" s="5" t="n">
        <f aca="false">COUNTIF(Trades!$F$2:$F$100000,$A49)</f>
        <v>2</v>
      </c>
    </row>
    <row r="50" customFormat="false" ht="15" hidden="false" customHeight="false" outlineLevel="0" collapsed="false">
      <c r="A50" s="5" t="n">
        <v>49</v>
      </c>
      <c r="B50" s="5" t="n">
        <f aca="false">COUNTIF(Trades!$F$2:$F$100000,$A50)</f>
        <v>1</v>
      </c>
    </row>
    <row r="51" customFormat="false" ht="15" hidden="false" customHeight="false" outlineLevel="0" collapsed="false">
      <c r="A51" s="5" t="n">
        <v>50</v>
      </c>
      <c r="B51" s="5" t="n">
        <f aca="false">COUNTIF(Trades!$F$2:$F$100000,$A51)</f>
        <v>26</v>
      </c>
    </row>
    <row r="52" customFormat="false" ht="15" hidden="false" customHeight="false" outlineLevel="0" collapsed="false">
      <c r="A52" s="5" t="n">
        <v>75</v>
      </c>
      <c r="B52" s="5" t="n">
        <f aca="false">COUNTIF(Trades!$F$2:$F$100000,$A52)</f>
        <v>31</v>
      </c>
    </row>
    <row r="53" customFormat="false" ht="15" hidden="false" customHeight="false" outlineLevel="0" collapsed="false">
      <c r="A53" s="5" t="n">
        <v>90</v>
      </c>
      <c r="B53" s="5" t="n">
        <f aca="false">COUNTIF(Trades!$F$2:$F$100000,$A53)</f>
        <v>2</v>
      </c>
    </row>
    <row r="54" customFormat="false" ht="15" hidden="false" customHeight="false" outlineLevel="0" collapsed="false">
      <c r="A54" s="5" t="n">
        <v>100</v>
      </c>
      <c r="B54" s="5" t="n">
        <f aca="false">COUNTIF(Trades!$F$2:$F$100000,$A54)</f>
        <v>40</v>
      </c>
    </row>
    <row r="55" customFormat="false" ht="15" hidden="false" customHeight="false" outlineLevel="0" collapsed="false">
      <c r="A55" s="5" t="n">
        <v>125</v>
      </c>
      <c r="B55" s="5" t="n">
        <f aca="false">COUNTIF(Trades!$F$2:$F$100000,$A55)</f>
        <v>6</v>
      </c>
    </row>
    <row r="56" customFormat="false" ht="15" hidden="false" customHeight="false" outlineLevel="0" collapsed="false">
      <c r="A56" s="5" t="n">
        <v>141</v>
      </c>
      <c r="B56" s="5" t="n">
        <f aca="false">COUNTIF(Trades!$F$2:$F$100000,$A56)</f>
        <v>1</v>
      </c>
    </row>
    <row r="57" customFormat="false" ht="15" hidden="false" customHeight="false" outlineLevel="0" collapsed="false">
      <c r="A57" s="5" t="n">
        <v>150</v>
      </c>
      <c r="B57" s="5" t="n">
        <f aca="false">COUNTIF(Trades!$F$2:$F$100000,$A57)</f>
        <v>57</v>
      </c>
    </row>
    <row r="58" customFormat="false" ht="15" hidden="false" customHeight="false" outlineLevel="0" collapsed="false">
      <c r="A58" s="5" t="n">
        <v>200</v>
      </c>
      <c r="B58" s="5" t="n">
        <f aca="false">COUNTIF(Trades!$F$2:$F$100000,$A58)</f>
        <v>6</v>
      </c>
    </row>
    <row r="59" customFormat="false" ht="15" hidden="false" customHeight="false" outlineLevel="0" collapsed="false">
      <c r="A59" s="5" t="n">
        <v>250</v>
      </c>
      <c r="B59" s="5" t="n">
        <f aca="false">COUNTIF(Trades!$F$2:$F$100000,$A59)</f>
        <v>21</v>
      </c>
    </row>
    <row r="60" customFormat="false" ht="15" hidden="false" customHeight="false" outlineLevel="0" collapsed="false">
      <c r="A60" s="5" t="n">
        <v>300</v>
      </c>
      <c r="B60" s="5" t="n">
        <f aca="false">COUNTIF(Trades!$F$2:$F$100000,$A60)</f>
        <v>2</v>
      </c>
    </row>
    <row r="61" customFormat="false" ht="15" hidden="false" customHeight="false" outlineLevel="0" collapsed="false">
      <c r="A61" s="5" t="n">
        <v>500</v>
      </c>
      <c r="B61" s="5" t="n">
        <f aca="false">COUNTIF(Trades!$F$2:$F$100000,$A61)</f>
        <v>2</v>
      </c>
    </row>
    <row r="63" customFormat="false" ht="15" hidden="false" customHeight="false" outlineLevel="0" collapsed="false">
      <c r="A63" s="3" t="s">
        <v>43</v>
      </c>
    </row>
    <row r="64" customFormat="false" ht="27.75" hidden="false" customHeight="true" outlineLevel="0" collapsed="false">
      <c r="A64" s="9" t="s">
        <v>44</v>
      </c>
      <c r="B64" s="9"/>
      <c r="C64" s="9"/>
      <c r="D64" s="9"/>
      <c r="E64" s="9"/>
      <c r="F64" s="9"/>
    </row>
    <row r="65" customFormat="false" ht="27.75" hidden="false" customHeight="true" outlineLevel="0" collapsed="false">
      <c r="A65" s="9" t="s">
        <v>45</v>
      </c>
      <c r="B65" s="9"/>
      <c r="C65" s="9"/>
      <c r="D65" s="9"/>
      <c r="E65" s="9"/>
      <c r="F65" s="9"/>
    </row>
    <row r="66" customFormat="false" ht="27.75" hidden="false" customHeight="true" outlineLevel="0" collapsed="false">
      <c r="A66" s="9" t="s">
        <v>46</v>
      </c>
      <c r="B66" s="9"/>
      <c r="C66" s="9"/>
      <c r="D66" s="9"/>
      <c r="E66" s="9"/>
      <c r="F66" s="9"/>
    </row>
    <row r="67" customFormat="false" ht="27.75" hidden="false" customHeight="true" outlineLevel="0" collapsed="false">
      <c r="A67" s="9" t="s">
        <v>47</v>
      </c>
      <c r="B67" s="9"/>
      <c r="C67" s="9"/>
      <c r="D67" s="9"/>
      <c r="E67" s="9"/>
      <c r="F67" s="9"/>
    </row>
    <row r="68" customFormat="false" ht="27.75" hidden="false" customHeight="true" outlineLevel="0" collapsed="false">
      <c r="A68" s="9" t="s">
        <v>48</v>
      </c>
      <c r="B68" s="9"/>
      <c r="C68" s="9"/>
      <c r="D68" s="9"/>
      <c r="E68" s="9"/>
      <c r="F68" s="9"/>
    </row>
  </sheetData>
  <mergeCells count="5">
    <mergeCell ref="A64:F64"/>
    <mergeCell ref="A65:F65"/>
    <mergeCell ref="A66:F66"/>
    <mergeCell ref="A67:F67"/>
    <mergeCell ref="A68:F6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12"/>
    <col collapsed="false" customWidth="true" hidden="false" outlineLevel="0" max="4" min="4" style="0" width="8"/>
    <col collapsed="false" customWidth="true" hidden="false" outlineLevel="0" max="5" min="5" style="0" width="7"/>
    <col collapsed="false" customWidth="true" hidden="false" outlineLevel="0" max="6" min="6" style="0" width="9"/>
    <col collapsed="false" customWidth="true" hidden="false" outlineLevel="0" max="7" min="7" style="0" width="11"/>
    <col collapsed="false" customWidth="true" hidden="false" outlineLevel="0" max="10" min="8" style="0" width="13"/>
    <col collapsed="false" customWidth="true" hidden="false" outlineLevel="0" max="11" min="11" style="0" width="9"/>
    <col collapsed="false" customWidth="true" hidden="false" outlineLevel="0" max="12" min="12" style="0" width="10"/>
    <col collapsed="false" customWidth="true" hidden="false" outlineLevel="0" max="13" min="13" style="0" width="16"/>
    <col collapsed="false" customWidth="true" hidden="false" outlineLevel="0" max="15" min="14" style="0" width="11"/>
    <col collapsed="false" customWidth="true" hidden="false" outlineLevel="0" max="16" min="16" style="0" width="18"/>
    <col collapsed="false" customWidth="true" hidden="false" outlineLevel="0" max="17" min="17" style="0" width="11"/>
    <col collapsed="false" customWidth="true" hidden="false" outlineLevel="0" max="18" min="18" style="0" width="9"/>
    <col collapsed="false" customWidth="true" hidden="false" outlineLevel="0" max="19" min="19" style="0" width="10"/>
    <col collapsed="false" customWidth="true" hidden="false" outlineLevel="0" max="20" min="20" style="0" width="20"/>
    <col collapsed="false" customWidth="true" hidden="false" outlineLevel="0" max="22" min="21" style="0" width="46"/>
    <col collapsed="false" customWidth="true" hidden="false" outlineLevel="0" max="23" min="23" style="0" width="40"/>
    <col collapsed="false" customWidth="true" hidden="false" outlineLevel="0" max="24" min="24" style="0" width="10"/>
    <col collapsed="false" customWidth="true" hidden="false" outlineLevel="0" max="25" min="25" style="0" width="34"/>
  </cols>
  <sheetData>
    <row r="1" customFormat="false" ht="30" hidden="false" customHeight="true" outlineLevel="0" collapsed="false">
      <c r="A1" s="10" t="s">
        <v>49</v>
      </c>
      <c r="B1" s="10" t="s">
        <v>50</v>
      </c>
      <c r="C1" s="10" t="s">
        <v>21</v>
      </c>
      <c r="D1" s="10" t="s">
        <v>51</v>
      </c>
      <c r="E1" s="10" t="s">
        <v>52</v>
      </c>
      <c r="F1" s="10" t="s">
        <v>13</v>
      </c>
      <c r="G1" s="10" t="s">
        <v>53</v>
      </c>
      <c r="H1" s="10" t="s">
        <v>10</v>
      </c>
      <c r="I1" s="10" t="s">
        <v>54</v>
      </c>
      <c r="J1" s="10" t="s">
        <v>55</v>
      </c>
      <c r="K1" s="10" t="s">
        <v>12</v>
      </c>
      <c r="L1" s="10" t="s">
        <v>56</v>
      </c>
      <c r="M1" s="10" t="s">
        <v>57</v>
      </c>
      <c r="N1" s="10" t="s">
        <v>58</v>
      </c>
      <c r="O1" s="10" t="s">
        <v>15</v>
      </c>
      <c r="P1" s="10" t="s">
        <v>59</v>
      </c>
      <c r="Q1" s="10" t="s">
        <v>60</v>
      </c>
      <c r="R1" s="10" t="s">
        <v>61</v>
      </c>
      <c r="S1" s="10" t="s">
        <v>62</v>
      </c>
      <c r="T1" s="10" t="s">
        <v>63</v>
      </c>
      <c r="U1" s="10" t="s">
        <v>64</v>
      </c>
      <c r="V1" s="10" t="s">
        <v>65</v>
      </c>
      <c r="W1" s="10" t="s">
        <v>66</v>
      </c>
      <c r="X1" s="10" t="s">
        <v>67</v>
      </c>
      <c r="Y1" s="10" t="s">
        <v>68</v>
      </c>
    </row>
    <row r="2" customFormat="false" ht="147" hidden="false" customHeight="false" outlineLevel="0" collapsed="false">
      <c r="A2" s="11" t="s">
        <v>69</v>
      </c>
      <c r="B2" s="11" t="s">
        <v>70</v>
      </c>
      <c r="C2" s="11" t="s">
        <v>71</v>
      </c>
      <c r="D2" s="11" t="s">
        <v>72</v>
      </c>
      <c r="E2" s="11"/>
      <c r="F2" s="11"/>
      <c r="G2" s="11"/>
      <c r="H2" s="12"/>
      <c r="I2" s="12"/>
      <c r="J2" s="11"/>
      <c r="K2" s="13"/>
      <c r="L2" s="13"/>
      <c r="M2" s="11"/>
      <c r="N2" s="11"/>
      <c r="O2" s="12"/>
      <c r="P2" s="11"/>
      <c r="Q2" s="12"/>
      <c r="R2" s="11" t="s">
        <v>73</v>
      </c>
      <c r="S2" s="11" t="s">
        <v>74</v>
      </c>
      <c r="T2" s="11" t="s">
        <v>75</v>
      </c>
      <c r="U2" s="14" t="s">
        <v>76</v>
      </c>
      <c r="V2" s="14" t="s">
        <v>77</v>
      </c>
      <c r="W2" s="14" t="s">
        <v>78</v>
      </c>
      <c r="X2" s="11" t="s">
        <v>79</v>
      </c>
      <c r="Y2" s="11" t="s">
        <v>80</v>
      </c>
    </row>
    <row r="3" customFormat="false" ht="147" hidden="false" customHeight="false" outlineLevel="0" collapsed="false">
      <c r="A3" s="11" t="s">
        <v>69</v>
      </c>
      <c r="B3" s="11" t="s">
        <v>70</v>
      </c>
      <c r="C3" s="11" t="s">
        <v>81</v>
      </c>
      <c r="D3" s="11" t="s">
        <v>82</v>
      </c>
      <c r="E3" s="11"/>
      <c r="F3" s="11"/>
      <c r="G3" s="11"/>
      <c r="H3" s="12"/>
      <c r="I3" s="12"/>
      <c r="J3" s="11"/>
      <c r="K3" s="13"/>
      <c r="L3" s="13"/>
      <c r="M3" s="11"/>
      <c r="N3" s="11"/>
      <c r="O3" s="12"/>
      <c r="P3" s="11"/>
      <c r="Q3" s="12"/>
      <c r="R3" s="11" t="s">
        <v>73</v>
      </c>
      <c r="S3" s="11" t="s">
        <v>74</v>
      </c>
      <c r="T3" s="11" t="s">
        <v>75</v>
      </c>
      <c r="U3" s="14" t="s">
        <v>83</v>
      </c>
      <c r="V3" s="14" t="s">
        <v>77</v>
      </c>
      <c r="W3" s="14" t="s">
        <v>78</v>
      </c>
      <c r="X3" s="11" t="s">
        <v>79</v>
      </c>
      <c r="Y3" s="11" t="s">
        <v>80</v>
      </c>
    </row>
    <row r="4" customFormat="false" ht="147" hidden="false" customHeight="false" outlineLevel="0" collapsed="false">
      <c r="A4" s="11" t="s">
        <v>69</v>
      </c>
      <c r="B4" s="11" t="s">
        <v>70</v>
      </c>
      <c r="C4" s="11" t="s">
        <v>84</v>
      </c>
      <c r="D4" s="11" t="s">
        <v>85</v>
      </c>
      <c r="E4" s="11"/>
      <c r="F4" s="11"/>
      <c r="G4" s="11"/>
      <c r="H4" s="12"/>
      <c r="I4" s="12"/>
      <c r="J4" s="11"/>
      <c r="K4" s="13"/>
      <c r="L4" s="13"/>
      <c r="M4" s="11"/>
      <c r="N4" s="11"/>
      <c r="O4" s="12"/>
      <c r="P4" s="11"/>
      <c r="Q4" s="12"/>
      <c r="R4" s="11" t="s">
        <v>73</v>
      </c>
      <c r="S4" s="11" t="s">
        <v>74</v>
      </c>
      <c r="T4" s="11" t="s">
        <v>75</v>
      </c>
      <c r="U4" s="14" t="s">
        <v>83</v>
      </c>
      <c r="V4" s="14" t="s">
        <v>77</v>
      </c>
      <c r="W4" s="14" t="s">
        <v>78</v>
      </c>
      <c r="X4" s="11" t="s">
        <v>79</v>
      </c>
      <c r="Y4" s="11" t="s">
        <v>80</v>
      </c>
    </row>
    <row r="5" customFormat="false" ht="147" hidden="false" customHeight="false" outlineLevel="0" collapsed="false">
      <c r="A5" s="11" t="s">
        <v>69</v>
      </c>
      <c r="B5" s="11" t="s">
        <v>70</v>
      </c>
      <c r="C5" s="11" t="s">
        <v>86</v>
      </c>
      <c r="D5" s="11" t="s">
        <v>26</v>
      </c>
      <c r="E5" s="11"/>
      <c r="F5" s="11"/>
      <c r="G5" s="11"/>
      <c r="H5" s="12"/>
      <c r="I5" s="12"/>
      <c r="J5" s="11"/>
      <c r="K5" s="13"/>
      <c r="L5" s="13"/>
      <c r="M5" s="11"/>
      <c r="N5" s="11"/>
      <c r="O5" s="12"/>
      <c r="P5" s="11"/>
      <c r="Q5" s="12"/>
      <c r="R5" s="11" t="s">
        <v>73</v>
      </c>
      <c r="S5" s="11" t="s">
        <v>74</v>
      </c>
      <c r="T5" s="11" t="s">
        <v>75</v>
      </c>
      <c r="U5" s="14" t="s">
        <v>87</v>
      </c>
      <c r="V5" s="14" t="s">
        <v>77</v>
      </c>
      <c r="W5" s="14" t="s">
        <v>78</v>
      </c>
      <c r="X5" s="11" t="s">
        <v>79</v>
      </c>
      <c r="Y5" s="11" t="s">
        <v>80</v>
      </c>
    </row>
    <row r="6" customFormat="false" ht="147" hidden="false" customHeight="false" outlineLevel="0" collapsed="false">
      <c r="A6" s="11" t="s">
        <v>69</v>
      </c>
      <c r="B6" s="11" t="s">
        <v>70</v>
      </c>
      <c r="C6" s="11" t="s">
        <v>86</v>
      </c>
      <c r="D6" s="11" t="s">
        <v>26</v>
      </c>
      <c r="E6" s="11"/>
      <c r="F6" s="11"/>
      <c r="G6" s="11"/>
      <c r="H6" s="12"/>
      <c r="I6" s="12"/>
      <c r="J6" s="11"/>
      <c r="K6" s="13"/>
      <c r="L6" s="13"/>
      <c r="M6" s="11"/>
      <c r="N6" s="11"/>
      <c r="O6" s="12"/>
      <c r="P6" s="11"/>
      <c r="Q6" s="12"/>
      <c r="R6" s="11" t="s">
        <v>73</v>
      </c>
      <c r="S6" s="11" t="s">
        <v>74</v>
      </c>
      <c r="T6" s="11" t="s">
        <v>75</v>
      </c>
      <c r="U6" s="14" t="s">
        <v>88</v>
      </c>
      <c r="V6" s="14" t="s">
        <v>77</v>
      </c>
      <c r="W6" s="14" t="s">
        <v>78</v>
      </c>
      <c r="X6" s="11" t="s">
        <v>79</v>
      </c>
      <c r="Y6" s="11" t="s">
        <v>80</v>
      </c>
    </row>
    <row r="7" customFormat="false" ht="147" hidden="false" customHeight="false" outlineLevel="0" collapsed="false">
      <c r="A7" s="11" t="s">
        <v>69</v>
      </c>
      <c r="B7" s="11" t="s">
        <v>70</v>
      </c>
      <c r="C7" s="11" t="s">
        <v>86</v>
      </c>
      <c r="D7" s="11" t="s">
        <v>26</v>
      </c>
      <c r="E7" s="11"/>
      <c r="F7" s="11"/>
      <c r="G7" s="11"/>
      <c r="H7" s="12"/>
      <c r="I7" s="12"/>
      <c r="J7" s="11"/>
      <c r="K7" s="13"/>
      <c r="L7" s="13"/>
      <c r="M7" s="11"/>
      <c r="N7" s="11"/>
      <c r="O7" s="12"/>
      <c r="P7" s="11"/>
      <c r="Q7" s="12"/>
      <c r="R7" s="11" t="s">
        <v>73</v>
      </c>
      <c r="S7" s="11" t="s">
        <v>74</v>
      </c>
      <c r="T7" s="11" t="s">
        <v>75</v>
      </c>
      <c r="U7" s="14" t="s">
        <v>89</v>
      </c>
      <c r="V7" s="14" t="s">
        <v>77</v>
      </c>
      <c r="W7" s="14" t="s">
        <v>78</v>
      </c>
      <c r="X7" s="11" t="s">
        <v>79</v>
      </c>
      <c r="Y7" s="11" t="s">
        <v>80</v>
      </c>
    </row>
    <row r="8" customFormat="false" ht="147" hidden="false" customHeight="false" outlineLevel="0" collapsed="false">
      <c r="A8" s="11" t="s">
        <v>69</v>
      </c>
      <c r="B8" s="11" t="s">
        <v>70</v>
      </c>
      <c r="C8" s="11" t="s">
        <v>90</v>
      </c>
      <c r="D8" s="11" t="s">
        <v>27</v>
      </c>
      <c r="E8" s="11"/>
      <c r="F8" s="11"/>
      <c r="G8" s="11"/>
      <c r="H8" s="12"/>
      <c r="I8" s="12"/>
      <c r="J8" s="11"/>
      <c r="K8" s="13"/>
      <c r="L8" s="13"/>
      <c r="M8" s="11"/>
      <c r="N8" s="11"/>
      <c r="O8" s="12"/>
      <c r="P8" s="11"/>
      <c r="Q8" s="12"/>
      <c r="R8" s="11" t="s">
        <v>73</v>
      </c>
      <c r="S8" s="11" t="s">
        <v>74</v>
      </c>
      <c r="T8" s="11" t="s">
        <v>75</v>
      </c>
      <c r="U8" s="14" t="s">
        <v>91</v>
      </c>
      <c r="V8" s="14" t="s">
        <v>77</v>
      </c>
      <c r="W8" s="14" t="s">
        <v>78</v>
      </c>
      <c r="X8" s="11" t="s">
        <v>79</v>
      </c>
      <c r="Y8" s="11" t="s">
        <v>80</v>
      </c>
    </row>
    <row r="9" customFormat="false" ht="147" hidden="false" customHeight="false" outlineLevel="0" collapsed="false">
      <c r="A9" s="11" t="s">
        <v>69</v>
      </c>
      <c r="B9" s="11" t="s">
        <v>70</v>
      </c>
      <c r="C9" s="11" t="s">
        <v>92</v>
      </c>
      <c r="D9" s="11" t="s">
        <v>30</v>
      </c>
      <c r="E9" s="11"/>
      <c r="F9" s="11"/>
      <c r="G9" s="11"/>
      <c r="H9" s="12"/>
      <c r="I9" s="12"/>
      <c r="J9" s="11"/>
      <c r="K9" s="13"/>
      <c r="L9" s="13"/>
      <c r="M9" s="11"/>
      <c r="N9" s="11"/>
      <c r="O9" s="12"/>
      <c r="P9" s="11"/>
      <c r="Q9" s="12"/>
      <c r="R9" s="11" t="s">
        <v>73</v>
      </c>
      <c r="S9" s="11" t="s">
        <v>74</v>
      </c>
      <c r="T9" s="11" t="s">
        <v>75</v>
      </c>
      <c r="U9" s="14" t="s">
        <v>83</v>
      </c>
      <c r="V9" s="14" t="s">
        <v>77</v>
      </c>
      <c r="W9" s="14" t="s">
        <v>78</v>
      </c>
      <c r="X9" s="11" t="s">
        <v>79</v>
      </c>
      <c r="Y9" s="11" t="s">
        <v>80</v>
      </c>
    </row>
    <row r="10" customFormat="false" ht="147" hidden="false" customHeight="false" outlineLevel="0" collapsed="false">
      <c r="A10" s="11" t="s">
        <v>69</v>
      </c>
      <c r="B10" s="11" t="s">
        <v>70</v>
      </c>
      <c r="C10" s="11" t="s">
        <v>93</v>
      </c>
      <c r="D10" s="11" t="s">
        <v>94</v>
      </c>
      <c r="E10" s="11"/>
      <c r="F10" s="11"/>
      <c r="G10" s="11"/>
      <c r="H10" s="12"/>
      <c r="I10" s="12"/>
      <c r="J10" s="11"/>
      <c r="K10" s="13"/>
      <c r="L10" s="13"/>
      <c r="M10" s="11"/>
      <c r="N10" s="11"/>
      <c r="O10" s="12"/>
      <c r="P10" s="11"/>
      <c r="Q10" s="12"/>
      <c r="R10" s="11" t="s">
        <v>73</v>
      </c>
      <c r="S10" s="11" t="s">
        <v>74</v>
      </c>
      <c r="T10" s="11" t="s">
        <v>75</v>
      </c>
      <c r="U10" s="14" t="s">
        <v>83</v>
      </c>
      <c r="V10" s="14" t="s">
        <v>77</v>
      </c>
      <c r="W10" s="14" t="s">
        <v>78</v>
      </c>
      <c r="X10" s="11" t="s">
        <v>79</v>
      </c>
      <c r="Y10" s="11" t="s">
        <v>80</v>
      </c>
    </row>
    <row r="11" customFormat="false" ht="147" hidden="false" customHeight="false" outlineLevel="0" collapsed="false">
      <c r="A11" s="11" t="s">
        <v>69</v>
      </c>
      <c r="B11" s="11" t="s">
        <v>70</v>
      </c>
      <c r="C11" s="11" t="s">
        <v>90</v>
      </c>
      <c r="D11" s="11" t="s">
        <v>27</v>
      </c>
      <c r="E11" s="11"/>
      <c r="F11" s="11"/>
      <c r="G11" s="11"/>
      <c r="H11" s="12"/>
      <c r="I11" s="12"/>
      <c r="J11" s="11"/>
      <c r="K11" s="13"/>
      <c r="L11" s="13"/>
      <c r="M11" s="11"/>
      <c r="N11" s="11"/>
      <c r="O11" s="12"/>
      <c r="P11" s="11"/>
      <c r="Q11" s="12"/>
      <c r="R11" s="11" t="s">
        <v>73</v>
      </c>
      <c r="S11" s="11" t="s">
        <v>74</v>
      </c>
      <c r="T11" s="11" t="s">
        <v>75</v>
      </c>
      <c r="U11" s="14" t="s">
        <v>95</v>
      </c>
      <c r="V11" s="14" t="s">
        <v>77</v>
      </c>
      <c r="W11" s="14" t="s">
        <v>78</v>
      </c>
      <c r="X11" s="11" t="s">
        <v>79</v>
      </c>
      <c r="Y11" s="11" t="s">
        <v>80</v>
      </c>
    </row>
    <row r="12" customFormat="false" ht="147" hidden="false" customHeight="false" outlineLevel="0" collapsed="false">
      <c r="A12" s="11" t="s">
        <v>69</v>
      </c>
      <c r="B12" s="11" t="s">
        <v>70</v>
      </c>
      <c r="C12" s="11" t="s">
        <v>86</v>
      </c>
      <c r="D12" s="11" t="s">
        <v>26</v>
      </c>
      <c r="E12" s="11"/>
      <c r="F12" s="11"/>
      <c r="G12" s="11"/>
      <c r="H12" s="12"/>
      <c r="I12" s="12"/>
      <c r="J12" s="11"/>
      <c r="K12" s="13"/>
      <c r="L12" s="13"/>
      <c r="M12" s="11"/>
      <c r="N12" s="11"/>
      <c r="O12" s="12"/>
      <c r="P12" s="11"/>
      <c r="Q12" s="12"/>
      <c r="R12" s="11" t="s">
        <v>73</v>
      </c>
      <c r="S12" s="11" t="s">
        <v>74</v>
      </c>
      <c r="T12" s="11" t="s">
        <v>75</v>
      </c>
      <c r="U12" s="14" t="s">
        <v>96</v>
      </c>
      <c r="V12" s="14" t="s">
        <v>77</v>
      </c>
      <c r="W12" s="14" t="s">
        <v>78</v>
      </c>
      <c r="X12" s="11" t="s">
        <v>79</v>
      </c>
      <c r="Y12" s="11" t="s">
        <v>80</v>
      </c>
    </row>
    <row r="13" customFormat="false" ht="147" hidden="false" customHeight="false" outlineLevel="0" collapsed="false">
      <c r="A13" s="11" t="s">
        <v>69</v>
      </c>
      <c r="B13" s="11" t="s">
        <v>70</v>
      </c>
      <c r="C13" s="11" t="s">
        <v>86</v>
      </c>
      <c r="D13" s="11" t="s">
        <v>26</v>
      </c>
      <c r="E13" s="11"/>
      <c r="F13" s="11"/>
      <c r="G13" s="11"/>
      <c r="H13" s="12"/>
      <c r="I13" s="12"/>
      <c r="J13" s="11"/>
      <c r="K13" s="13"/>
      <c r="L13" s="13"/>
      <c r="M13" s="11"/>
      <c r="N13" s="11"/>
      <c r="O13" s="12"/>
      <c r="P13" s="11"/>
      <c r="Q13" s="12"/>
      <c r="R13" s="11" t="s">
        <v>73</v>
      </c>
      <c r="S13" s="11" t="s">
        <v>74</v>
      </c>
      <c r="T13" s="11" t="s">
        <v>75</v>
      </c>
      <c r="U13" s="14" t="s">
        <v>97</v>
      </c>
      <c r="V13" s="14" t="s">
        <v>77</v>
      </c>
      <c r="W13" s="14" t="s">
        <v>78</v>
      </c>
      <c r="X13" s="11" t="s">
        <v>79</v>
      </c>
      <c r="Y13" s="11" t="s">
        <v>80</v>
      </c>
    </row>
    <row r="14" customFormat="false" ht="147" hidden="false" customHeight="false" outlineLevel="0" collapsed="false">
      <c r="A14" s="11" t="s">
        <v>69</v>
      </c>
      <c r="B14" s="11" t="s">
        <v>70</v>
      </c>
      <c r="C14" s="11" t="s">
        <v>86</v>
      </c>
      <c r="D14" s="11" t="s">
        <v>26</v>
      </c>
      <c r="E14" s="11"/>
      <c r="F14" s="11"/>
      <c r="G14" s="11"/>
      <c r="H14" s="12"/>
      <c r="I14" s="12"/>
      <c r="J14" s="11"/>
      <c r="K14" s="13"/>
      <c r="L14" s="13"/>
      <c r="M14" s="11"/>
      <c r="N14" s="11"/>
      <c r="O14" s="12"/>
      <c r="P14" s="11"/>
      <c r="Q14" s="12"/>
      <c r="R14" s="11" t="s">
        <v>73</v>
      </c>
      <c r="S14" s="11" t="s">
        <v>74</v>
      </c>
      <c r="T14" s="11" t="s">
        <v>75</v>
      </c>
      <c r="U14" s="14" t="s">
        <v>98</v>
      </c>
      <c r="V14" s="14" t="s">
        <v>77</v>
      </c>
      <c r="W14" s="14" t="s">
        <v>78</v>
      </c>
      <c r="X14" s="11" t="s">
        <v>79</v>
      </c>
      <c r="Y14" s="11" t="s">
        <v>80</v>
      </c>
    </row>
    <row r="15" customFormat="false" ht="147" hidden="false" customHeight="false" outlineLevel="0" collapsed="false">
      <c r="A15" s="11" t="s">
        <v>69</v>
      </c>
      <c r="B15" s="11" t="s">
        <v>70</v>
      </c>
      <c r="C15" s="11" t="s">
        <v>86</v>
      </c>
      <c r="D15" s="11" t="s">
        <v>26</v>
      </c>
      <c r="E15" s="11"/>
      <c r="F15" s="11"/>
      <c r="G15" s="11"/>
      <c r="H15" s="12"/>
      <c r="I15" s="12"/>
      <c r="J15" s="11"/>
      <c r="K15" s="13"/>
      <c r="L15" s="13"/>
      <c r="M15" s="11"/>
      <c r="N15" s="11"/>
      <c r="O15" s="12"/>
      <c r="P15" s="11"/>
      <c r="Q15" s="12"/>
      <c r="R15" s="11" t="s">
        <v>73</v>
      </c>
      <c r="S15" s="11" t="s">
        <v>74</v>
      </c>
      <c r="T15" s="11" t="s">
        <v>75</v>
      </c>
      <c r="U15" s="14" t="s">
        <v>99</v>
      </c>
      <c r="V15" s="14" t="s">
        <v>77</v>
      </c>
      <c r="W15" s="14" t="s">
        <v>78</v>
      </c>
      <c r="X15" s="11" t="s">
        <v>79</v>
      </c>
      <c r="Y15" s="11" t="s">
        <v>80</v>
      </c>
    </row>
    <row r="16" customFormat="false" ht="147" hidden="false" customHeight="false" outlineLevel="0" collapsed="false">
      <c r="A16" s="11" t="s">
        <v>69</v>
      </c>
      <c r="B16" s="11" t="s">
        <v>70</v>
      </c>
      <c r="C16" s="11" t="s">
        <v>86</v>
      </c>
      <c r="D16" s="11" t="s">
        <v>26</v>
      </c>
      <c r="E16" s="11"/>
      <c r="F16" s="11"/>
      <c r="G16" s="11"/>
      <c r="H16" s="12"/>
      <c r="I16" s="12"/>
      <c r="J16" s="11"/>
      <c r="K16" s="13"/>
      <c r="L16" s="13"/>
      <c r="M16" s="11"/>
      <c r="N16" s="11"/>
      <c r="O16" s="12"/>
      <c r="P16" s="11"/>
      <c r="Q16" s="12"/>
      <c r="R16" s="11" t="s">
        <v>73</v>
      </c>
      <c r="S16" s="11" t="s">
        <v>74</v>
      </c>
      <c r="T16" s="11" t="s">
        <v>75</v>
      </c>
      <c r="U16" s="14" t="s">
        <v>100</v>
      </c>
      <c r="V16" s="14" t="s">
        <v>77</v>
      </c>
      <c r="W16" s="14" t="s">
        <v>78</v>
      </c>
      <c r="X16" s="11" t="s">
        <v>79</v>
      </c>
      <c r="Y16" s="11" t="s">
        <v>80</v>
      </c>
    </row>
    <row r="17" customFormat="false" ht="147" hidden="false" customHeight="false" outlineLevel="0" collapsed="false">
      <c r="A17" s="11" t="s">
        <v>69</v>
      </c>
      <c r="B17" s="11" t="s">
        <v>70</v>
      </c>
      <c r="C17" s="11" t="s">
        <v>90</v>
      </c>
      <c r="D17" s="11" t="s">
        <v>27</v>
      </c>
      <c r="E17" s="11"/>
      <c r="F17" s="11"/>
      <c r="G17" s="11"/>
      <c r="H17" s="12"/>
      <c r="I17" s="12"/>
      <c r="J17" s="11"/>
      <c r="K17" s="13"/>
      <c r="L17" s="13"/>
      <c r="M17" s="11"/>
      <c r="N17" s="11"/>
      <c r="O17" s="12"/>
      <c r="P17" s="11"/>
      <c r="Q17" s="12"/>
      <c r="R17" s="11" t="s">
        <v>73</v>
      </c>
      <c r="S17" s="11" t="s">
        <v>74</v>
      </c>
      <c r="T17" s="11" t="s">
        <v>75</v>
      </c>
      <c r="U17" s="14" t="s">
        <v>101</v>
      </c>
      <c r="V17" s="14" t="s">
        <v>77</v>
      </c>
      <c r="W17" s="14" t="s">
        <v>78</v>
      </c>
      <c r="X17" s="11" t="s">
        <v>79</v>
      </c>
      <c r="Y17" s="11" t="s">
        <v>80</v>
      </c>
    </row>
    <row r="18" customFormat="false" ht="147" hidden="false" customHeight="false" outlineLevel="0" collapsed="false">
      <c r="A18" s="11" t="s">
        <v>69</v>
      </c>
      <c r="B18" s="11" t="s">
        <v>70</v>
      </c>
      <c r="C18" s="11" t="s">
        <v>86</v>
      </c>
      <c r="D18" s="11" t="s">
        <v>26</v>
      </c>
      <c r="E18" s="11"/>
      <c r="F18" s="11"/>
      <c r="G18" s="11"/>
      <c r="H18" s="12"/>
      <c r="I18" s="12"/>
      <c r="J18" s="11"/>
      <c r="K18" s="13"/>
      <c r="L18" s="13"/>
      <c r="M18" s="11"/>
      <c r="N18" s="11"/>
      <c r="O18" s="12"/>
      <c r="P18" s="11"/>
      <c r="Q18" s="12"/>
      <c r="R18" s="11" t="s">
        <v>73</v>
      </c>
      <c r="S18" s="11" t="s">
        <v>74</v>
      </c>
      <c r="T18" s="11" t="s">
        <v>75</v>
      </c>
      <c r="U18" s="14" t="s">
        <v>102</v>
      </c>
      <c r="V18" s="14" t="s">
        <v>77</v>
      </c>
      <c r="W18" s="14" t="s">
        <v>78</v>
      </c>
      <c r="X18" s="11" t="s">
        <v>79</v>
      </c>
      <c r="Y18" s="11" t="s">
        <v>80</v>
      </c>
    </row>
    <row r="19" customFormat="false" ht="147" hidden="false" customHeight="false" outlineLevel="0" collapsed="false">
      <c r="A19" s="11" t="s">
        <v>69</v>
      </c>
      <c r="B19" s="11" t="s">
        <v>70</v>
      </c>
      <c r="C19" s="11" t="s">
        <v>86</v>
      </c>
      <c r="D19" s="11" t="s">
        <v>26</v>
      </c>
      <c r="E19" s="11"/>
      <c r="F19" s="11"/>
      <c r="G19" s="11"/>
      <c r="H19" s="12"/>
      <c r="I19" s="12"/>
      <c r="J19" s="11"/>
      <c r="K19" s="13"/>
      <c r="L19" s="13"/>
      <c r="M19" s="11"/>
      <c r="N19" s="11"/>
      <c r="O19" s="12"/>
      <c r="P19" s="11"/>
      <c r="Q19" s="12"/>
      <c r="R19" s="11" t="s">
        <v>73</v>
      </c>
      <c r="S19" s="11" t="s">
        <v>74</v>
      </c>
      <c r="T19" s="11" t="s">
        <v>75</v>
      </c>
      <c r="U19" s="14" t="s">
        <v>103</v>
      </c>
      <c r="V19" s="14" t="s">
        <v>77</v>
      </c>
      <c r="W19" s="14" t="s">
        <v>78</v>
      </c>
      <c r="X19" s="11" t="s">
        <v>79</v>
      </c>
      <c r="Y19" s="11" t="s">
        <v>80</v>
      </c>
    </row>
    <row r="20" customFormat="false" ht="147" hidden="false" customHeight="false" outlineLevel="0" collapsed="false">
      <c r="A20" s="11" t="s">
        <v>69</v>
      </c>
      <c r="B20" s="11" t="s">
        <v>70</v>
      </c>
      <c r="C20" s="11" t="s">
        <v>86</v>
      </c>
      <c r="D20" s="11" t="s">
        <v>26</v>
      </c>
      <c r="E20" s="11"/>
      <c r="F20" s="11"/>
      <c r="G20" s="11"/>
      <c r="H20" s="12"/>
      <c r="I20" s="12"/>
      <c r="J20" s="11"/>
      <c r="K20" s="13"/>
      <c r="L20" s="13"/>
      <c r="M20" s="11"/>
      <c r="N20" s="11"/>
      <c r="O20" s="12"/>
      <c r="P20" s="11"/>
      <c r="Q20" s="12"/>
      <c r="R20" s="11" t="s">
        <v>73</v>
      </c>
      <c r="S20" s="11" t="s">
        <v>74</v>
      </c>
      <c r="T20" s="11" t="s">
        <v>75</v>
      </c>
      <c r="U20" s="14" t="s">
        <v>104</v>
      </c>
      <c r="V20" s="14" t="s">
        <v>77</v>
      </c>
      <c r="W20" s="14" t="s">
        <v>78</v>
      </c>
      <c r="X20" s="11" t="s">
        <v>79</v>
      </c>
      <c r="Y20" s="11" t="s">
        <v>80</v>
      </c>
    </row>
    <row r="21" customFormat="false" ht="147" hidden="false" customHeight="false" outlineLevel="0" collapsed="false">
      <c r="A21" s="11" t="s">
        <v>69</v>
      </c>
      <c r="B21" s="11" t="s">
        <v>70</v>
      </c>
      <c r="C21" s="11" t="s">
        <v>86</v>
      </c>
      <c r="D21" s="11" t="s">
        <v>26</v>
      </c>
      <c r="E21" s="11"/>
      <c r="F21" s="11"/>
      <c r="G21" s="11"/>
      <c r="H21" s="12"/>
      <c r="I21" s="12"/>
      <c r="J21" s="11"/>
      <c r="K21" s="13"/>
      <c r="L21" s="13"/>
      <c r="M21" s="11"/>
      <c r="N21" s="11"/>
      <c r="O21" s="12"/>
      <c r="P21" s="11"/>
      <c r="Q21" s="12"/>
      <c r="R21" s="11" t="s">
        <v>73</v>
      </c>
      <c r="S21" s="11" t="s">
        <v>74</v>
      </c>
      <c r="T21" s="11" t="s">
        <v>75</v>
      </c>
      <c r="U21" s="14" t="s">
        <v>105</v>
      </c>
      <c r="V21" s="14" t="s">
        <v>77</v>
      </c>
      <c r="W21" s="14" t="s">
        <v>78</v>
      </c>
      <c r="X21" s="11" t="s">
        <v>79</v>
      </c>
      <c r="Y21" s="11" t="s">
        <v>80</v>
      </c>
    </row>
    <row r="22" customFormat="false" ht="147" hidden="false" customHeight="false" outlineLevel="0" collapsed="false">
      <c r="A22" s="11" t="s">
        <v>69</v>
      </c>
      <c r="B22" s="11" t="s">
        <v>70</v>
      </c>
      <c r="C22" s="11" t="s">
        <v>86</v>
      </c>
      <c r="D22" s="11" t="s">
        <v>26</v>
      </c>
      <c r="E22" s="11"/>
      <c r="F22" s="11"/>
      <c r="G22" s="11"/>
      <c r="H22" s="12"/>
      <c r="I22" s="12"/>
      <c r="J22" s="11"/>
      <c r="K22" s="13"/>
      <c r="L22" s="13"/>
      <c r="M22" s="11"/>
      <c r="N22" s="11"/>
      <c r="O22" s="12"/>
      <c r="P22" s="11"/>
      <c r="Q22" s="12"/>
      <c r="R22" s="11" t="s">
        <v>73</v>
      </c>
      <c r="S22" s="11" t="s">
        <v>74</v>
      </c>
      <c r="T22" s="11" t="s">
        <v>75</v>
      </c>
      <c r="U22" s="14" t="s">
        <v>106</v>
      </c>
      <c r="V22" s="14" t="s">
        <v>77</v>
      </c>
      <c r="W22" s="14" t="s">
        <v>78</v>
      </c>
      <c r="X22" s="11" t="s">
        <v>79</v>
      </c>
      <c r="Y22" s="11" t="s">
        <v>80</v>
      </c>
    </row>
    <row r="23" customFormat="false" ht="147" hidden="false" customHeight="false" outlineLevel="0" collapsed="false">
      <c r="A23" s="11" t="s">
        <v>69</v>
      </c>
      <c r="B23" s="11" t="s">
        <v>70</v>
      </c>
      <c r="C23" s="11" t="s">
        <v>107</v>
      </c>
      <c r="D23" s="11" t="s">
        <v>28</v>
      </c>
      <c r="E23" s="11"/>
      <c r="F23" s="11"/>
      <c r="G23" s="11"/>
      <c r="H23" s="12"/>
      <c r="I23" s="12"/>
      <c r="J23" s="11"/>
      <c r="K23" s="13"/>
      <c r="L23" s="13"/>
      <c r="M23" s="11"/>
      <c r="N23" s="11"/>
      <c r="O23" s="12"/>
      <c r="P23" s="11"/>
      <c r="Q23" s="12"/>
      <c r="R23" s="11" t="s">
        <v>73</v>
      </c>
      <c r="S23" s="11" t="s">
        <v>74</v>
      </c>
      <c r="T23" s="11" t="s">
        <v>75</v>
      </c>
      <c r="U23" s="14" t="s">
        <v>108</v>
      </c>
      <c r="V23" s="14" t="s">
        <v>77</v>
      </c>
      <c r="W23" s="14" t="s">
        <v>78</v>
      </c>
      <c r="X23" s="11" t="s">
        <v>79</v>
      </c>
      <c r="Y23" s="11" t="s">
        <v>80</v>
      </c>
    </row>
    <row r="24" customFormat="false" ht="147" hidden="false" customHeight="false" outlineLevel="0" collapsed="false">
      <c r="A24" s="11" t="s">
        <v>69</v>
      </c>
      <c r="B24" s="11" t="s">
        <v>70</v>
      </c>
      <c r="C24" s="11" t="s">
        <v>109</v>
      </c>
      <c r="D24" s="11" t="s">
        <v>110</v>
      </c>
      <c r="E24" s="11"/>
      <c r="F24" s="11"/>
      <c r="G24" s="11"/>
      <c r="H24" s="12"/>
      <c r="I24" s="12"/>
      <c r="J24" s="11"/>
      <c r="K24" s="13"/>
      <c r="L24" s="13"/>
      <c r="M24" s="11"/>
      <c r="N24" s="11"/>
      <c r="O24" s="12"/>
      <c r="P24" s="11"/>
      <c r="Q24" s="12"/>
      <c r="R24" s="11" t="s">
        <v>73</v>
      </c>
      <c r="S24" s="11" t="s">
        <v>74</v>
      </c>
      <c r="T24" s="11" t="s">
        <v>75</v>
      </c>
      <c r="U24" s="14" t="s">
        <v>108</v>
      </c>
      <c r="V24" s="14" t="s">
        <v>77</v>
      </c>
      <c r="W24" s="14" t="s">
        <v>78</v>
      </c>
      <c r="X24" s="11" t="s">
        <v>79</v>
      </c>
      <c r="Y24" s="11" t="s">
        <v>80</v>
      </c>
    </row>
    <row r="25" customFormat="false" ht="147" hidden="false" customHeight="false" outlineLevel="0" collapsed="false">
      <c r="A25" s="11" t="s">
        <v>69</v>
      </c>
      <c r="B25" s="11" t="s">
        <v>70</v>
      </c>
      <c r="C25" s="11" t="s">
        <v>86</v>
      </c>
      <c r="D25" s="11" t="s">
        <v>26</v>
      </c>
      <c r="E25" s="11"/>
      <c r="F25" s="11"/>
      <c r="G25" s="11"/>
      <c r="H25" s="12"/>
      <c r="I25" s="12"/>
      <c r="J25" s="11"/>
      <c r="K25" s="13"/>
      <c r="L25" s="13"/>
      <c r="M25" s="11"/>
      <c r="N25" s="11"/>
      <c r="O25" s="12"/>
      <c r="P25" s="11"/>
      <c r="Q25" s="12"/>
      <c r="R25" s="11" t="s">
        <v>73</v>
      </c>
      <c r="S25" s="11" t="s">
        <v>74</v>
      </c>
      <c r="T25" s="11" t="s">
        <v>75</v>
      </c>
      <c r="U25" s="14" t="s">
        <v>108</v>
      </c>
      <c r="V25" s="14" t="s">
        <v>77</v>
      </c>
      <c r="W25" s="14" t="s">
        <v>78</v>
      </c>
      <c r="X25" s="11" t="s">
        <v>79</v>
      </c>
      <c r="Y25" s="11" t="s">
        <v>80</v>
      </c>
    </row>
    <row r="26" customFormat="false" ht="91" hidden="false" customHeight="false" outlineLevel="0" collapsed="false">
      <c r="A26" s="11" t="s">
        <v>111</v>
      </c>
      <c r="B26" s="11" t="s">
        <v>112</v>
      </c>
      <c r="C26" s="11" t="s">
        <v>86</v>
      </c>
      <c r="D26" s="11" t="s">
        <v>26</v>
      </c>
      <c r="E26" s="11" t="s">
        <v>113</v>
      </c>
      <c r="F26" s="11"/>
      <c r="G26" s="11"/>
      <c r="H26" s="12" t="n">
        <v>79564.8</v>
      </c>
      <c r="I26" s="12"/>
      <c r="J26" s="11"/>
      <c r="K26" s="13"/>
      <c r="L26" s="13"/>
      <c r="M26" s="11"/>
      <c r="N26" s="11"/>
      <c r="O26" s="12"/>
      <c r="P26" s="11"/>
      <c r="Q26" s="12"/>
      <c r="R26" s="11" t="s">
        <v>114</v>
      </c>
      <c r="S26" s="11" t="s">
        <v>115</v>
      </c>
      <c r="T26" s="11" t="s">
        <v>116</v>
      </c>
      <c r="U26" s="14" t="s">
        <v>117</v>
      </c>
      <c r="V26" s="14" t="s">
        <v>118</v>
      </c>
      <c r="W26" s="14" t="s">
        <v>119</v>
      </c>
      <c r="X26" s="11" t="s">
        <v>120</v>
      </c>
      <c r="Y26" s="11" t="s">
        <v>121</v>
      </c>
    </row>
    <row r="27" customFormat="false" ht="102.2" hidden="false" customHeight="false" outlineLevel="0" collapsed="false">
      <c r="A27" s="11" t="s">
        <v>111</v>
      </c>
      <c r="B27" s="11" t="s">
        <v>122</v>
      </c>
      <c r="C27" s="11" t="s">
        <v>123</v>
      </c>
      <c r="D27" s="11" t="s">
        <v>124</v>
      </c>
      <c r="E27" s="11" t="s">
        <v>113</v>
      </c>
      <c r="F27" s="11" t="n">
        <v>50</v>
      </c>
      <c r="G27" s="11"/>
      <c r="H27" s="12"/>
      <c r="I27" s="12"/>
      <c r="J27" s="11"/>
      <c r="K27" s="13" t="n">
        <v>101.21</v>
      </c>
      <c r="L27" s="13"/>
      <c r="M27" s="11"/>
      <c r="N27" s="11"/>
      <c r="O27" s="12"/>
      <c r="P27" s="11"/>
      <c r="Q27" s="12"/>
      <c r="R27" s="11" t="s">
        <v>73</v>
      </c>
      <c r="S27" s="11" t="s">
        <v>125</v>
      </c>
      <c r="T27" s="11" t="s">
        <v>126</v>
      </c>
      <c r="U27" s="14" t="s">
        <v>127</v>
      </c>
      <c r="V27" s="14" t="s">
        <v>128</v>
      </c>
      <c r="W27" s="14" t="s">
        <v>129</v>
      </c>
      <c r="X27" s="11" t="s">
        <v>120</v>
      </c>
      <c r="Y27" s="11" t="s">
        <v>130</v>
      </c>
    </row>
    <row r="28" customFormat="false" ht="35.05" hidden="false" customHeight="false" outlineLevel="0" collapsed="false">
      <c r="A28" s="11" t="s">
        <v>131</v>
      </c>
      <c r="B28" s="11" t="s">
        <v>132</v>
      </c>
      <c r="C28" s="11" t="s">
        <v>133</v>
      </c>
      <c r="D28" s="11" t="s">
        <v>134</v>
      </c>
      <c r="E28" s="11" t="s">
        <v>113</v>
      </c>
      <c r="F28" s="11" t="n">
        <v>20</v>
      </c>
      <c r="G28" s="11"/>
      <c r="H28" s="12" t="n">
        <v>0.06454</v>
      </c>
      <c r="I28" s="12" t="n">
        <v>0.06615</v>
      </c>
      <c r="J28" s="11" t="s">
        <v>135</v>
      </c>
      <c r="K28" s="13" t="n">
        <v>49.35</v>
      </c>
      <c r="L28" s="13"/>
      <c r="M28" s="11"/>
      <c r="N28" s="11"/>
      <c r="O28" s="12"/>
      <c r="P28" s="11"/>
      <c r="Q28" s="12"/>
      <c r="R28" s="11" t="s">
        <v>114</v>
      </c>
      <c r="S28" s="11" t="s">
        <v>125</v>
      </c>
      <c r="T28" s="11" t="s">
        <v>126</v>
      </c>
      <c r="U28" s="14" t="s">
        <v>136</v>
      </c>
      <c r="V28" s="14" t="s">
        <v>137</v>
      </c>
      <c r="W28" s="14" t="s">
        <v>138</v>
      </c>
      <c r="X28" s="11" t="s">
        <v>79</v>
      </c>
      <c r="Y28" s="11" t="s">
        <v>139</v>
      </c>
    </row>
    <row r="29" customFormat="false" ht="46.25" hidden="false" customHeight="false" outlineLevel="0" collapsed="false">
      <c r="A29" s="11" t="s">
        <v>131</v>
      </c>
      <c r="B29" s="11" t="s">
        <v>140</v>
      </c>
      <c r="C29" s="11" t="s">
        <v>133</v>
      </c>
      <c r="D29" s="11" t="s">
        <v>134</v>
      </c>
      <c r="E29" s="11" t="s">
        <v>113</v>
      </c>
      <c r="F29" s="11" t="n">
        <v>20</v>
      </c>
      <c r="G29" s="11"/>
      <c r="H29" s="12" t="n">
        <v>0.06454</v>
      </c>
      <c r="I29" s="12" t="n">
        <v>0.06615</v>
      </c>
      <c r="J29" s="11" t="s">
        <v>135</v>
      </c>
      <c r="K29" s="13" t="n">
        <v>49.35</v>
      </c>
      <c r="L29" s="13"/>
      <c r="M29" s="11"/>
      <c r="N29" s="11"/>
      <c r="O29" s="12"/>
      <c r="P29" s="11"/>
      <c r="Q29" s="12"/>
      <c r="R29" s="11" t="s">
        <v>114</v>
      </c>
      <c r="S29" s="11" t="s">
        <v>125</v>
      </c>
      <c r="T29" s="11" t="s">
        <v>126</v>
      </c>
      <c r="U29" s="14" t="s">
        <v>141</v>
      </c>
      <c r="V29" s="14" t="s">
        <v>142</v>
      </c>
      <c r="W29" s="14" t="s">
        <v>143</v>
      </c>
      <c r="X29" s="11" t="s">
        <v>79</v>
      </c>
      <c r="Y29" s="11" t="s">
        <v>144</v>
      </c>
    </row>
    <row r="30" customFormat="false" ht="46.25" hidden="false" customHeight="false" outlineLevel="0" collapsed="false">
      <c r="A30" s="11" t="s">
        <v>131</v>
      </c>
      <c r="B30" s="11" t="s">
        <v>140</v>
      </c>
      <c r="C30" s="11" t="s">
        <v>145</v>
      </c>
      <c r="D30" s="11" t="s">
        <v>146</v>
      </c>
      <c r="E30" s="11" t="s">
        <v>113</v>
      </c>
      <c r="F30" s="11" t="n">
        <v>50</v>
      </c>
      <c r="G30" s="11"/>
      <c r="H30" s="12" t="n">
        <v>0.15851</v>
      </c>
      <c r="I30" s="12" t="n">
        <v>0.16787</v>
      </c>
      <c r="J30" s="11" t="s">
        <v>135</v>
      </c>
      <c r="K30" s="13" t="n">
        <v>265.55</v>
      </c>
      <c r="L30" s="13"/>
      <c r="M30" s="11"/>
      <c r="N30" s="11"/>
      <c r="O30" s="12"/>
      <c r="P30" s="11"/>
      <c r="Q30" s="12"/>
      <c r="R30" s="11" t="s">
        <v>114</v>
      </c>
      <c r="S30" s="11" t="s">
        <v>125</v>
      </c>
      <c r="T30" s="11" t="s">
        <v>126</v>
      </c>
      <c r="U30" s="14" t="s">
        <v>147</v>
      </c>
      <c r="V30" s="14" t="s">
        <v>142</v>
      </c>
      <c r="W30" s="14" t="s">
        <v>148</v>
      </c>
      <c r="X30" s="11" t="s">
        <v>79</v>
      </c>
      <c r="Y30" s="11" t="s">
        <v>144</v>
      </c>
    </row>
    <row r="31" customFormat="false" ht="46.25" hidden="false" customHeight="false" outlineLevel="0" collapsed="false">
      <c r="A31" s="11" t="s">
        <v>131</v>
      </c>
      <c r="B31" s="11" t="s">
        <v>140</v>
      </c>
      <c r="C31" s="11" t="s">
        <v>149</v>
      </c>
      <c r="D31" s="11" t="s">
        <v>150</v>
      </c>
      <c r="E31" s="11" t="s">
        <v>113</v>
      </c>
      <c r="F31" s="11" t="n">
        <v>25</v>
      </c>
      <c r="G31" s="11"/>
      <c r="H31" s="12" t="n">
        <v>0.3545</v>
      </c>
      <c r="I31" s="12" t="n">
        <v>0.3727</v>
      </c>
      <c r="J31" s="11" t="s">
        <v>135</v>
      </c>
      <c r="K31" s="13" t="n">
        <v>118.67</v>
      </c>
      <c r="L31" s="13"/>
      <c r="M31" s="11"/>
      <c r="N31" s="11"/>
      <c r="O31" s="12"/>
      <c r="P31" s="11"/>
      <c r="Q31" s="12"/>
      <c r="R31" s="11" t="s">
        <v>114</v>
      </c>
      <c r="S31" s="11" t="s">
        <v>125</v>
      </c>
      <c r="T31" s="11" t="s">
        <v>126</v>
      </c>
      <c r="U31" s="14" t="s">
        <v>147</v>
      </c>
      <c r="V31" s="14" t="s">
        <v>142</v>
      </c>
      <c r="W31" s="14" t="s">
        <v>151</v>
      </c>
      <c r="X31" s="11" t="s">
        <v>79</v>
      </c>
      <c r="Y31" s="11" t="s">
        <v>144</v>
      </c>
    </row>
    <row r="32" customFormat="false" ht="46.25" hidden="false" customHeight="false" outlineLevel="0" collapsed="false">
      <c r="A32" s="11" t="s">
        <v>131</v>
      </c>
      <c r="B32" s="11" t="s">
        <v>140</v>
      </c>
      <c r="C32" s="11" t="s">
        <v>152</v>
      </c>
      <c r="D32" s="11" t="s">
        <v>38</v>
      </c>
      <c r="E32" s="11" t="s">
        <v>113</v>
      </c>
      <c r="F32" s="11" t="n">
        <v>50</v>
      </c>
      <c r="G32" s="11"/>
      <c r="H32" s="12" t="n">
        <v>1.4744</v>
      </c>
      <c r="I32" s="12" t="n">
        <v>1.4849</v>
      </c>
      <c r="J32" s="11" t="s">
        <v>135</v>
      </c>
      <c r="K32" s="13" t="n">
        <v>34.43</v>
      </c>
      <c r="L32" s="13"/>
      <c r="M32" s="11"/>
      <c r="N32" s="11"/>
      <c r="O32" s="12"/>
      <c r="P32" s="11"/>
      <c r="Q32" s="12"/>
      <c r="R32" s="11" t="s">
        <v>114</v>
      </c>
      <c r="S32" s="11" t="s">
        <v>125</v>
      </c>
      <c r="T32" s="11" t="s">
        <v>126</v>
      </c>
      <c r="U32" s="14" t="s">
        <v>147</v>
      </c>
      <c r="V32" s="14" t="s">
        <v>142</v>
      </c>
      <c r="W32" s="14" t="s">
        <v>153</v>
      </c>
      <c r="X32" s="11" t="s">
        <v>79</v>
      </c>
      <c r="Y32" s="11" t="s">
        <v>144</v>
      </c>
    </row>
    <row r="33" customFormat="false" ht="46.25" hidden="false" customHeight="false" outlineLevel="0" collapsed="false">
      <c r="A33" s="11" t="s">
        <v>131</v>
      </c>
      <c r="B33" s="11" t="s">
        <v>140</v>
      </c>
      <c r="C33" s="11" t="s">
        <v>86</v>
      </c>
      <c r="D33" s="11" t="s">
        <v>26</v>
      </c>
      <c r="E33" s="11" t="s">
        <v>113</v>
      </c>
      <c r="F33" s="11" t="n">
        <v>100</v>
      </c>
      <c r="G33" s="11"/>
      <c r="H33" s="12" t="n">
        <v>79764.4</v>
      </c>
      <c r="I33" s="12" t="n">
        <v>80333.9</v>
      </c>
      <c r="J33" s="11" t="s">
        <v>135</v>
      </c>
      <c r="K33" s="13" t="n">
        <v>67.25</v>
      </c>
      <c r="L33" s="13"/>
      <c r="M33" s="11"/>
      <c r="N33" s="11"/>
      <c r="O33" s="12"/>
      <c r="P33" s="11"/>
      <c r="Q33" s="12"/>
      <c r="R33" s="11" t="s">
        <v>114</v>
      </c>
      <c r="S33" s="11" t="s">
        <v>125</v>
      </c>
      <c r="T33" s="11" t="s">
        <v>126</v>
      </c>
      <c r="U33" s="14" t="s">
        <v>154</v>
      </c>
      <c r="V33" s="14" t="s">
        <v>142</v>
      </c>
      <c r="W33" s="14" t="s">
        <v>155</v>
      </c>
      <c r="X33" s="11" t="s">
        <v>79</v>
      </c>
      <c r="Y33" s="11" t="s">
        <v>144</v>
      </c>
    </row>
    <row r="34" customFormat="false" ht="46.25" hidden="false" customHeight="false" outlineLevel="0" collapsed="false">
      <c r="A34" s="11" t="s">
        <v>131</v>
      </c>
      <c r="B34" s="11" t="s">
        <v>140</v>
      </c>
      <c r="C34" s="11" t="s">
        <v>123</v>
      </c>
      <c r="D34" s="11" t="s">
        <v>124</v>
      </c>
      <c r="E34" s="11" t="s">
        <v>113</v>
      </c>
      <c r="F34" s="11" t="n">
        <v>50</v>
      </c>
      <c r="G34" s="11"/>
      <c r="H34" s="12" t="n">
        <v>3.458</v>
      </c>
      <c r="I34" s="12" t="n">
        <v>3.528</v>
      </c>
      <c r="J34" s="11" t="s">
        <v>156</v>
      </c>
      <c r="K34" s="13" t="n">
        <v>101.21</v>
      </c>
      <c r="L34" s="13"/>
      <c r="M34" s="11"/>
      <c r="N34" s="11"/>
      <c r="O34" s="12"/>
      <c r="P34" s="11"/>
      <c r="Q34" s="12"/>
      <c r="R34" s="11" t="s">
        <v>73</v>
      </c>
      <c r="S34" s="11" t="s">
        <v>125</v>
      </c>
      <c r="T34" s="11" t="s">
        <v>126</v>
      </c>
      <c r="U34" s="14" t="s">
        <v>157</v>
      </c>
      <c r="V34" s="14" t="s">
        <v>142</v>
      </c>
      <c r="W34" s="14" t="s">
        <v>158</v>
      </c>
      <c r="X34" s="11" t="s">
        <v>79</v>
      </c>
      <c r="Y34" s="11" t="s">
        <v>144</v>
      </c>
    </row>
    <row r="35" customFormat="false" ht="102.2" hidden="false" customHeight="false" outlineLevel="0" collapsed="false">
      <c r="A35" s="11" t="s">
        <v>131</v>
      </c>
      <c r="B35" s="11" t="s">
        <v>159</v>
      </c>
      <c r="C35" s="11" t="s">
        <v>160</v>
      </c>
      <c r="D35" s="11" t="s">
        <v>161</v>
      </c>
      <c r="E35" s="11" t="s">
        <v>113</v>
      </c>
      <c r="F35" s="11" t="n">
        <v>25</v>
      </c>
      <c r="G35" s="11"/>
      <c r="H35" s="12" t="n">
        <v>0.25328</v>
      </c>
      <c r="I35" s="12" t="n">
        <v>0.26013</v>
      </c>
      <c r="J35" s="11" t="s">
        <v>156</v>
      </c>
      <c r="K35" s="13" t="n">
        <v>67.61</v>
      </c>
      <c r="L35" s="13"/>
      <c r="M35" s="11"/>
      <c r="N35" s="11"/>
      <c r="O35" s="12"/>
      <c r="P35" s="11"/>
      <c r="Q35" s="12"/>
      <c r="R35" s="11" t="s">
        <v>73</v>
      </c>
      <c r="S35" s="11" t="s">
        <v>125</v>
      </c>
      <c r="T35" s="11" t="s">
        <v>126</v>
      </c>
      <c r="U35" s="14" t="s">
        <v>162</v>
      </c>
      <c r="V35" s="14" t="s">
        <v>163</v>
      </c>
      <c r="W35" s="14" t="s">
        <v>164</v>
      </c>
      <c r="X35" s="11" t="s">
        <v>79</v>
      </c>
      <c r="Y35" s="11" t="s">
        <v>165</v>
      </c>
    </row>
    <row r="36" customFormat="false" ht="35.05" hidden="false" customHeight="false" outlineLevel="0" collapsed="false">
      <c r="A36" s="11" t="s">
        <v>131</v>
      </c>
      <c r="B36" s="11" t="s">
        <v>166</v>
      </c>
      <c r="C36" s="11" t="s">
        <v>86</v>
      </c>
      <c r="D36" s="11" t="s">
        <v>26</v>
      </c>
      <c r="E36" s="11" t="s">
        <v>113</v>
      </c>
      <c r="F36" s="11" t="n">
        <v>100</v>
      </c>
      <c r="G36" s="11"/>
      <c r="H36" s="12" t="n">
        <v>79764.4</v>
      </c>
      <c r="I36" s="12" t="n">
        <v>80341.2</v>
      </c>
      <c r="J36" s="11" t="s">
        <v>156</v>
      </c>
      <c r="K36" s="13" t="n">
        <v>72.31</v>
      </c>
      <c r="L36" s="13"/>
      <c r="M36" s="11"/>
      <c r="N36" s="11"/>
      <c r="O36" s="12"/>
      <c r="P36" s="11"/>
      <c r="Q36" s="12"/>
      <c r="R36" s="11" t="s">
        <v>73</v>
      </c>
      <c r="S36" s="11" t="s">
        <v>125</v>
      </c>
      <c r="T36" s="11" t="s">
        <v>126</v>
      </c>
      <c r="U36" s="14" t="s">
        <v>167</v>
      </c>
      <c r="V36" s="14" t="s">
        <v>168</v>
      </c>
      <c r="W36" s="14" t="s">
        <v>169</v>
      </c>
      <c r="X36" s="11" t="s">
        <v>79</v>
      </c>
      <c r="Y36" s="11" t="s">
        <v>170</v>
      </c>
    </row>
    <row r="37" customFormat="false" ht="46.25" hidden="false" customHeight="false" outlineLevel="0" collapsed="false">
      <c r="A37" s="11" t="s">
        <v>171</v>
      </c>
      <c r="B37" s="11" t="s">
        <v>172</v>
      </c>
      <c r="C37" s="11" t="s">
        <v>90</v>
      </c>
      <c r="D37" s="11" t="s">
        <v>27</v>
      </c>
      <c r="E37" s="11" t="s">
        <v>113</v>
      </c>
      <c r="F37" s="11" t="n">
        <v>100</v>
      </c>
      <c r="G37" s="11"/>
      <c r="H37" s="12" t="n">
        <v>2311.73</v>
      </c>
      <c r="I37" s="12" t="n">
        <v>2340.53</v>
      </c>
      <c r="J37" s="11" t="s">
        <v>156</v>
      </c>
      <c r="K37" s="13" t="n">
        <v>124.58</v>
      </c>
      <c r="L37" s="13"/>
      <c r="M37" s="11"/>
      <c r="N37" s="11"/>
      <c r="O37" s="12"/>
      <c r="P37" s="11"/>
      <c r="Q37" s="12"/>
      <c r="R37" s="11" t="s">
        <v>73</v>
      </c>
      <c r="S37" s="11" t="s">
        <v>125</v>
      </c>
      <c r="T37" s="11" t="s">
        <v>126</v>
      </c>
      <c r="U37" s="14" t="s">
        <v>173</v>
      </c>
      <c r="V37" s="14" t="s">
        <v>174</v>
      </c>
      <c r="W37" s="14" t="s">
        <v>175</v>
      </c>
      <c r="X37" s="11" t="s">
        <v>79</v>
      </c>
      <c r="Y37" s="11" t="s">
        <v>176</v>
      </c>
    </row>
    <row r="38" customFormat="false" ht="46.25" hidden="false" customHeight="false" outlineLevel="0" collapsed="false">
      <c r="A38" s="11" t="s">
        <v>171</v>
      </c>
      <c r="B38" s="11" t="s">
        <v>177</v>
      </c>
      <c r="C38" s="11" t="s">
        <v>145</v>
      </c>
      <c r="D38" s="11" t="s">
        <v>146</v>
      </c>
      <c r="E38" s="11" t="s">
        <v>113</v>
      </c>
      <c r="F38" s="11" t="n">
        <v>50</v>
      </c>
      <c r="G38" s="11"/>
      <c r="H38" s="12" t="n">
        <v>0.15851</v>
      </c>
      <c r="I38" s="12" t="n">
        <v>0.16709</v>
      </c>
      <c r="J38" s="11" t="s">
        <v>135</v>
      </c>
      <c r="K38" s="13" t="n">
        <v>246.69</v>
      </c>
      <c r="L38" s="13"/>
      <c r="M38" s="11"/>
      <c r="N38" s="11"/>
      <c r="O38" s="12"/>
      <c r="P38" s="11"/>
      <c r="Q38" s="12"/>
      <c r="R38" s="11" t="s">
        <v>114</v>
      </c>
      <c r="S38" s="11" t="s">
        <v>125</v>
      </c>
      <c r="T38" s="11" t="s">
        <v>126</v>
      </c>
      <c r="U38" s="14" t="s">
        <v>178</v>
      </c>
      <c r="V38" s="14" t="s">
        <v>179</v>
      </c>
      <c r="W38" s="14" t="s">
        <v>180</v>
      </c>
      <c r="X38" s="11" t="s">
        <v>79</v>
      </c>
      <c r="Y38" s="11" t="s">
        <v>181</v>
      </c>
    </row>
    <row r="39" customFormat="false" ht="46.25" hidden="false" customHeight="false" outlineLevel="0" collapsed="false">
      <c r="A39" s="11" t="s">
        <v>171</v>
      </c>
      <c r="B39" s="11" t="s">
        <v>182</v>
      </c>
      <c r="C39" s="11" t="s">
        <v>152</v>
      </c>
      <c r="D39" s="11" t="s">
        <v>38</v>
      </c>
      <c r="E39" s="11" t="s">
        <v>113</v>
      </c>
      <c r="F39" s="11" t="n">
        <v>50</v>
      </c>
      <c r="G39" s="11"/>
      <c r="H39" s="12" t="n">
        <v>1.4744</v>
      </c>
      <c r="I39" s="12" t="n">
        <v>1.53</v>
      </c>
      <c r="J39" s="11" t="s">
        <v>135</v>
      </c>
      <c r="K39" s="13" t="n">
        <v>178.94</v>
      </c>
      <c r="L39" s="13"/>
      <c r="M39" s="11"/>
      <c r="N39" s="11"/>
      <c r="O39" s="12"/>
      <c r="P39" s="11"/>
      <c r="Q39" s="12"/>
      <c r="R39" s="11" t="s">
        <v>114</v>
      </c>
      <c r="S39" s="11" t="s">
        <v>125</v>
      </c>
      <c r="T39" s="11" t="s">
        <v>126</v>
      </c>
      <c r="U39" s="14" t="s">
        <v>183</v>
      </c>
      <c r="V39" s="14" t="s">
        <v>184</v>
      </c>
      <c r="W39" s="14" t="s">
        <v>185</v>
      </c>
      <c r="X39" s="11" t="s">
        <v>79</v>
      </c>
      <c r="Y39" s="11" t="s">
        <v>186</v>
      </c>
    </row>
    <row r="40" customFormat="false" ht="46.25" hidden="false" customHeight="false" outlineLevel="0" collapsed="false">
      <c r="A40" s="11" t="s">
        <v>171</v>
      </c>
      <c r="B40" s="11" t="s">
        <v>187</v>
      </c>
      <c r="C40" s="11" t="s">
        <v>149</v>
      </c>
      <c r="D40" s="11" t="s">
        <v>150</v>
      </c>
      <c r="E40" s="11" t="s">
        <v>113</v>
      </c>
      <c r="F40" s="11" t="n">
        <v>25</v>
      </c>
      <c r="G40" s="11"/>
      <c r="H40" s="12" t="n">
        <v>0.3545</v>
      </c>
      <c r="I40" s="12" t="n">
        <v>0.3626</v>
      </c>
      <c r="J40" s="11" t="s">
        <v>135</v>
      </c>
      <c r="K40" s="13" t="n">
        <v>55.8</v>
      </c>
      <c r="L40" s="13"/>
      <c r="M40" s="11"/>
      <c r="N40" s="11"/>
      <c r="O40" s="12"/>
      <c r="P40" s="11"/>
      <c r="Q40" s="12"/>
      <c r="R40" s="11" t="s">
        <v>114</v>
      </c>
      <c r="S40" s="11" t="s">
        <v>125</v>
      </c>
      <c r="T40" s="11" t="s">
        <v>126</v>
      </c>
      <c r="U40" s="14" t="s">
        <v>188</v>
      </c>
      <c r="V40" s="14" t="s">
        <v>189</v>
      </c>
      <c r="W40" s="14" t="s">
        <v>190</v>
      </c>
      <c r="X40" s="11" t="s">
        <v>79</v>
      </c>
      <c r="Y40" s="11" t="s">
        <v>191</v>
      </c>
    </row>
    <row r="41" customFormat="false" ht="35.05" hidden="false" customHeight="false" outlineLevel="0" collapsed="false">
      <c r="A41" s="11" t="s">
        <v>192</v>
      </c>
      <c r="B41" s="11" t="s">
        <v>193</v>
      </c>
      <c r="C41" s="11" t="s">
        <v>86</v>
      </c>
      <c r="D41" s="11" t="s">
        <v>26</v>
      </c>
      <c r="E41" s="11" t="s">
        <v>194</v>
      </c>
      <c r="F41" s="11" t="n">
        <v>100</v>
      </c>
      <c r="G41" s="11"/>
      <c r="H41" s="12" t="n">
        <v>82202.8</v>
      </c>
      <c r="I41" s="12" t="n">
        <v>81302.9</v>
      </c>
      <c r="J41" s="11" t="s">
        <v>156</v>
      </c>
      <c r="K41" s="13" t="n">
        <v>109.47</v>
      </c>
      <c r="L41" s="13"/>
      <c r="M41" s="11"/>
      <c r="N41" s="11"/>
      <c r="O41" s="12"/>
      <c r="P41" s="11"/>
      <c r="Q41" s="12"/>
      <c r="R41" s="11" t="s">
        <v>73</v>
      </c>
      <c r="S41" s="11" t="s">
        <v>125</v>
      </c>
      <c r="T41" s="11" t="s">
        <v>126</v>
      </c>
      <c r="U41" s="14" t="s">
        <v>195</v>
      </c>
      <c r="V41" s="14" t="s">
        <v>196</v>
      </c>
      <c r="W41" s="14" t="s">
        <v>197</v>
      </c>
      <c r="X41" s="11" t="s">
        <v>79</v>
      </c>
      <c r="Y41" s="11" t="s">
        <v>198</v>
      </c>
    </row>
    <row r="42" customFormat="false" ht="46.25" hidden="false" customHeight="false" outlineLevel="0" collapsed="false">
      <c r="A42" s="11" t="s">
        <v>192</v>
      </c>
      <c r="B42" s="11" t="s">
        <v>199</v>
      </c>
      <c r="C42" s="11" t="s">
        <v>152</v>
      </c>
      <c r="D42" s="11" t="s">
        <v>38</v>
      </c>
      <c r="E42" s="11" t="s">
        <v>113</v>
      </c>
      <c r="F42" s="11" t="n">
        <v>50</v>
      </c>
      <c r="G42" s="11"/>
      <c r="H42" s="12" t="n">
        <v>1.4772</v>
      </c>
      <c r="I42" s="12" t="n">
        <v>1.5369</v>
      </c>
      <c r="J42" s="11" t="s">
        <v>135</v>
      </c>
      <c r="K42" s="13" t="n">
        <v>189.93</v>
      </c>
      <c r="L42" s="13"/>
      <c r="M42" s="11"/>
      <c r="N42" s="11"/>
      <c r="O42" s="12"/>
      <c r="P42" s="11"/>
      <c r="Q42" s="12"/>
      <c r="R42" s="11" t="s">
        <v>114</v>
      </c>
      <c r="S42" s="11" t="s">
        <v>125</v>
      </c>
      <c r="T42" s="11" t="s">
        <v>126</v>
      </c>
      <c r="U42" s="14" t="s">
        <v>200</v>
      </c>
      <c r="V42" s="14" t="s">
        <v>201</v>
      </c>
      <c r="W42" s="14" t="s">
        <v>202</v>
      </c>
      <c r="X42" s="11" t="s">
        <v>79</v>
      </c>
      <c r="Y42" s="11" t="s">
        <v>203</v>
      </c>
    </row>
    <row r="43" customFormat="false" ht="57.45" hidden="false" customHeight="false" outlineLevel="0" collapsed="false">
      <c r="A43" s="11" t="s">
        <v>192</v>
      </c>
      <c r="B43" s="11" t="s">
        <v>204</v>
      </c>
      <c r="C43" s="11" t="s">
        <v>86</v>
      </c>
      <c r="D43" s="11" t="s">
        <v>26</v>
      </c>
      <c r="E43" s="11" t="s">
        <v>113</v>
      </c>
      <c r="F43" s="11" t="n">
        <v>150</v>
      </c>
      <c r="G43" s="11"/>
      <c r="H43" s="12"/>
      <c r="I43" s="12"/>
      <c r="J43" s="11"/>
      <c r="K43" s="13" t="n">
        <v>51.78</v>
      </c>
      <c r="L43" s="13"/>
      <c r="M43" s="11"/>
      <c r="N43" s="11"/>
      <c r="O43" s="12"/>
      <c r="P43" s="11"/>
      <c r="Q43" s="12"/>
      <c r="R43" s="11" t="s">
        <v>114</v>
      </c>
      <c r="S43" s="11" t="s">
        <v>205</v>
      </c>
      <c r="T43" s="11" t="s">
        <v>126</v>
      </c>
      <c r="U43" s="14" t="s">
        <v>206</v>
      </c>
      <c r="V43" s="14" t="s">
        <v>207</v>
      </c>
      <c r="W43" s="14" t="s">
        <v>208</v>
      </c>
      <c r="X43" s="11" t="s">
        <v>120</v>
      </c>
      <c r="Y43" s="11" t="s">
        <v>209</v>
      </c>
    </row>
    <row r="44" customFormat="false" ht="46.25" hidden="false" customHeight="false" outlineLevel="0" collapsed="false">
      <c r="A44" s="11" t="s">
        <v>192</v>
      </c>
      <c r="B44" s="11" t="s">
        <v>210</v>
      </c>
      <c r="C44" s="11" t="s">
        <v>152</v>
      </c>
      <c r="D44" s="11" t="s">
        <v>38</v>
      </c>
      <c r="E44" s="11" t="s">
        <v>113</v>
      </c>
      <c r="F44" s="11" t="n">
        <v>50</v>
      </c>
      <c r="G44" s="11"/>
      <c r="H44" s="12" t="n">
        <v>1.4772</v>
      </c>
      <c r="I44" s="12" t="n">
        <v>1.5457</v>
      </c>
      <c r="J44" s="11" t="s">
        <v>135</v>
      </c>
      <c r="K44" s="13" t="n">
        <v>215.72</v>
      </c>
      <c r="L44" s="13"/>
      <c r="M44" s="11"/>
      <c r="N44" s="11"/>
      <c r="O44" s="12"/>
      <c r="P44" s="11"/>
      <c r="Q44" s="12"/>
      <c r="R44" s="11" t="s">
        <v>114</v>
      </c>
      <c r="S44" s="11" t="s">
        <v>125</v>
      </c>
      <c r="T44" s="11" t="s">
        <v>126</v>
      </c>
      <c r="U44" s="14" t="s">
        <v>211</v>
      </c>
      <c r="V44" s="14" t="s">
        <v>212</v>
      </c>
      <c r="W44" s="14" t="s">
        <v>213</v>
      </c>
      <c r="X44" s="11" t="s">
        <v>79</v>
      </c>
      <c r="Y44" s="11" t="s">
        <v>214</v>
      </c>
    </row>
    <row r="45" customFormat="false" ht="23.85" hidden="false" customHeight="false" outlineLevel="0" collapsed="false">
      <c r="A45" s="11" t="s">
        <v>192</v>
      </c>
      <c r="B45" s="11" t="s">
        <v>215</v>
      </c>
      <c r="C45" s="11" t="s">
        <v>86</v>
      </c>
      <c r="D45" s="11" t="s">
        <v>26</v>
      </c>
      <c r="E45" s="11" t="s">
        <v>113</v>
      </c>
      <c r="F45" s="11" t="n">
        <v>100</v>
      </c>
      <c r="G45" s="11"/>
      <c r="H45" s="12" t="n">
        <v>80914.2</v>
      </c>
      <c r="I45" s="12" t="n">
        <v>81798.7</v>
      </c>
      <c r="J45" s="11" t="s">
        <v>156</v>
      </c>
      <c r="K45" s="13" t="n">
        <v>109.31</v>
      </c>
      <c r="L45" s="13"/>
      <c r="M45" s="11"/>
      <c r="N45" s="11"/>
      <c r="O45" s="12"/>
      <c r="P45" s="11"/>
      <c r="Q45" s="12"/>
      <c r="R45" s="11" t="s">
        <v>73</v>
      </c>
      <c r="S45" s="11" t="s">
        <v>125</v>
      </c>
      <c r="T45" s="11" t="s">
        <v>126</v>
      </c>
      <c r="U45" s="14" t="s">
        <v>216</v>
      </c>
      <c r="V45" s="14"/>
      <c r="W45" s="14" t="s">
        <v>217</v>
      </c>
      <c r="X45" s="11" t="s">
        <v>79</v>
      </c>
      <c r="Y45" s="11" t="s">
        <v>218</v>
      </c>
    </row>
    <row r="46" customFormat="false" ht="35.05" hidden="false" customHeight="false" outlineLevel="0" collapsed="false">
      <c r="A46" s="11" t="s">
        <v>219</v>
      </c>
      <c r="B46" s="11" t="s">
        <v>220</v>
      </c>
      <c r="C46" s="11" t="s">
        <v>221</v>
      </c>
      <c r="D46" s="11" t="s">
        <v>34</v>
      </c>
      <c r="E46" s="11" t="s">
        <v>113</v>
      </c>
      <c r="F46" s="11" t="n">
        <v>25</v>
      </c>
      <c r="G46" s="11"/>
      <c r="H46" s="12" t="n">
        <v>0.03459</v>
      </c>
      <c r="I46" s="12" t="n">
        <v>0.036652</v>
      </c>
      <c r="J46" s="11" t="s">
        <v>135</v>
      </c>
      <c r="K46" s="13" t="n">
        <v>144.12</v>
      </c>
      <c r="L46" s="13"/>
      <c r="M46" s="11"/>
      <c r="N46" s="11"/>
      <c r="O46" s="12"/>
      <c r="P46" s="11"/>
      <c r="Q46" s="12"/>
      <c r="R46" s="11" t="s">
        <v>114</v>
      </c>
      <c r="S46" s="11" t="s">
        <v>125</v>
      </c>
      <c r="T46" s="11" t="s">
        <v>126</v>
      </c>
      <c r="U46" s="14" t="s">
        <v>222</v>
      </c>
      <c r="V46" s="14" t="s">
        <v>223</v>
      </c>
      <c r="W46" s="14" t="s">
        <v>224</v>
      </c>
      <c r="X46" s="11" t="s">
        <v>79</v>
      </c>
      <c r="Y46" s="11" t="s">
        <v>225</v>
      </c>
    </row>
    <row r="47" customFormat="false" ht="46.25" hidden="false" customHeight="false" outlineLevel="0" collapsed="false">
      <c r="A47" s="11" t="s">
        <v>219</v>
      </c>
      <c r="B47" s="11" t="s">
        <v>226</v>
      </c>
      <c r="C47" s="11" t="s">
        <v>221</v>
      </c>
      <c r="D47" s="11" t="s">
        <v>34</v>
      </c>
      <c r="E47" s="11" t="s">
        <v>113</v>
      </c>
      <c r="F47" s="11" t="n">
        <v>25</v>
      </c>
      <c r="G47" s="11"/>
      <c r="H47" s="12" t="n">
        <v>0.03459</v>
      </c>
      <c r="I47" s="12" t="n">
        <v>0.03737</v>
      </c>
      <c r="J47" s="11" t="s">
        <v>156</v>
      </c>
      <c r="K47" s="13" t="n">
        <v>200.92</v>
      </c>
      <c r="L47" s="13"/>
      <c r="M47" s="11"/>
      <c r="N47" s="11"/>
      <c r="O47" s="12"/>
      <c r="P47" s="11"/>
      <c r="Q47" s="12"/>
      <c r="R47" s="11" t="s">
        <v>73</v>
      </c>
      <c r="S47" s="11" t="s">
        <v>125</v>
      </c>
      <c r="T47" s="11" t="s">
        <v>126</v>
      </c>
      <c r="U47" s="14" t="s">
        <v>227</v>
      </c>
      <c r="V47" s="14" t="s">
        <v>228</v>
      </c>
      <c r="W47" s="14" t="s">
        <v>229</v>
      </c>
      <c r="X47" s="11" t="s">
        <v>79</v>
      </c>
      <c r="Y47" s="11" t="s">
        <v>230</v>
      </c>
    </row>
    <row r="48" customFormat="false" ht="102.2" hidden="false" customHeight="false" outlineLevel="0" collapsed="false">
      <c r="A48" s="11" t="s">
        <v>219</v>
      </c>
      <c r="B48" s="11" t="s">
        <v>231</v>
      </c>
      <c r="C48" s="11" t="s">
        <v>221</v>
      </c>
      <c r="D48" s="11" t="s">
        <v>34</v>
      </c>
      <c r="E48" s="11" t="s">
        <v>113</v>
      </c>
      <c r="F48" s="11"/>
      <c r="G48" s="11"/>
      <c r="H48" s="12" t="n">
        <v>0.03453</v>
      </c>
      <c r="I48" s="12" t="n">
        <v>0.03884</v>
      </c>
      <c r="J48" s="11" t="s">
        <v>232</v>
      </c>
      <c r="K48" s="13"/>
      <c r="L48" s="13" t="n">
        <v>43.1294</v>
      </c>
      <c r="M48" s="11" t="s">
        <v>233</v>
      </c>
      <c r="N48" s="11"/>
      <c r="O48" s="12"/>
      <c r="P48" s="11"/>
      <c r="Q48" s="12"/>
      <c r="R48" s="11" t="s">
        <v>114</v>
      </c>
      <c r="S48" s="11" t="s">
        <v>234</v>
      </c>
      <c r="T48" s="11" t="s">
        <v>235</v>
      </c>
      <c r="U48" s="14" t="s">
        <v>236</v>
      </c>
      <c r="V48" s="14" t="s">
        <v>237</v>
      </c>
      <c r="W48" s="14" t="s">
        <v>238</v>
      </c>
      <c r="X48" s="11" t="s">
        <v>79</v>
      </c>
      <c r="Y48" s="11" t="s">
        <v>239</v>
      </c>
    </row>
    <row r="49" customFormat="false" ht="102.2" hidden="false" customHeight="false" outlineLevel="0" collapsed="false">
      <c r="A49" s="11" t="s">
        <v>219</v>
      </c>
      <c r="B49" s="11" t="s">
        <v>231</v>
      </c>
      <c r="C49" s="11" t="s">
        <v>221</v>
      </c>
      <c r="D49" s="11" t="s">
        <v>34</v>
      </c>
      <c r="E49" s="11" t="s">
        <v>113</v>
      </c>
      <c r="F49" s="11" t="n">
        <v>20</v>
      </c>
      <c r="G49" s="11"/>
      <c r="H49" s="12" t="n">
        <v>0.03453</v>
      </c>
      <c r="I49" s="12" t="n">
        <v>0.03886</v>
      </c>
      <c r="J49" s="11" t="s">
        <v>135</v>
      </c>
      <c r="K49" s="13" t="n">
        <v>248.34</v>
      </c>
      <c r="L49" s="13" t="n">
        <v>43.2294</v>
      </c>
      <c r="M49" s="11"/>
      <c r="N49" s="11"/>
      <c r="O49" s="12"/>
      <c r="P49" s="11"/>
      <c r="Q49" s="12"/>
      <c r="R49" s="11" t="s">
        <v>114</v>
      </c>
      <c r="S49" s="11" t="s">
        <v>234</v>
      </c>
      <c r="T49" s="11" t="s">
        <v>126</v>
      </c>
      <c r="U49" s="14" t="s">
        <v>240</v>
      </c>
      <c r="V49" s="14" t="s">
        <v>237</v>
      </c>
      <c r="W49" s="14" t="s">
        <v>241</v>
      </c>
      <c r="X49" s="11" t="s">
        <v>79</v>
      </c>
      <c r="Y49" s="11" t="s">
        <v>239</v>
      </c>
    </row>
    <row r="50" customFormat="false" ht="68.65" hidden="false" customHeight="false" outlineLevel="0" collapsed="false">
      <c r="A50" s="11" t="s">
        <v>242</v>
      </c>
      <c r="B50" s="11" t="s">
        <v>243</v>
      </c>
      <c r="C50" s="11" t="s">
        <v>221</v>
      </c>
      <c r="D50" s="11" t="s">
        <v>34</v>
      </c>
      <c r="E50" s="11" t="s">
        <v>113</v>
      </c>
      <c r="F50" s="11" t="n">
        <v>20</v>
      </c>
      <c r="G50" s="11"/>
      <c r="H50" s="12"/>
      <c r="I50" s="12"/>
      <c r="J50" s="11"/>
      <c r="K50" s="13" t="n">
        <v>231.02</v>
      </c>
      <c r="L50" s="13"/>
      <c r="M50" s="11"/>
      <c r="N50" s="11"/>
      <c r="O50" s="12"/>
      <c r="P50" s="11"/>
      <c r="Q50" s="12"/>
      <c r="R50" s="11" t="s">
        <v>73</v>
      </c>
      <c r="S50" s="11" t="s">
        <v>234</v>
      </c>
      <c r="T50" s="11" t="s">
        <v>126</v>
      </c>
      <c r="U50" s="14" t="s">
        <v>244</v>
      </c>
      <c r="V50" s="14" t="s">
        <v>245</v>
      </c>
      <c r="W50" s="14" t="s">
        <v>246</v>
      </c>
      <c r="X50" s="11" t="s">
        <v>120</v>
      </c>
      <c r="Y50" s="11" t="s">
        <v>247</v>
      </c>
    </row>
    <row r="51" customFormat="false" ht="79.85" hidden="false" customHeight="false" outlineLevel="0" collapsed="false">
      <c r="A51" s="11" t="s">
        <v>242</v>
      </c>
      <c r="B51" s="11" t="s">
        <v>248</v>
      </c>
      <c r="C51" s="11" t="s">
        <v>107</v>
      </c>
      <c r="D51" s="11" t="s">
        <v>28</v>
      </c>
      <c r="E51" s="11" t="s">
        <v>113</v>
      </c>
      <c r="F51" s="11" t="n">
        <v>100</v>
      </c>
      <c r="G51" s="11"/>
      <c r="H51" s="12" t="n">
        <v>95.53</v>
      </c>
      <c r="I51" s="12" t="n">
        <v>95.7</v>
      </c>
      <c r="J51" s="11" t="s">
        <v>156</v>
      </c>
      <c r="K51" s="13" t="n">
        <v>17.79</v>
      </c>
      <c r="L51" s="13"/>
      <c r="M51" s="11"/>
      <c r="N51" s="11"/>
      <c r="O51" s="12"/>
      <c r="P51" s="11"/>
      <c r="Q51" s="12"/>
      <c r="R51" s="11" t="s">
        <v>73</v>
      </c>
      <c r="S51" s="11" t="s">
        <v>125</v>
      </c>
      <c r="T51" s="11" t="s">
        <v>126</v>
      </c>
      <c r="U51" s="14" t="s">
        <v>249</v>
      </c>
      <c r="V51" s="14" t="s">
        <v>250</v>
      </c>
      <c r="W51" s="14" t="s">
        <v>251</v>
      </c>
      <c r="X51" s="11" t="s">
        <v>79</v>
      </c>
      <c r="Y51" s="11" t="s">
        <v>252</v>
      </c>
    </row>
    <row r="52" customFormat="false" ht="57.45" hidden="false" customHeight="false" outlineLevel="0" collapsed="false">
      <c r="A52" s="11" t="s">
        <v>253</v>
      </c>
      <c r="B52" s="11" t="s">
        <v>254</v>
      </c>
      <c r="C52" s="11" t="s">
        <v>107</v>
      </c>
      <c r="D52" s="11" t="s">
        <v>28</v>
      </c>
      <c r="E52" s="11" t="s">
        <v>113</v>
      </c>
      <c r="F52" s="11" t="n">
        <v>100</v>
      </c>
      <c r="G52" s="11"/>
      <c r="H52" s="12" t="n">
        <v>91.05</v>
      </c>
      <c r="I52" s="12" t="n">
        <v>91.46</v>
      </c>
      <c r="J52" s="11" t="s">
        <v>156</v>
      </c>
      <c r="K52" s="13" t="n">
        <v>45.03</v>
      </c>
      <c r="L52" s="13"/>
      <c r="M52" s="11"/>
      <c r="N52" s="11"/>
      <c r="O52" s="12"/>
      <c r="P52" s="11"/>
      <c r="Q52" s="12"/>
      <c r="R52" s="11" t="s">
        <v>73</v>
      </c>
      <c r="S52" s="11" t="s">
        <v>125</v>
      </c>
      <c r="T52" s="11" t="s">
        <v>126</v>
      </c>
      <c r="U52" s="14" t="s">
        <v>255</v>
      </c>
      <c r="V52" s="14" t="s">
        <v>256</v>
      </c>
      <c r="W52" s="14" t="s">
        <v>257</v>
      </c>
      <c r="X52" s="11" t="s">
        <v>79</v>
      </c>
      <c r="Y52" s="11" t="s">
        <v>258</v>
      </c>
    </row>
    <row r="53" customFormat="false" ht="57.45" hidden="false" customHeight="false" outlineLevel="0" collapsed="false">
      <c r="A53" s="11" t="s">
        <v>253</v>
      </c>
      <c r="B53" s="11" t="s">
        <v>254</v>
      </c>
      <c r="C53" s="11" t="s">
        <v>259</v>
      </c>
      <c r="D53" s="11" t="s">
        <v>32</v>
      </c>
      <c r="E53" s="11" t="s">
        <v>113</v>
      </c>
      <c r="F53" s="11" t="n">
        <v>100</v>
      </c>
      <c r="G53" s="11"/>
      <c r="H53" s="12" t="n">
        <v>1.4497</v>
      </c>
      <c r="I53" s="12" t="n">
        <v>1.4531</v>
      </c>
      <c r="J53" s="11" t="s">
        <v>156</v>
      </c>
      <c r="K53" s="13" t="n">
        <v>23.45</v>
      </c>
      <c r="L53" s="13"/>
      <c r="M53" s="11"/>
      <c r="N53" s="11"/>
      <c r="O53" s="12"/>
      <c r="P53" s="11"/>
      <c r="Q53" s="12"/>
      <c r="R53" s="11" t="s">
        <v>73</v>
      </c>
      <c r="S53" s="11" t="s">
        <v>125</v>
      </c>
      <c r="T53" s="11" t="s">
        <v>126</v>
      </c>
      <c r="U53" s="14" t="s">
        <v>255</v>
      </c>
      <c r="V53" s="14" t="s">
        <v>256</v>
      </c>
      <c r="W53" s="14" t="s">
        <v>260</v>
      </c>
      <c r="X53" s="11" t="s">
        <v>79</v>
      </c>
      <c r="Y53" s="11" t="s">
        <v>258</v>
      </c>
    </row>
    <row r="54" customFormat="false" ht="35.05" hidden="false" customHeight="false" outlineLevel="0" collapsed="false">
      <c r="A54" s="11" t="s">
        <v>253</v>
      </c>
      <c r="B54" s="11" t="s">
        <v>261</v>
      </c>
      <c r="C54" s="11" t="s">
        <v>86</v>
      </c>
      <c r="D54" s="11" t="s">
        <v>26</v>
      </c>
      <c r="E54" s="11" t="s">
        <v>113</v>
      </c>
      <c r="F54" s="11" t="n">
        <v>100</v>
      </c>
      <c r="G54" s="11"/>
      <c r="H54" s="12" t="n">
        <v>79284.35</v>
      </c>
      <c r="I54" s="12" t="n">
        <v>80199.5</v>
      </c>
      <c r="J54" s="11" t="s">
        <v>135</v>
      </c>
      <c r="K54" s="13" t="n">
        <v>108.28</v>
      </c>
      <c r="L54" s="13"/>
      <c r="M54" s="11"/>
      <c r="N54" s="11"/>
      <c r="O54" s="12"/>
      <c r="P54" s="11"/>
      <c r="Q54" s="12"/>
      <c r="R54" s="11" t="s">
        <v>114</v>
      </c>
      <c r="S54" s="11" t="s">
        <v>125</v>
      </c>
      <c r="T54" s="11" t="s">
        <v>126</v>
      </c>
      <c r="U54" s="14" t="s">
        <v>262</v>
      </c>
      <c r="V54" s="14" t="s">
        <v>263</v>
      </c>
      <c r="W54" s="14" t="s">
        <v>264</v>
      </c>
      <c r="X54" s="11" t="s">
        <v>79</v>
      </c>
      <c r="Y54" s="11" t="s">
        <v>265</v>
      </c>
    </row>
    <row r="55" customFormat="false" ht="23.85" hidden="false" customHeight="false" outlineLevel="0" collapsed="false">
      <c r="A55" s="11" t="s">
        <v>253</v>
      </c>
      <c r="B55" s="11" t="s">
        <v>261</v>
      </c>
      <c r="C55" s="11" t="s">
        <v>266</v>
      </c>
      <c r="D55" s="11" t="s">
        <v>39</v>
      </c>
      <c r="E55" s="11" t="s">
        <v>113</v>
      </c>
      <c r="F55" s="11" t="n">
        <v>50</v>
      </c>
      <c r="G55" s="11"/>
      <c r="H55" s="12" t="n">
        <v>6.9</v>
      </c>
      <c r="I55" s="12" t="n">
        <v>7.107</v>
      </c>
      <c r="J55" s="11" t="s">
        <v>135</v>
      </c>
      <c r="K55" s="13" t="n">
        <v>141.91</v>
      </c>
      <c r="L55" s="13"/>
      <c r="M55" s="11"/>
      <c r="N55" s="11"/>
      <c r="O55" s="12"/>
      <c r="P55" s="11"/>
      <c r="Q55" s="12"/>
      <c r="R55" s="11" t="s">
        <v>114</v>
      </c>
      <c r="S55" s="11" t="s">
        <v>125</v>
      </c>
      <c r="T55" s="11" t="s">
        <v>126</v>
      </c>
      <c r="U55" s="14" t="s">
        <v>200</v>
      </c>
      <c r="V55" s="14" t="s">
        <v>263</v>
      </c>
      <c r="W55" s="14" t="s">
        <v>267</v>
      </c>
      <c r="X55" s="11" t="s">
        <v>79</v>
      </c>
      <c r="Y55" s="11" t="s">
        <v>265</v>
      </c>
    </row>
    <row r="56" customFormat="false" ht="57.45" hidden="false" customHeight="false" outlineLevel="0" collapsed="false">
      <c r="A56" s="11" t="s">
        <v>253</v>
      </c>
      <c r="B56" s="11" t="s">
        <v>268</v>
      </c>
      <c r="C56" s="11" t="s">
        <v>86</v>
      </c>
      <c r="D56" s="11" t="s">
        <v>26</v>
      </c>
      <c r="E56" s="11" t="s">
        <v>113</v>
      </c>
      <c r="F56" s="11" t="n">
        <v>100</v>
      </c>
      <c r="G56" s="11"/>
      <c r="H56" s="12" t="n">
        <v>79284.35</v>
      </c>
      <c r="I56" s="12" t="n">
        <v>80893.8</v>
      </c>
      <c r="J56" s="11" t="s">
        <v>156</v>
      </c>
      <c r="K56" s="13" t="n">
        <v>202.99</v>
      </c>
      <c r="L56" s="13"/>
      <c r="M56" s="11"/>
      <c r="N56" s="11"/>
      <c r="O56" s="12"/>
      <c r="P56" s="11"/>
      <c r="Q56" s="12"/>
      <c r="R56" s="11" t="s">
        <v>73</v>
      </c>
      <c r="S56" s="11" t="s">
        <v>125</v>
      </c>
      <c r="T56" s="11" t="s">
        <v>126</v>
      </c>
      <c r="U56" s="14" t="s">
        <v>269</v>
      </c>
      <c r="V56" s="14" t="s">
        <v>270</v>
      </c>
      <c r="W56" s="14" t="s">
        <v>271</v>
      </c>
      <c r="X56" s="11" t="s">
        <v>79</v>
      </c>
      <c r="Y56" s="11" t="s">
        <v>272</v>
      </c>
    </row>
    <row r="57" customFormat="false" ht="46.25" hidden="false" customHeight="false" outlineLevel="0" collapsed="false">
      <c r="A57" s="11" t="s">
        <v>253</v>
      </c>
      <c r="B57" s="11" t="s">
        <v>273</v>
      </c>
      <c r="C57" s="11" t="s">
        <v>266</v>
      </c>
      <c r="D57" s="11" t="s">
        <v>39</v>
      </c>
      <c r="E57" s="11" t="s">
        <v>113</v>
      </c>
      <c r="F57" s="11" t="n">
        <v>50</v>
      </c>
      <c r="G57" s="11"/>
      <c r="H57" s="12" t="n">
        <v>6.9</v>
      </c>
      <c r="I57" s="12" t="n">
        <v>7.171</v>
      </c>
      <c r="J57" s="11" t="s">
        <v>135</v>
      </c>
      <c r="K57" s="13" t="n">
        <v>190.71</v>
      </c>
      <c r="L57" s="13"/>
      <c r="M57" s="11"/>
      <c r="N57" s="11"/>
      <c r="O57" s="12"/>
      <c r="P57" s="11"/>
      <c r="Q57" s="12"/>
      <c r="R57" s="11" t="s">
        <v>114</v>
      </c>
      <c r="S57" s="11" t="s">
        <v>125</v>
      </c>
      <c r="T57" s="11" t="s">
        <v>126</v>
      </c>
      <c r="U57" s="14" t="s">
        <v>274</v>
      </c>
      <c r="V57" s="14" t="s">
        <v>275</v>
      </c>
      <c r="W57" s="14" t="s">
        <v>276</v>
      </c>
      <c r="X57" s="11" t="s">
        <v>79</v>
      </c>
      <c r="Y57" s="11" t="s">
        <v>277</v>
      </c>
    </row>
    <row r="58" customFormat="false" ht="35.05" hidden="false" customHeight="false" outlineLevel="0" collapsed="false">
      <c r="A58" s="11" t="s">
        <v>253</v>
      </c>
      <c r="B58" s="11" t="s">
        <v>278</v>
      </c>
      <c r="C58" s="11" t="s">
        <v>86</v>
      </c>
      <c r="D58" s="11" t="s">
        <v>26</v>
      </c>
      <c r="E58" s="11" t="s">
        <v>113</v>
      </c>
      <c r="F58" s="11" t="n">
        <v>30</v>
      </c>
      <c r="G58" s="11"/>
      <c r="H58" s="12" t="n">
        <v>79313.4</v>
      </c>
      <c r="I58" s="12" t="n">
        <v>80926.4</v>
      </c>
      <c r="J58" s="11" t="s">
        <v>156</v>
      </c>
      <c r="K58" s="13" t="n">
        <v>61</v>
      </c>
      <c r="L58" s="13"/>
      <c r="M58" s="11"/>
      <c r="N58" s="11"/>
      <c r="O58" s="12"/>
      <c r="P58" s="11"/>
      <c r="Q58" s="12"/>
      <c r="R58" s="11" t="s">
        <v>73</v>
      </c>
      <c r="S58" s="11" t="s">
        <v>205</v>
      </c>
      <c r="T58" s="11" t="s">
        <v>126</v>
      </c>
      <c r="U58" s="14" t="s">
        <v>279</v>
      </c>
      <c r="V58" s="14" t="s">
        <v>280</v>
      </c>
      <c r="W58" s="14" t="s">
        <v>281</v>
      </c>
      <c r="X58" s="11" t="s">
        <v>79</v>
      </c>
      <c r="Y58" s="11" t="s">
        <v>282</v>
      </c>
    </row>
    <row r="59" customFormat="false" ht="57.45" hidden="false" customHeight="false" outlineLevel="0" collapsed="false">
      <c r="A59" s="11" t="s">
        <v>253</v>
      </c>
      <c r="B59" s="11" t="s">
        <v>283</v>
      </c>
      <c r="C59" s="11" t="s">
        <v>86</v>
      </c>
      <c r="D59" s="11" t="s">
        <v>26</v>
      </c>
      <c r="E59" s="11" t="s">
        <v>113</v>
      </c>
      <c r="F59" s="11" t="n">
        <v>250</v>
      </c>
      <c r="G59" s="11"/>
      <c r="H59" s="12"/>
      <c r="I59" s="12"/>
      <c r="J59" s="11"/>
      <c r="K59" s="13" t="n">
        <v>448.51</v>
      </c>
      <c r="L59" s="13"/>
      <c r="M59" s="11"/>
      <c r="N59" s="11"/>
      <c r="O59" s="12"/>
      <c r="P59" s="11"/>
      <c r="Q59" s="12"/>
      <c r="R59" s="11" t="s">
        <v>73</v>
      </c>
      <c r="S59" s="11" t="s">
        <v>115</v>
      </c>
      <c r="T59" s="11" t="s">
        <v>126</v>
      </c>
      <c r="U59" s="14" t="s">
        <v>284</v>
      </c>
      <c r="V59" s="14"/>
      <c r="W59" s="14" t="s">
        <v>285</v>
      </c>
      <c r="X59" s="11" t="s">
        <v>79</v>
      </c>
      <c r="Y59" s="11" t="s">
        <v>286</v>
      </c>
    </row>
    <row r="60" customFormat="false" ht="57.45" hidden="false" customHeight="false" outlineLevel="0" collapsed="false">
      <c r="A60" s="11" t="s">
        <v>253</v>
      </c>
      <c r="B60" s="11" t="s">
        <v>287</v>
      </c>
      <c r="C60" s="11" t="s">
        <v>288</v>
      </c>
      <c r="D60" s="11" t="s">
        <v>289</v>
      </c>
      <c r="E60" s="11" t="s">
        <v>113</v>
      </c>
      <c r="F60" s="11" t="n">
        <v>50</v>
      </c>
      <c r="G60" s="11"/>
      <c r="H60" s="12" t="n">
        <v>0.03583</v>
      </c>
      <c r="I60" s="12" t="n">
        <v>0.03709</v>
      </c>
      <c r="J60" s="11" t="s">
        <v>232</v>
      </c>
      <c r="K60" s="13" t="n">
        <v>179.47</v>
      </c>
      <c r="L60" s="13"/>
      <c r="M60" s="11"/>
      <c r="N60" s="11"/>
      <c r="O60" s="12"/>
      <c r="P60" s="11"/>
      <c r="Q60" s="12"/>
      <c r="R60" s="11" t="s">
        <v>114</v>
      </c>
      <c r="S60" s="11" t="s">
        <v>74</v>
      </c>
      <c r="T60" s="11" t="s">
        <v>290</v>
      </c>
      <c r="U60" s="14" t="s">
        <v>291</v>
      </c>
      <c r="V60" s="14" t="s">
        <v>292</v>
      </c>
      <c r="W60" s="14" t="s">
        <v>293</v>
      </c>
      <c r="X60" s="11" t="s">
        <v>79</v>
      </c>
      <c r="Y60" s="11" t="s">
        <v>294</v>
      </c>
    </row>
    <row r="61" customFormat="false" ht="57.45" hidden="false" customHeight="false" outlineLevel="0" collapsed="false">
      <c r="A61" s="11" t="s">
        <v>253</v>
      </c>
      <c r="B61" s="11" t="s">
        <v>287</v>
      </c>
      <c r="C61" s="11" t="s">
        <v>288</v>
      </c>
      <c r="D61" s="11" t="s">
        <v>289</v>
      </c>
      <c r="E61" s="11" t="s">
        <v>113</v>
      </c>
      <c r="F61" s="11" t="n">
        <v>20</v>
      </c>
      <c r="G61" s="11"/>
      <c r="H61" s="12" t="n">
        <v>0.03282</v>
      </c>
      <c r="I61" s="12" t="n">
        <v>0.03444</v>
      </c>
      <c r="J61" s="11" t="s">
        <v>156</v>
      </c>
      <c r="K61" s="13" t="n">
        <v>98.72</v>
      </c>
      <c r="L61" s="13"/>
      <c r="M61" s="11"/>
      <c r="N61" s="11"/>
      <c r="O61" s="12"/>
      <c r="P61" s="11"/>
      <c r="Q61" s="12"/>
      <c r="R61" s="11" t="s">
        <v>73</v>
      </c>
      <c r="S61" s="11" t="s">
        <v>74</v>
      </c>
      <c r="T61" s="11" t="s">
        <v>290</v>
      </c>
      <c r="U61" s="14" t="s">
        <v>295</v>
      </c>
      <c r="V61" s="14" t="s">
        <v>292</v>
      </c>
      <c r="W61" s="14" t="s">
        <v>293</v>
      </c>
      <c r="X61" s="11" t="s">
        <v>79</v>
      </c>
      <c r="Y61" s="11" t="s">
        <v>294</v>
      </c>
    </row>
    <row r="62" customFormat="false" ht="57.45" hidden="false" customHeight="false" outlineLevel="0" collapsed="false">
      <c r="A62" s="11" t="s">
        <v>253</v>
      </c>
      <c r="B62" s="11" t="s">
        <v>287</v>
      </c>
      <c r="C62" s="11" t="s">
        <v>86</v>
      </c>
      <c r="D62" s="11" t="s">
        <v>26</v>
      </c>
      <c r="E62" s="11" t="s">
        <v>113</v>
      </c>
      <c r="F62" s="11"/>
      <c r="G62" s="11"/>
      <c r="H62" s="12"/>
      <c r="I62" s="12"/>
      <c r="J62" s="11"/>
      <c r="K62" s="13" t="n">
        <v>211.69</v>
      </c>
      <c r="L62" s="13"/>
      <c r="M62" s="11"/>
      <c r="N62" s="11"/>
      <c r="O62" s="12"/>
      <c r="P62" s="11"/>
      <c r="Q62" s="12"/>
      <c r="R62" s="11" t="s">
        <v>115</v>
      </c>
      <c r="S62" s="11" t="s">
        <v>74</v>
      </c>
      <c r="T62" s="11" t="s">
        <v>290</v>
      </c>
      <c r="U62" s="14" t="s">
        <v>296</v>
      </c>
      <c r="V62" s="14" t="s">
        <v>292</v>
      </c>
      <c r="W62" s="14" t="s">
        <v>293</v>
      </c>
      <c r="X62" s="11" t="s">
        <v>79</v>
      </c>
      <c r="Y62" s="11" t="s">
        <v>294</v>
      </c>
    </row>
    <row r="63" customFormat="false" ht="57.45" hidden="false" customHeight="false" outlineLevel="0" collapsed="false">
      <c r="A63" s="11" t="s">
        <v>253</v>
      </c>
      <c r="B63" s="11" t="s">
        <v>287</v>
      </c>
      <c r="C63" s="11" t="s">
        <v>297</v>
      </c>
      <c r="D63" s="11" t="s">
        <v>298</v>
      </c>
      <c r="E63" s="11" t="s">
        <v>194</v>
      </c>
      <c r="F63" s="11"/>
      <c r="G63" s="11"/>
      <c r="H63" s="12"/>
      <c r="I63" s="12"/>
      <c r="J63" s="11"/>
      <c r="K63" s="13" t="n">
        <v>219.73</v>
      </c>
      <c r="L63" s="13"/>
      <c r="M63" s="11"/>
      <c r="N63" s="11"/>
      <c r="O63" s="12"/>
      <c r="P63" s="11"/>
      <c r="Q63" s="12"/>
      <c r="R63" s="11" t="s">
        <v>115</v>
      </c>
      <c r="S63" s="11" t="s">
        <v>74</v>
      </c>
      <c r="T63" s="11" t="s">
        <v>290</v>
      </c>
      <c r="U63" s="14" t="s">
        <v>299</v>
      </c>
      <c r="V63" s="14" t="s">
        <v>292</v>
      </c>
      <c r="W63" s="14" t="s">
        <v>293</v>
      </c>
      <c r="X63" s="11" t="s">
        <v>79</v>
      </c>
      <c r="Y63" s="11" t="s">
        <v>294</v>
      </c>
    </row>
    <row r="64" customFormat="false" ht="91" hidden="false" customHeight="false" outlineLevel="0" collapsed="false">
      <c r="A64" s="11" t="s">
        <v>253</v>
      </c>
      <c r="B64" s="11" t="s">
        <v>287</v>
      </c>
      <c r="C64" s="11" t="s">
        <v>86</v>
      </c>
      <c r="D64" s="11" t="s">
        <v>26</v>
      </c>
      <c r="E64" s="11" t="s">
        <v>113</v>
      </c>
      <c r="F64" s="11" t="n">
        <v>100</v>
      </c>
      <c r="G64" s="11"/>
      <c r="H64" s="12"/>
      <c r="I64" s="12"/>
      <c r="J64" s="11"/>
      <c r="K64" s="13" t="n">
        <v>252.15</v>
      </c>
      <c r="L64" s="13"/>
      <c r="M64" s="11"/>
      <c r="N64" s="11"/>
      <c r="O64" s="12"/>
      <c r="P64" s="11"/>
      <c r="Q64" s="12"/>
      <c r="R64" s="11" t="s">
        <v>73</v>
      </c>
      <c r="S64" s="11" t="s">
        <v>74</v>
      </c>
      <c r="T64" s="11" t="s">
        <v>290</v>
      </c>
      <c r="U64" s="14" t="s">
        <v>300</v>
      </c>
      <c r="V64" s="14" t="s">
        <v>292</v>
      </c>
      <c r="W64" s="14" t="s">
        <v>293</v>
      </c>
      <c r="X64" s="11" t="s">
        <v>79</v>
      </c>
      <c r="Y64" s="11" t="s">
        <v>294</v>
      </c>
    </row>
    <row r="65" customFormat="false" ht="68.65" hidden="false" customHeight="false" outlineLevel="0" collapsed="false">
      <c r="A65" s="11" t="s">
        <v>253</v>
      </c>
      <c r="B65" s="11" t="s">
        <v>287</v>
      </c>
      <c r="C65" s="11" t="s">
        <v>259</v>
      </c>
      <c r="D65" s="11" t="s">
        <v>32</v>
      </c>
      <c r="E65" s="11" t="s">
        <v>113</v>
      </c>
      <c r="F65" s="11" t="n">
        <v>50</v>
      </c>
      <c r="G65" s="11"/>
      <c r="H65" s="12"/>
      <c r="I65" s="12"/>
      <c r="J65" s="11"/>
      <c r="K65" s="13" t="n">
        <v>43.65</v>
      </c>
      <c r="L65" s="13"/>
      <c r="M65" s="11"/>
      <c r="N65" s="11"/>
      <c r="O65" s="12"/>
      <c r="P65" s="11"/>
      <c r="Q65" s="12"/>
      <c r="R65" s="11" t="s">
        <v>73</v>
      </c>
      <c r="S65" s="11" t="s">
        <v>74</v>
      </c>
      <c r="T65" s="11" t="s">
        <v>290</v>
      </c>
      <c r="U65" s="14" t="s">
        <v>301</v>
      </c>
      <c r="V65" s="14" t="s">
        <v>292</v>
      </c>
      <c r="W65" s="14" t="s">
        <v>293</v>
      </c>
      <c r="X65" s="11" t="s">
        <v>79</v>
      </c>
      <c r="Y65" s="11" t="s">
        <v>294</v>
      </c>
    </row>
    <row r="66" customFormat="false" ht="46.25" hidden="false" customHeight="false" outlineLevel="0" collapsed="false">
      <c r="A66" s="11" t="s">
        <v>253</v>
      </c>
      <c r="B66" s="11" t="s">
        <v>287</v>
      </c>
      <c r="C66" s="11" t="s">
        <v>266</v>
      </c>
      <c r="D66" s="11" t="s">
        <v>39</v>
      </c>
      <c r="E66" s="11" t="s">
        <v>113</v>
      </c>
      <c r="F66" s="11" t="n">
        <v>20</v>
      </c>
      <c r="G66" s="11"/>
      <c r="H66" s="12" t="n">
        <v>6.894</v>
      </c>
      <c r="I66" s="12" t="n">
        <v>7.153</v>
      </c>
      <c r="J66" s="11" t="s">
        <v>156</v>
      </c>
      <c r="K66" s="13" t="n">
        <v>75.13</v>
      </c>
      <c r="L66" s="13"/>
      <c r="M66" s="11"/>
      <c r="N66" s="11"/>
      <c r="O66" s="12"/>
      <c r="P66" s="11"/>
      <c r="Q66" s="12"/>
      <c r="R66" s="11" t="s">
        <v>73</v>
      </c>
      <c r="S66" s="11" t="s">
        <v>74</v>
      </c>
      <c r="T66" s="11" t="s">
        <v>290</v>
      </c>
      <c r="U66" s="14" t="s">
        <v>302</v>
      </c>
      <c r="V66" s="14" t="s">
        <v>292</v>
      </c>
      <c r="W66" s="14" t="s">
        <v>293</v>
      </c>
      <c r="X66" s="11" t="s">
        <v>79</v>
      </c>
      <c r="Y66" s="11" t="s">
        <v>294</v>
      </c>
    </row>
    <row r="67" customFormat="false" ht="57.45" hidden="false" customHeight="false" outlineLevel="0" collapsed="false">
      <c r="A67" s="11" t="s">
        <v>253</v>
      </c>
      <c r="B67" s="11" t="s">
        <v>287</v>
      </c>
      <c r="C67" s="11" t="s">
        <v>86</v>
      </c>
      <c r="D67" s="11" t="s">
        <v>26</v>
      </c>
      <c r="E67" s="11" t="s">
        <v>113</v>
      </c>
      <c r="F67" s="11" t="n">
        <v>75</v>
      </c>
      <c r="G67" s="11"/>
      <c r="H67" s="12" t="n">
        <v>79108.1</v>
      </c>
      <c r="I67" s="12" t="n">
        <v>80983.9</v>
      </c>
      <c r="J67" s="11" t="s">
        <v>156</v>
      </c>
      <c r="K67" s="13" t="n">
        <v>177.83</v>
      </c>
      <c r="L67" s="13"/>
      <c r="M67" s="11"/>
      <c r="N67" s="11"/>
      <c r="O67" s="12"/>
      <c r="P67" s="11"/>
      <c r="Q67" s="12"/>
      <c r="R67" s="11" t="s">
        <v>73</v>
      </c>
      <c r="S67" s="11" t="s">
        <v>74</v>
      </c>
      <c r="T67" s="11" t="s">
        <v>290</v>
      </c>
      <c r="U67" s="14" t="s">
        <v>303</v>
      </c>
      <c r="V67" s="14" t="s">
        <v>292</v>
      </c>
      <c r="W67" s="14" t="s">
        <v>293</v>
      </c>
      <c r="X67" s="11" t="s">
        <v>79</v>
      </c>
      <c r="Y67" s="11" t="s">
        <v>294</v>
      </c>
    </row>
    <row r="68" customFormat="false" ht="57.45" hidden="false" customHeight="false" outlineLevel="0" collapsed="false">
      <c r="A68" s="11" t="s">
        <v>253</v>
      </c>
      <c r="B68" s="11" t="s">
        <v>287</v>
      </c>
      <c r="C68" s="11" t="s">
        <v>259</v>
      </c>
      <c r="D68" s="11" t="s">
        <v>32</v>
      </c>
      <c r="E68" s="11" t="s">
        <v>113</v>
      </c>
      <c r="F68" s="11" t="n">
        <v>3</v>
      </c>
      <c r="G68" s="11"/>
      <c r="H68" s="12" t="n">
        <v>1.4318</v>
      </c>
      <c r="I68" s="12" t="n">
        <v>1.4537</v>
      </c>
      <c r="J68" s="11" t="s">
        <v>156</v>
      </c>
      <c r="K68" s="13" t="n">
        <v>4.58</v>
      </c>
      <c r="L68" s="13"/>
      <c r="M68" s="11"/>
      <c r="N68" s="11"/>
      <c r="O68" s="12"/>
      <c r="P68" s="11"/>
      <c r="Q68" s="12"/>
      <c r="R68" s="11" t="s">
        <v>73</v>
      </c>
      <c r="S68" s="11" t="s">
        <v>74</v>
      </c>
      <c r="T68" s="11" t="s">
        <v>290</v>
      </c>
      <c r="U68" s="14" t="s">
        <v>304</v>
      </c>
      <c r="V68" s="14" t="s">
        <v>292</v>
      </c>
      <c r="W68" s="14" t="s">
        <v>293</v>
      </c>
      <c r="X68" s="11" t="s">
        <v>79</v>
      </c>
      <c r="Y68" s="11" t="s">
        <v>294</v>
      </c>
    </row>
    <row r="69" customFormat="false" ht="113.4" hidden="false" customHeight="false" outlineLevel="0" collapsed="false">
      <c r="A69" s="11" t="s">
        <v>253</v>
      </c>
      <c r="B69" s="11" t="s">
        <v>287</v>
      </c>
      <c r="C69" s="11" t="s">
        <v>86</v>
      </c>
      <c r="D69" s="11" t="s">
        <v>26</v>
      </c>
      <c r="E69" s="11" t="s">
        <v>113</v>
      </c>
      <c r="F69" s="11" t="n">
        <v>100</v>
      </c>
      <c r="G69" s="11"/>
      <c r="H69" s="12" t="n">
        <v>78977.2</v>
      </c>
      <c r="I69" s="12" t="n">
        <v>80488.5</v>
      </c>
      <c r="J69" s="11" t="s">
        <v>156</v>
      </c>
      <c r="K69" s="13" t="n">
        <v>175.73</v>
      </c>
      <c r="L69" s="13"/>
      <c r="M69" s="11"/>
      <c r="N69" s="11"/>
      <c r="O69" s="12"/>
      <c r="P69" s="11"/>
      <c r="Q69" s="12"/>
      <c r="R69" s="11" t="s">
        <v>73</v>
      </c>
      <c r="S69" s="11" t="s">
        <v>74</v>
      </c>
      <c r="T69" s="11" t="s">
        <v>290</v>
      </c>
      <c r="U69" s="14" t="s">
        <v>305</v>
      </c>
      <c r="V69" s="14" t="s">
        <v>292</v>
      </c>
      <c r="W69" s="14" t="s">
        <v>293</v>
      </c>
      <c r="X69" s="11" t="s">
        <v>79</v>
      </c>
      <c r="Y69" s="11" t="s">
        <v>294</v>
      </c>
    </row>
    <row r="70" customFormat="false" ht="57.45" hidden="false" customHeight="false" outlineLevel="0" collapsed="false">
      <c r="A70" s="11" t="s">
        <v>253</v>
      </c>
      <c r="B70" s="11" t="s">
        <v>287</v>
      </c>
      <c r="C70" s="11" t="s">
        <v>86</v>
      </c>
      <c r="D70" s="11" t="s">
        <v>26</v>
      </c>
      <c r="E70" s="11" t="s">
        <v>113</v>
      </c>
      <c r="F70" s="11" t="n">
        <v>3</v>
      </c>
      <c r="G70" s="11"/>
      <c r="H70" s="12" t="n">
        <v>79815.6</v>
      </c>
      <c r="I70" s="12" t="n">
        <v>81195</v>
      </c>
      <c r="J70" s="11" t="s">
        <v>156</v>
      </c>
      <c r="K70" s="13" t="n">
        <v>5.18</v>
      </c>
      <c r="L70" s="13"/>
      <c r="M70" s="11"/>
      <c r="N70" s="11"/>
      <c r="O70" s="12"/>
      <c r="P70" s="11"/>
      <c r="Q70" s="12"/>
      <c r="R70" s="11" t="s">
        <v>73</v>
      </c>
      <c r="S70" s="11" t="s">
        <v>74</v>
      </c>
      <c r="T70" s="11" t="s">
        <v>290</v>
      </c>
      <c r="U70" s="14" t="s">
        <v>306</v>
      </c>
      <c r="V70" s="14" t="s">
        <v>292</v>
      </c>
      <c r="W70" s="14" t="s">
        <v>293</v>
      </c>
      <c r="X70" s="11" t="s">
        <v>79</v>
      </c>
      <c r="Y70" s="11" t="s">
        <v>294</v>
      </c>
    </row>
    <row r="71" customFormat="false" ht="68.65" hidden="false" customHeight="false" outlineLevel="0" collapsed="false">
      <c r="A71" s="11" t="s">
        <v>253</v>
      </c>
      <c r="B71" s="11" t="s">
        <v>307</v>
      </c>
      <c r="C71" s="11" t="s">
        <v>266</v>
      </c>
      <c r="D71" s="11" t="s">
        <v>39</v>
      </c>
      <c r="E71" s="11" t="s">
        <v>113</v>
      </c>
      <c r="F71" s="11" t="n">
        <v>50</v>
      </c>
      <c r="G71" s="11"/>
      <c r="H71" s="12" t="n">
        <v>6.9</v>
      </c>
      <c r="I71" s="12" t="n">
        <v>7.135</v>
      </c>
      <c r="J71" s="11" t="s">
        <v>135</v>
      </c>
      <c r="K71" s="13" t="n">
        <v>161.15</v>
      </c>
      <c r="L71" s="13"/>
      <c r="M71" s="11"/>
      <c r="N71" s="11"/>
      <c r="O71" s="12"/>
      <c r="P71" s="11"/>
      <c r="Q71" s="12"/>
      <c r="R71" s="11" t="s">
        <v>114</v>
      </c>
      <c r="S71" s="11" t="s">
        <v>125</v>
      </c>
      <c r="T71" s="11" t="s">
        <v>126</v>
      </c>
      <c r="U71" s="14" t="s">
        <v>308</v>
      </c>
      <c r="V71" s="14" t="s">
        <v>309</v>
      </c>
      <c r="W71" s="14" t="s">
        <v>310</v>
      </c>
      <c r="X71" s="11" t="s">
        <v>79</v>
      </c>
      <c r="Y71" s="11" t="s">
        <v>311</v>
      </c>
    </row>
    <row r="72" customFormat="false" ht="79.85" hidden="false" customHeight="false" outlineLevel="0" collapsed="false">
      <c r="A72" s="11" t="s">
        <v>253</v>
      </c>
      <c r="B72" s="11" t="s">
        <v>312</v>
      </c>
      <c r="C72" s="11" t="s">
        <v>259</v>
      </c>
      <c r="D72" s="11" t="s">
        <v>32</v>
      </c>
      <c r="E72" s="11" t="s">
        <v>113</v>
      </c>
      <c r="F72" s="11"/>
      <c r="G72" s="11"/>
      <c r="H72" s="12"/>
      <c r="I72" s="12"/>
      <c r="J72" s="11"/>
      <c r="K72" s="13"/>
      <c r="L72" s="13"/>
      <c r="M72" s="11"/>
      <c r="N72" s="11"/>
      <c r="O72" s="12"/>
      <c r="P72" s="11"/>
      <c r="Q72" s="12"/>
      <c r="R72" s="11" t="s">
        <v>73</v>
      </c>
      <c r="S72" s="11" t="s">
        <v>205</v>
      </c>
      <c r="T72" s="11" t="s">
        <v>235</v>
      </c>
      <c r="U72" s="14" t="s">
        <v>313</v>
      </c>
      <c r="V72" s="14" t="s">
        <v>314</v>
      </c>
      <c r="W72" s="14" t="s">
        <v>315</v>
      </c>
      <c r="X72" s="11" t="s">
        <v>79</v>
      </c>
      <c r="Y72" s="11" t="s">
        <v>316</v>
      </c>
    </row>
    <row r="73" customFormat="false" ht="68.65" hidden="false" customHeight="false" outlineLevel="0" collapsed="false">
      <c r="A73" s="11" t="s">
        <v>317</v>
      </c>
      <c r="B73" s="11" t="s">
        <v>318</v>
      </c>
      <c r="C73" s="11" t="s">
        <v>288</v>
      </c>
      <c r="D73" s="11" t="s">
        <v>289</v>
      </c>
      <c r="E73" s="11" t="s">
        <v>113</v>
      </c>
      <c r="F73" s="11" t="n">
        <v>25</v>
      </c>
      <c r="G73" s="11"/>
      <c r="H73" s="12" t="n">
        <v>0.03538</v>
      </c>
      <c r="I73" s="12" t="n">
        <v>0.0371</v>
      </c>
      <c r="J73" s="11" t="s">
        <v>135</v>
      </c>
      <c r="K73" s="13" t="n">
        <v>116.46</v>
      </c>
      <c r="L73" s="13"/>
      <c r="M73" s="11"/>
      <c r="N73" s="11"/>
      <c r="O73" s="12"/>
      <c r="P73" s="11"/>
      <c r="Q73" s="12"/>
      <c r="R73" s="11" t="s">
        <v>114</v>
      </c>
      <c r="S73" s="11" t="s">
        <v>125</v>
      </c>
      <c r="T73" s="11" t="s">
        <v>126</v>
      </c>
      <c r="U73" s="14" t="s">
        <v>319</v>
      </c>
      <c r="V73" s="14" t="s">
        <v>320</v>
      </c>
      <c r="W73" s="14" t="s">
        <v>321</v>
      </c>
      <c r="X73" s="11" t="s">
        <v>79</v>
      </c>
      <c r="Y73" s="11" t="s">
        <v>322</v>
      </c>
    </row>
    <row r="74" customFormat="false" ht="57.45" hidden="false" customHeight="false" outlineLevel="0" collapsed="false">
      <c r="A74" s="11" t="s">
        <v>323</v>
      </c>
      <c r="B74" s="11" t="s">
        <v>324</v>
      </c>
      <c r="C74" s="11" t="s">
        <v>86</v>
      </c>
      <c r="D74" s="11" t="s">
        <v>26</v>
      </c>
      <c r="E74" s="11"/>
      <c r="F74" s="11"/>
      <c r="G74" s="11"/>
      <c r="H74" s="12"/>
      <c r="I74" s="12"/>
      <c r="J74" s="11"/>
      <c r="K74" s="13"/>
      <c r="L74" s="13"/>
      <c r="M74" s="11"/>
      <c r="N74" s="11"/>
      <c r="O74" s="12"/>
      <c r="P74" s="11"/>
      <c r="Q74" s="12"/>
      <c r="R74" s="11" t="s">
        <v>325</v>
      </c>
      <c r="S74" s="11" t="s">
        <v>74</v>
      </c>
      <c r="T74" s="11" t="s">
        <v>75</v>
      </c>
      <c r="U74" s="14" t="s">
        <v>326</v>
      </c>
      <c r="V74" s="14"/>
      <c r="W74" s="14" t="s">
        <v>327</v>
      </c>
      <c r="X74" s="11" t="s">
        <v>79</v>
      </c>
      <c r="Y74" s="11" t="s">
        <v>328</v>
      </c>
    </row>
    <row r="75" customFormat="false" ht="35.05" hidden="false" customHeight="false" outlineLevel="0" collapsed="false">
      <c r="A75" s="11" t="s">
        <v>329</v>
      </c>
      <c r="B75" s="11" t="s">
        <v>330</v>
      </c>
      <c r="C75" s="11" t="s">
        <v>90</v>
      </c>
      <c r="D75" s="11" t="s">
        <v>27</v>
      </c>
      <c r="E75" s="11" t="s">
        <v>113</v>
      </c>
      <c r="F75" s="11" t="n">
        <v>100</v>
      </c>
      <c r="G75" s="11"/>
      <c r="H75" s="12" t="n">
        <v>2173.61</v>
      </c>
      <c r="I75" s="12" t="n">
        <v>2194.45</v>
      </c>
      <c r="J75" s="11" t="s">
        <v>135</v>
      </c>
      <c r="K75" s="13" t="n">
        <v>90.57</v>
      </c>
      <c r="L75" s="13"/>
      <c r="M75" s="11"/>
      <c r="N75" s="11"/>
      <c r="O75" s="12"/>
      <c r="P75" s="11"/>
      <c r="Q75" s="12"/>
      <c r="R75" s="11" t="s">
        <v>114</v>
      </c>
      <c r="S75" s="11" t="s">
        <v>125</v>
      </c>
      <c r="T75" s="11" t="s">
        <v>126</v>
      </c>
      <c r="U75" s="14" t="s">
        <v>331</v>
      </c>
      <c r="V75" s="14" t="s">
        <v>332</v>
      </c>
      <c r="W75" s="14" t="s">
        <v>333</v>
      </c>
      <c r="X75" s="11" t="s">
        <v>79</v>
      </c>
      <c r="Y75" s="11" t="s">
        <v>334</v>
      </c>
    </row>
    <row r="76" customFormat="false" ht="57.45" hidden="false" customHeight="false" outlineLevel="0" collapsed="false">
      <c r="A76" s="11" t="s">
        <v>329</v>
      </c>
      <c r="B76" s="11" t="s">
        <v>335</v>
      </c>
      <c r="C76" s="11" t="s">
        <v>86</v>
      </c>
      <c r="D76" s="11" t="s">
        <v>26</v>
      </c>
      <c r="E76" s="11" t="s">
        <v>113</v>
      </c>
      <c r="F76" s="11" t="n">
        <v>150</v>
      </c>
      <c r="G76" s="11"/>
      <c r="H76" s="12" t="n">
        <v>78041.3</v>
      </c>
      <c r="I76" s="12" t="n">
        <v>78494.9</v>
      </c>
      <c r="J76" s="11" t="s">
        <v>135</v>
      </c>
      <c r="K76" s="13" t="n">
        <v>87.18</v>
      </c>
      <c r="L76" s="13"/>
      <c r="M76" s="11"/>
      <c r="N76" s="11"/>
      <c r="O76" s="12"/>
      <c r="P76" s="11"/>
      <c r="Q76" s="12"/>
      <c r="R76" s="11" t="s">
        <v>114</v>
      </c>
      <c r="S76" s="11" t="s">
        <v>205</v>
      </c>
      <c r="T76" s="11" t="s">
        <v>126</v>
      </c>
      <c r="U76" s="14" t="s">
        <v>336</v>
      </c>
      <c r="V76" s="14" t="s">
        <v>337</v>
      </c>
      <c r="W76" s="14" t="s">
        <v>338</v>
      </c>
      <c r="X76" s="11" t="s">
        <v>79</v>
      </c>
      <c r="Y76" s="11" t="s">
        <v>339</v>
      </c>
    </row>
    <row r="77" customFormat="false" ht="68.65" hidden="false" customHeight="false" outlineLevel="0" collapsed="false">
      <c r="A77" s="11" t="s">
        <v>340</v>
      </c>
      <c r="B77" s="11" t="s">
        <v>341</v>
      </c>
      <c r="C77" s="11" t="s">
        <v>342</v>
      </c>
      <c r="D77" s="11" t="s">
        <v>343</v>
      </c>
      <c r="E77" s="11" t="s">
        <v>113</v>
      </c>
      <c r="F77" s="11" t="n">
        <v>25</v>
      </c>
      <c r="G77" s="11"/>
      <c r="H77" s="12" t="n">
        <v>0.0005998</v>
      </c>
      <c r="I77" s="12" t="n">
        <v>0.0006203</v>
      </c>
      <c r="J77" s="11" t="s">
        <v>135</v>
      </c>
      <c r="K77" s="13" t="n">
        <v>80.8</v>
      </c>
      <c r="L77" s="13"/>
      <c r="M77" s="11"/>
      <c r="N77" s="11"/>
      <c r="O77" s="12"/>
      <c r="P77" s="11"/>
      <c r="Q77" s="12"/>
      <c r="R77" s="11" t="s">
        <v>114</v>
      </c>
      <c r="S77" s="11" t="s">
        <v>125</v>
      </c>
      <c r="T77" s="11" t="s">
        <v>126</v>
      </c>
      <c r="U77" s="14" t="s">
        <v>344</v>
      </c>
      <c r="V77" s="14" t="s">
        <v>345</v>
      </c>
      <c r="W77" s="14" t="s">
        <v>346</v>
      </c>
      <c r="X77" s="11" t="s">
        <v>79</v>
      </c>
      <c r="Y77" s="11" t="s">
        <v>347</v>
      </c>
    </row>
    <row r="78" customFormat="false" ht="57.45" hidden="false" customHeight="false" outlineLevel="0" collapsed="false">
      <c r="A78" s="11" t="s">
        <v>340</v>
      </c>
      <c r="B78" s="11" t="s">
        <v>348</v>
      </c>
      <c r="C78" s="11" t="s">
        <v>349</v>
      </c>
      <c r="D78" s="11" t="s">
        <v>31</v>
      </c>
      <c r="E78" s="11" t="s">
        <v>113</v>
      </c>
      <c r="F78" s="11" t="n">
        <v>75</v>
      </c>
      <c r="G78" s="11"/>
      <c r="H78" s="12" t="n">
        <v>545.99</v>
      </c>
      <c r="I78" s="12" t="n">
        <v>572.12</v>
      </c>
      <c r="J78" s="11" t="s">
        <v>135</v>
      </c>
      <c r="K78" s="13" t="n">
        <v>358.87</v>
      </c>
      <c r="L78" s="13"/>
      <c r="M78" s="11"/>
      <c r="N78" s="11"/>
      <c r="O78" s="12"/>
      <c r="P78" s="11"/>
      <c r="Q78" s="12"/>
      <c r="R78" s="11" t="s">
        <v>114</v>
      </c>
      <c r="S78" s="11" t="s">
        <v>205</v>
      </c>
      <c r="T78" s="11" t="s">
        <v>126</v>
      </c>
      <c r="U78" s="14" t="s">
        <v>350</v>
      </c>
      <c r="V78" s="14" t="s">
        <v>351</v>
      </c>
      <c r="W78" s="14" t="s">
        <v>352</v>
      </c>
      <c r="X78" s="11" t="s">
        <v>79</v>
      </c>
      <c r="Y78" s="11" t="s">
        <v>353</v>
      </c>
    </row>
    <row r="79" customFormat="false" ht="46.25" hidden="false" customHeight="false" outlineLevel="0" collapsed="false">
      <c r="A79" s="11" t="s">
        <v>340</v>
      </c>
      <c r="B79" s="11" t="s">
        <v>354</v>
      </c>
      <c r="C79" s="11" t="s">
        <v>342</v>
      </c>
      <c r="D79" s="11" t="s">
        <v>343</v>
      </c>
      <c r="E79" s="11" t="s">
        <v>113</v>
      </c>
      <c r="F79" s="11" t="n">
        <v>25</v>
      </c>
      <c r="G79" s="11"/>
      <c r="H79" s="12" t="n">
        <v>0.0005998</v>
      </c>
      <c r="I79" s="12" t="n">
        <v>0.000643</v>
      </c>
      <c r="J79" s="11" t="s">
        <v>135</v>
      </c>
      <c r="K79" s="13" t="n">
        <v>165.91</v>
      </c>
      <c r="L79" s="13"/>
      <c r="M79" s="11"/>
      <c r="N79" s="11"/>
      <c r="O79" s="12"/>
      <c r="P79" s="11"/>
      <c r="Q79" s="12"/>
      <c r="R79" s="11" t="s">
        <v>114</v>
      </c>
      <c r="S79" s="11" t="s">
        <v>125</v>
      </c>
      <c r="T79" s="11" t="s">
        <v>126</v>
      </c>
      <c r="U79" s="14" t="s">
        <v>355</v>
      </c>
      <c r="V79" s="14" t="s">
        <v>356</v>
      </c>
      <c r="W79" s="14" t="s">
        <v>357</v>
      </c>
      <c r="X79" s="11" t="s">
        <v>79</v>
      </c>
      <c r="Y79" s="11" t="s">
        <v>358</v>
      </c>
    </row>
    <row r="80" customFormat="false" ht="68.65" hidden="false" customHeight="false" outlineLevel="0" collapsed="false">
      <c r="A80" s="11" t="s">
        <v>340</v>
      </c>
      <c r="B80" s="11" t="s">
        <v>359</v>
      </c>
      <c r="C80" s="11" t="s">
        <v>349</v>
      </c>
      <c r="D80" s="11" t="s">
        <v>31</v>
      </c>
      <c r="E80" s="11" t="s">
        <v>113</v>
      </c>
      <c r="F80" s="11" t="n">
        <v>75</v>
      </c>
      <c r="G80" s="11"/>
      <c r="H80" s="12" t="n">
        <v>545.99</v>
      </c>
      <c r="I80" s="12" t="n">
        <v>581.92</v>
      </c>
      <c r="J80" s="11" t="s">
        <v>156</v>
      </c>
      <c r="K80" s="13" t="n">
        <v>493.44</v>
      </c>
      <c r="L80" s="13"/>
      <c r="M80" s="11"/>
      <c r="N80" s="11"/>
      <c r="O80" s="12"/>
      <c r="P80" s="11"/>
      <c r="Q80" s="12"/>
      <c r="R80" s="11" t="s">
        <v>73</v>
      </c>
      <c r="S80" s="11" t="s">
        <v>205</v>
      </c>
      <c r="T80" s="11" t="s">
        <v>126</v>
      </c>
      <c r="U80" s="14" t="s">
        <v>360</v>
      </c>
      <c r="V80" s="14" t="s">
        <v>361</v>
      </c>
      <c r="W80" s="14" t="s">
        <v>362</v>
      </c>
      <c r="X80" s="11" t="s">
        <v>79</v>
      </c>
      <c r="Y80" s="11" t="s">
        <v>363</v>
      </c>
    </row>
    <row r="81" customFormat="false" ht="46.25" hidden="false" customHeight="false" outlineLevel="0" collapsed="false">
      <c r="A81" s="11" t="s">
        <v>364</v>
      </c>
      <c r="B81" s="11" t="s">
        <v>365</v>
      </c>
      <c r="C81" s="11" t="s">
        <v>86</v>
      </c>
      <c r="D81" s="11" t="s">
        <v>26</v>
      </c>
      <c r="E81" s="11" t="s">
        <v>113</v>
      </c>
      <c r="F81" s="11" t="n">
        <v>150</v>
      </c>
      <c r="G81" s="11"/>
      <c r="H81" s="12" t="n">
        <v>76704.7</v>
      </c>
      <c r="I81" s="12" t="n">
        <v>76853.8</v>
      </c>
      <c r="J81" s="11" t="s">
        <v>135</v>
      </c>
      <c r="K81" s="13" t="n">
        <v>29.14</v>
      </c>
      <c r="L81" s="13"/>
      <c r="M81" s="11"/>
      <c r="N81" s="11"/>
      <c r="O81" s="12"/>
      <c r="P81" s="11"/>
      <c r="Q81" s="12"/>
      <c r="R81" s="11" t="s">
        <v>114</v>
      </c>
      <c r="S81" s="11" t="s">
        <v>205</v>
      </c>
      <c r="T81" s="11" t="s">
        <v>126</v>
      </c>
      <c r="U81" s="14" t="s">
        <v>366</v>
      </c>
      <c r="V81" s="14" t="s">
        <v>367</v>
      </c>
      <c r="W81" s="14" t="s">
        <v>368</v>
      </c>
      <c r="X81" s="11" t="s">
        <v>79</v>
      </c>
      <c r="Y81" s="11" t="s">
        <v>369</v>
      </c>
    </row>
    <row r="82" customFormat="false" ht="68.65" hidden="false" customHeight="false" outlineLevel="0" collapsed="false">
      <c r="A82" s="11" t="s">
        <v>364</v>
      </c>
      <c r="B82" s="11" t="s">
        <v>370</v>
      </c>
      <c r="C82" s="11" t="s">
        <v>349</v>
      </c>
      <c r="D82" s="11" t="s">
        <v>31</v>
      </c>
      <c r="E82" s="11" t="s">
        <v>113</v>
      </c>
      <c r="F82" s="11" t="n">
        <v>75</v>
      </c>
      <c r="G82" s="11"/>
      <c r="H82" s="12" t="n">
        <v>580.25</v>
      </c>
      <c r="I82" s="12" t="n">
        <v>591.75</v>
      </c>
      <c r="J82" s="11" t="s">
        <v>156</v>
      </c>
      <c r="K82" s="13" t="n">
        <v>148.59</v>
      </c>
      <c r="L82" s="13"/>
      <c r="M82" s="11"/>
      <c r="N82" s="11"/>
      <c r="O82" s="12"/>
      <c r="P82" s="11"/>
      <c r="Q82" s="12"/>
      <c r="R82" s="11" t="s">
        <v>73</v>
      </c>
      <c r="S82" s="11" t="s">
        <v>205</v>
      </c>
      <c r="T82" s="11" t="s">
        <v>126</v>
      </c>
      <c r="U82" s="14" t="s">
        <v>371</v>
      </c>
      <c r="V82" s="14"/>
      <c r="W82" s="14" t="s">
        <v>372</v>
      </c>
      <c r="X82" s="11" t="s">
        <v>79</v>
      </c>
      <c r="Y82" s="11" t="s">
        <v>373</v>
      </c>
    </row>
    <row r="83" customFormat="false" ht="68.65" hidden="false" customHeight="false" outlineLevel="0" collapsed="false">
      <c r="A83" s="11" t="s">
        <v>364</v>
      </c>
      <c r="B83" s="11" t="s">
        <v>374</v>
      </c>
      <c r="C83" s="11" t="s">
        <v>86</v>
      </c>
      <c r="D83" s="11" t="s">
        <v>26</v>
      </c>
      <c r="E83" s="11" t="s">
        <v>113</v>
      </c>
      <c r="F83" s="11" t="n">
        <v>150</v>
      </c>
      <c r="G83" s="11"/>
      <c r="H83" s="12" t="n">
        <v>76704.7</v>
      </c>
      <c r="I83" s="12" t="n">
        <v>77450.5</v>
      </c>
      <c r="J83" s="11" t="s">
        <v>135</v>
      </c>
      <c r="K83" s="13" t="n">
        <v>145.83</v>
      </c>
      <c r="L83" s="13"/>
      <c r="M83" s="11"/>
      <c r="N83" s="11"/>
      <c r="O83" s="12"/>
      <c r="P83" s="11"/>
      <c r="Q83" s="12"/>
      <c r="R83" s="11" t="s">
        <v>114</v>
      </c>
      <c r="S83" s="11" t="s">
        <v>205</v>
      </c>
      <c r="T83" s="11" t="s">
        <v>126</v>
      </c>
      <c r="U83" s="14" t="s">
        <v>375</v>
      </c>
      <c r="V83" s="14" t="s">
        <v>376</v>
      </c>
      <c r="W83" s="14" t="s">
        <v>377</v>
      </c>
      <c r="X83" s="11" t="s">
        <v>79</v>
      </c>
      <c r="Y83" s="11" t="s">
        <v>378</v>
      </c>
    </row>
    <row r="84" customFormat="false" ht="57.45" hidden="false" customHeight="false" outlineLevel="0" collapsed="false">
      <c r="A84" s="11" t="s">
        <v>379</v>
      </c>
      <c r="B84" s="11" t="s">
        <v>380</v>
      </c>
      <c r="C84" s="11" t="s">
        <v>86</v>
      </c>
      <c r="D84" s="11" t="s">
        <v>26</v>
      </c>
      <c r="E84" s="11" t="s">
        <v>113</v>
      </c>
      <c r="F84" s="11" t="n">
        <v>150</v>
      </c>
      <c r="G84" s="11"/>
      <c r="H84" s="12" t="n">
        <v>76704.7</v>
      </c>
      <c r="I84" s="12" t="n">
        <v>77826.3</v>
      </c>
      <c r="J84" s="11" t="s">
        <v>156</v>
      </c>
      <c r="K84" s="13" t="n">
        <v>219.32</v>
      </c>
      <c r="L84" s="13"/>
      <c r="M84" s="11"/>
      <c r="N84" s="11"/>
      <c r="O84" s="12"/>
      <c r="P84" s="11"/>
      <c r="Q84" s="12"/>
      <c r="R84" s="11" t="s">
        <v>73</v>
      </c>
      <c r="S84" s="11" t="s">
        <v>205</v>
      </c>
      <c r="T84" s="11" t="s">
        <v>126</v>
      </c>
      <c r="U84" s="14" t="s">
        <v>381</v>
      </c>
      <c r="V84" s="14" t="s">
        <v>382</v>
      </c>
      <c r="W84" s="14" t="s">
        <v>383</v>
      </c>
      <c r="X84" s="11" t="s">
        <v>79</v>
      </c>
      <c r="Y84" s="11" t="s">
        <v>384</v>
      </c>
    </row>
    <row r="85" customFormat="false" ht="46.25" hidden="false" customHeight="false" outlineLevel="0" collapsed="false">
      <c r="A85" s="11" t="s">
        <v>379</v>
      </c>
      <c r="B85" s="11" t="s">
        <v>385</v>
      </c>
      <c r="C85" s="11" t="s">
        <v>386</v>
      </c>
      <c r="D85" s="11" t="s">
        <v>29</v>
      </c>
      <c r="E85" s="11" t="s">
        <v>113</v>
      </c>
      <c r="F85" s="11" t="n">
        <v>50</v>
      </c>
      <c r="G85" s="11"/>
      <c r="H85" s="12" t="n">
        <v>1.0738</v>
      </c>
      <c r="I85" s="12" t="n">
        <v>1.1127</v>
      </c>
      <c r="J85" s="11" t="s">
        <v>135</v>
      </c>
      <c r="K85" s="13" t="n">
        <v>170.83</v>
      </c>
      <c r="L85" s="13"/>
      <c r="M85" s="11"/>
      <c r="N85" s="11"/>
      <c r="O85" s="12"/>
      <c r="P85" s="11"/>
      <c r="Q85" s="12"/>
      <c r="R85" s="11" t="s">
        <v>114</v>
      </c>
      <c r="S85" s="11" t="s">
        <v>125</v>
      </c>
      <c r="T85" s="11" t="s">
        <v>126</v>
      </c>
      <c r="U85" s="14" t="s">
        <v>387</v>
      </c>
      <c r="V85" s="14" t="s">
        <v>388</v>
      </c>
      <c r="W85" s="14" t="s">
        <v>389</v>
      </c>
      <c r="X85" s="11" t="s">
        <v>79</v>
      </c>
      <c r="Y85" s="11" t="s">
        <v>390</v>
      </c>
    </row>
    <row r="86" customFormat="false" ht="57.45" hidden="false" customHeight="false" outlineLevel="0" collapsed="false">
      <c r="A86" s="11" t="s">
        <v>379</v>
      </c>
      <c r="B86" s="11" t="s">
        <v>391</v>
      </c>
      <c r="C86" s="11" t="s">
        <v>386</v>
      </c>
      <c r="D86" s="11" t="s">
        <v>29</v>
      </c>
      <c r="E86" s="11" t="s">
        <v>113</v>
      </c>
      <c r="F86" s="11" t="n">
        <v>50</v>
      </c>
      <c r="G86" s="11"/>
      <c r="H86" s="12" t="n">
        <v>1.0738</v>
      </c>
      <c r="I86" s="12" t="n">
        <v>1.14</v>
      </c>
      <c r="J86" s="11" t="s">
        <v>156</v>
      </c>
      <c r="K86" s="13" t="n">
        <v>308.25</v>
      </c>
      <c r="L86" s="13"/>
      <c r="M86" s="11"/>
      <c r="N86" s="11"/>
      <c r="O86" s="12"/>
      <c r="P86" s="11"/>
      <c r="Q86" s="12"/>
      <c r="R86" s="11" t="s">
        <v>73</v>
      </c>
      <c r="S86" s="11" t="s">
        <v>125</v>
      </c>
      <c r="T86" s="11" t="s">
        <v>126</v>
      </c>
      <c r="U86" s="14" t="s">
        <v>392</v>
      </c>
      <c r="V86" s="14" t="s">
        <v>393</v>
      </c>
      <c r="W86" s="14" t="s">
        <v>394</v>
      </c>
      <c r="X86" s="11" t="s">
        <v>79</v>
      </c>
      <c r="Y86" s="11" t="s">
        <v>395</v>
      </c>
    </row>
    <row r="87" customFormat="false" ht="46.25" hidden="false" customHeight="false" outlineLevel="0" collapsed="false">
      <c r="A87" s="11" t="s">
        <v>379</v>
      </c>
      <c r="B87" s="11" t="s">
        <v>396</v>
      </c>
      <c r="C87" s="11" t="s">
        <v>386</v>
      </c>
      <c r="D87" s="11" t="s">
        <v>29</v>
      </c>
      <c r="E87" s="11" t="s">
        <v>113</v>
      </c>
      <c r="F87" s="11" t="n">
        <v>100</v>
      </c>
      <c r="G87" s="11"/>
      <c r="H87" s="12" t="n">
        <v>1.0481</v>
      </c>
      <c r="I87" s="12" t="n">
        <v>1.1401</v>
      </c>
      <c r="J87" s="11" t="s">
        <v>156</v>
      </c>
      <c r="K87" s="13" t="n">
        <v>877.77</v>
      </c>
      <c r="L87" s="13"/>
      <c r="M87" s="11"/>
      <c r="N87" s="11"/>
      <c r="O87" s="12"/>
      <c r="P87" s="11"/>
      <c r="Q87" s="12"/>
      <c r="R87" s="11" t="s">
        <v>73</v>
      </c>
      <c r="S87" s="11" t="s">
        <v>205</v>
      </c>
      <c r="T87" s="11" t="s">
        <v>126</v>
      </c>
      <c r="U87" s="14" t="s">
        <v>397</v>
      </c>
      <c r="V87" s="14" t="s">
        <v>398</v>
      </c>
      <c r="W87" s="14" t="s">
        <v>399</v>
      </c>
      <c r="X87" s="11" t="s">
        <v>79</v>
      </c>
      <c r="Y87" s="11" t="s">
        <v>400</v>
      </c>
    </row>
    <row r="88" customFormat="false" ht="57.45" hidden="false" customHeight="false" outlineLevel="0" collapsed="false">
      <c r="A88" s="11" t="s">
        <v>379</v>
      </c>
      <c r="B88" s="11" t="s">
        <v>401</v>
      </c>
      <c r="C88" s="11" t="s">
        <v>86</v>
      </c>
      <c r="D88" s="11" t="s">
        <v>26</v>
      </c>
      <c r="E88" s="11" t="s">
        <v>113</v>
      </c>
      <c r="F88" s="11" t="n">
        <v>150</v>
      </c>
      <c r="G88" s="11"/>
      <c r="H88" s="12" t="n">
        <v>77065.1</v>
      </c>
      <c r="I88" s="12" t="n">
        <v>77854.8</v>
      </c>
      <c r="J88" s="11" t="s">
        <v>135</v>
      </c>
      <c r="K88" s="13" t="n">
        <v>153.7</v>
      </c>
      <c r="L88" s="13"/>
      <c r="M88" s="11"/>
      <c r="N88" s="11"/>
      <c r="O88" s="12"/>
      <c r="P88" s="11"/>
      <c r="Q88" s="12"/>
      <c r="R88" s="11" t="s">
        <v>114</v>
      </c>
      <c r="S88" s="11" t="s">
        <v>205</v>
      </c>
      <c r="T88" s="11" t="s">
        <v>126</v>
      </c>
      <c r="U88" s="14" t="s">
        <v>402</v>
      </c>
      <c r="V88" s="14" t="s">
        <v>403</v>
      </c>
      <c r="W88" s="14" t="s">
        <v>404</v>
      </c>
      <c r="X88" s="11" t="s">
        <v>79</v>
      </c>
      <c r="Y88" s="11" t="s">
        <v>405</v>
      </c>
    </row>
    <row r="89" customFormat="false" ht="46.25" hidden="false" customHeight="false" outlineLevel="0" collapsed="false">
      <c r="A89" s="11" t="s">
        <v>406</v>
      </c>
      <c r="B89" s="11" t="s">
        <v>407</v>
      </c>
      <c r="C89" s="11" t="s">
        <v>408</v>
      </c>
      <c r="D89" s="11" t="s">
        <v>409</v>
      </c>
      <c r="E89" s="11" t="s">
        <v>113</v>
      </c>
      <c r="F89" s="11" t="n">
        <v>75</v>
      </c>
      <c r="G89" s="11"/>
      <c r="H89" s="12" t="n">
        <v>0.006158</v>
      </c>
      <c r="I89" s="12" t="n">
        <v>0.006323</v>
      </c>
      <c r="J89" s="11" t="s">
        <v>156</v>
      </c>
      <c r="K89" s="13" t="n">
        <v>199.88</v>
      </c>
      <c r="L89" s="13"/>
      <c r="M89" s="11"/>
      <c r="N89" s="11"/>
      <c r="O89" s="12"/>
      <c r="P89" s="11"/>
      <c r="Q89" s="12"/>
      <c r="R89" s="11" t="s">
        <v>73</v>
      </c>
      <c r="S89" s="11" t="s">
        <v>205</v>
      </c>
      <c r="T89" s="11" t="s">
        <v>126</v>
      </c>
      <c r="U89" s="14" t="s">
        <v>410</v>
      </c>
      <c r="V89" s="14" t="s">
        <v>411</v>
      </c>
      <c r="W89" s="14" t="s">
        <v>412</v>
      </c>
      <c r="X89" s="11" t="s">
        <v>79</v>
      </c>
      <c r="Y89" s="11" t="s">
        <v>413</v>
      </c>
    </row>
    <row r="90" customFormat="false" ht="68.65" hidden="false" customHeight="false" outlineLevel="0" collapsed="false">
      <c r="A90" s="11" t="s">
        <v>406</v>
      </c>
      <c r="B90" s="11" t="s">
        <v>414</v>
      </c>
      <c r="C90" s="11" t="s">
        <v>415</v>
      </c>
      <c r="D90" s="11" t="s">
        <v>33</v>
      </c>
      <c r="E90" s="11" t="s">
        <v>113</v>
      </c>
      <c r="F90" s="11" t="n">
        <v>100</v>
      </c>
      <c r="G90" s="11"/>
      <c r="H90" s="12" t="n">
        <v>0.284</v>
      </c>
      <c r="I90" s="12" t="n">
        <v>0.2908</v>
      </c>
      <c r="J90" s="11" t="s">
        <v>135</v>
      </c>
      <c r="K90" s="13" t="n">
        <v>234.74</v>
      </c>
      <c r="L90" s="13"/>
      <c r="M90" s="11"/>
      <c r="N90" s="11"/>
      <c r="O90" s="12"/>
      <c r="P90" s="11"/>
      <c r="Q90" s="12"/>
      <c r="R90" s="11" t="s">
        <v>114</v>
      </c>
      <c r="S90" s="11" t="s">
        <v>416</v>
      </c>
      <c r="T90" s="11" t="s">
        <v>126</v>
      </c>
      <c r="U90" s="14" t="s">
        <v>417</v>
      </c>
      <c r="V90" s="14" t="s">
        <v>418</v>
      </c>
      <c r="W90" s="14" t="s">
        <v>419</v>
      </c>
      <c r="X90" s="11" t="s">
        <v>79</v>
      </c>
      <c r="Y90" s="11" t="s">
        <v>420</v>
      </c>
    </row>
    <row r="91" customFormat="false" ht="68.65" hidden="false" customHeight="false" outlineLevel="0" collapsed="false">
      <c r="A91" s="11" t="s">
        <v>406</v>
      </c>
      <c r="B91" s="11" t="s">
        <v>421</v>
      </c>
      <c r="C91" s="11" t="s">
        <v>415</v>
      </c>
      <c r="D91" s="11" t="s">
        <v>33</v>
      </c>
      <c r="E91" s="11" t="s">
        <v>113</v>
      </c>
      <c r="F91" s="11" t="n">
        <v>100</v>
      </c>
      <c r="G91" s="11"/>
      <c r="H91" s="12"/>
      <c r="I91" s="12"/>
      <c r="J91" s="11" t="s">
        <v>156</v>
      </c>
      <c r="K91" s="13" t="n">
        <v>542.25</v>
      </c>
      <c r="L91" s="13"/>
      <c r="M91" s="11"/>
      <c r="N91" s="11"/>
      <c r="O91" s="12"/>
      <c r="P91" s="11"/>
      <c r="Q91" s="12"/>
      <c r="R91" s="11" t="s">
        <v>73</v>
      </c>
      <c r="S91" s="11" t="s">
        <v>416</v>
      </c>
      <c r="T91" s="11" t="s">
        <v>126</v>
      </c>
      <c r="U91" s="14" t="s">
        <v>422</v>
      </c>
      <c r="V91" s="14" t="s">
        <v>423</v>
      </c>
      <c r="W91" s="14" t="s">
        <v>424</v>
      </c>
      <c r="X91" s="11" t="s">
        <v>79</v>
      </c>
      <c r="Y91" s="11" t="s">
        <v>425</v>
      </c>
    </row>
    <row r="92" customFormat="false" ht="57.45" hidden="false" customHeight="false" outlineLevel="0" collapsed="false">
      <c r="A92" s="11" t="s">
        <v>426</v>
      </c>
      <c r="B92" s="11" t="s">
        <v>427</v>
      </c>
      <c r="C92" s="11" t="s">
        <v>428</v>
      </c>
      <c r="D92" s="11" t="s">
        <v>40</v>
      </c>
      <c r="E92" s="11" t="s">
        <v>194</v>
      </c>
      <c r="F92" s="11" t="n">
        <v>100</v>
      </c>
      <c r="G92" s="11"/>
      <c r="H92" s="12" t="n">
        <v>1.2875</v>
      </c>
      <c r="I92" s="12" t="n">
        <v>1.169</v>
      </c>
      <c r="J92" s="11" t="s">
        <v>156</v>
      </c>
      <c r="K92" s="13" t="n">
        <v>921.08</v>
      </c>
      <c r="L92" s="13"/>
      <c r="M92" s="11"/>
      <c r="N92" s="11"/>
      <c r="O92" s="12"/>
      <c r="P92" s="11"/>
      <c r="Q92" s="12"/>
      <c r="R92" s="11" t="s">
        <v>73</v>
      </c>
      <c r="S92" s="11" t="s">
        <v>416</v>
      </c>
      <c r="T92" s="11" t="s">
        <v>126</v>
      </c>
      <c r="U92" s="14" t="s">
        <v>429</v>
      </c>
      <c r="V92" s="14" t="s">
        <v>430</v>
      </c>
      <c r="W92" s="14" t="s">
        <v>431</v>
      </c>
      <c r="X92" s="11" t="s">
        <v>79</v>
      </c>
      <c r="Y92" s="11" t="s">
        <v>432</v>
      </c>
    </row>
    <row r="93" customFormat="false" ht="68.65" hidden="false" customHeight="false" outlineLevel="0" collapsed="false">
      <c r="A93" s="11" t="s">
        <v>426</v>
      </c>
      <c r="B93" s="11" t="s">
        <v>433</v>
      </c>
      <c r="C93" s="11" t="s">
        <v>434</v>
      </c>
      <c r="D93" s="11" t="s">
        <v>435</v>
      </c>
      <c r="E93" s="11" t="s">
        <v>194</v>
      </c>
      <c r="F93" s="11" t="n">
        <v>50</v>
      </c>
      <c r="G93" s="11"/>
      <c r="H93" s="12" t="n">
        <v>0.004</v>
      </c>
      <c r="I93" s="12" t="n">
        <v>0.00387</v>
      </c>
      <c r="J93" s="11" t="s">
        <v>135</v>
      </c>
      <c r="K93" s="13" t="n">
        <v>160.87</v>
      </c>
      <c r="L93" s="13"/>
      <c r="M93" s="11"/>
      <c r="N93" s="11"/>
      <c r="O93" s="12"/>
      <c r="P93" s="11"/>
      <c r="Q93" s="12"/>
      <c r="R93" s="11" t="s">
        <v>114</v>
      </c>
      <c r="S93" s="11" t="s">
        <v>416</v>
      </c>
      <c r="T93" s="11" t="s">
        <v>126</v>
      </c>
      <c r="U93" s="14" t="s">
        <v>436</v>
      </c>
      <c r="V93" s="14" t="s">
        <v>437</v>
      </c>
      <c r="W93" s="14" t="s">
        <v>438</v>
      </c>
      <c r="X93" s="11" t="s">
        <v>79</v>
      </c>
      <c r="Y93" s="11" t="s">
        <v>439</v>
      </c>
    </row>
    <row r="94" customFormat="false" ht="23.85" hidden="false" customHeight="false" outlineLevel="0" collapsed="false">
      <c r="A94" s="11" t="s">
        <v>426</v>
      </c>
      <c r="B94" s="11" t="s">
        <v>440</v>
      </c>
      <c r="C94" s="11" t="s">
        <v>92</v>
      </c>
      <c r="D94" s="11" t="s">
        <v>30</v>
      </c>
      <c r="E94" s="11" t="s">
        <v>113</v>
      </c>
      <c r="F94" s="11" t="n">
        <v>100</v>
      </c>
      <c r="G94" s="11"/>
      <c r="H94" s="12" t="n">
        <v>54.991</v>
      </c>
      <c r="I94" s="12" t="n">
        <v>55.507</v>
      </c>
      <c r="J94" s="11" t="s">
        <v>135</v>
      </c>
      <c r="K94" s="13" t="n">
        <v>93.83</v>
      </c>
      <c r="L94" s="13"/>
      <c r="M94" s="11"/>
      <c r="N94" s="11"/>
      <c r="O94" s="12"/>
      <c r="P94" s="11"/>
      <c r="Q94" s="12"/>
      <c r="R94" s="11" t="s">
        <v>114</v>
      </c>
      <c r="S94" s="11" t="s">
        <v>416</v>
      </c>
      <c r="T94" s="11" t="s">
        <v>126</v>
      </c>
      <c r="U94" s="14" t="s">
        <v>441</v>
      </c>
      <c r="V94" s="14" t="s">
        <v>442</v>
      </c>
      <c r="W94" s="14" t="s">
        <v>443</v>
      </c>
      <c r="X94" s="11" t="s">
        <v>79</v>
      </c>
      <c r="Y94" s="11" t="s">
        <v>444</v>
      </c>
    </row>
    <row r="95" customFormat="false" ht="46.25" hidden="false" customHeight="false" outlineLevel="0" collapsed="false">
      <c r="A95" s="11" t="s">
        <v>426</v>
      </c>
      <c r="B95" s="11" t="s">
        <v>445</v>
      </c>
      <c r="C95" s="11" t="s">
        <v>92</v>
      </c>
      <c r="D95" s="11" t="s">
        <v>30</v>
      </c>
      <c r="E95" s="11" t="s">
        <v>113</v>
      </c>
      <c r="F95" s="11" t="n">
        <v>100</v>
      </c>
      <c r="G95" s="11"/>
      <c r="H95" s="12"/>
      <c r="I95" s="12"/>
      <c r="J95" s="11" t="s">
        <v>156</v>
      </c>
      <c r="K95" s="13" t="n">
        <v>204.57</v>
      </c>
      <c r="L95" s="13"/>
      <c r="M95" s="11"/>
      <c r="N95" s="11"/>
      <c r="O95" s="12"/>
      <c r="P95" s="11"/>
      <c r="Q95" s="12"/>
      <c r="R95" s="11" t="s">
        <v>73</v>
      </c>
      <c r="S95" s="11" t="s">
        <v>416</v>
      </c>
      <c r="T95" s="11" t="s">
        <v>126</v>
      </c>
      <c r="U95" s="14" t="s">
        <v>446</v>
      </c>
      <c r="V95" s="14" t="s">
        <v>447</v>
      </c>
      <c r="W95" s="14" t="s">
        <v>448</v>
      </c>
      <c r="X95" s="11" t="s">
        <v>79</v>
      </c>
      <c r="Y95" s="11" t="s">
        <v>449</v>
      </c>
    </row>
    <row r="96" customFormat="false" ht="46.25" hidden="false" customHeight="false" outlineLevel="0" collapsed="false">
      <c r="A96" s="11" t="s">
        <v>426</v>
      </c>
      <c r="B96" s="11" t="s">
        <v>450</v>
      </c>
      <c r="C96" s="11" t="s">
        <v>386</v>
      </c>
      <c r="D96" s="11" t="s">
        <v>29</v>
      </c>
      <c r="E96" s="11" t="s">
        <v>113</v>
      </c>
      <c r="F96" s="11" t="n">
        <v>100</v>
      </c>
      <c r="G96" s="11"/>
      <c r="H96" s="12" t="n">
        <v>1.0014</v>
      </c>
      <c r="I96" s="12" t="n">
        <v>1.0165</v>
      </c>
      <c r="J96" s="11" t="s">
        <v>135</v>
      </c>
      <c r="K96" s="13" t="n">
        <v>150.91</v>
      </c>
      <c r="L96" s="13"/>
      <c r="M96" s="11"/>
      <c r="N96" s="11"/>
      <c r="O96" s="12"/>
      <c r="P96" s="11"/>
      <c r="Q96" s="12"/>
      <c r="R96" s="11" t="s">
        <v>114</v>
      </c>
      <c r="S96" s="11" t="s">
        <v>205</v>
      </c>
      <c r="T96" s="11" t="s">
        <v>126</v>
      </c>
      <c r="U96" s="14" t="s">
        <v>451</v>
      </c>
      <c r="V96" s="14" t="s">
        <v>452</v>
      </c>
      <c r="W96" s="14" t="s">
        <v>453</v>
      </c>
      <c r="X96" s="11" t="s">
        <v>79</v>
      </c>
      <c r="Y96" s="11" t="s">
        <v>454</v>
      </c>
    </row>
    <row r="97" customFormat="false" ht="68.65" hidden="false" customHeight="false" outlineLevel="0" collapsed="false">
      <c r="A97" s="11" t="s">
        <v>426</v>
      </c>
      <c r="B97" s="11" t="s">
        <v>455</v>
      </c>
      <c r="C97" s="11" t="s">
        <v>386</v>
      </c>
      <c r="D97" s="11" t="s">
        <v>29</v>
      </c>
      <c r="E97" s="11" t="s">
        <v>113</v>
      </c>
      <c r="F97" s="11"/>
      <c r="G97" s="11"/>
      <c r="H97" s="12" t="n">
        <v>1</v>
      </c>
      <c r="I97" s="12"/>
      <c r="J97" s="11"/>
      <c r="K97" s="13"/>
      <c r="L97" s="13"/>
      <c r="M97" s="11"/>
      <c r="N97" s="11"/>
      <c r="O97" s="12" t="n">
        <v>0.95</v>
      </c>
      <c r="P97" s="11" t="s">
        <v>456</v>
      </c>
      <c r="Q97" s="12"/>
      <c r="R97" s="11" t="s">
        <v>114</v>
      </c>
      <c r="S97" s="11" t="s">
        <v>74</v>
      </c>
      <c r="T97" s="11" t="s">
        <v>75</v>
      </c>
      <c r="U97" s="14" t="s">
        <v>457</v>
      </c>
      <c r="V97" s="14" t="s">
        <v>458</v>
      </c>
      <c r="W97" s="14" t="s">
        <v>459</v>
      </c>
      <c r="X97" s="11" t="s">
        <v>79</v>
      </c>
      <c r="Y97" s="11" t="s">
        <v>460</v>
      </c>
    </row>
    <row r="98" customFormat="false" ht="68.65" hidden="false" customHeight="false" outlineLevel="0" collapsed="false">
      <c r="A98" s="11" t="s">
        <v>426</v>
      </c>
      <c r="B98" s="11" t="s">
        <v>455</v>
      </c>
      <c r="C98" s="11" t="s">
        <v>428</v>
      </c>
      <c r="D98" s="11" t="s">
        <v>40</v>
      </c>
      <c r="E98" s="11" t="s">
        <v>194</v>
      </c>
      <c r="F98" s="11"/>
      <c r="G98" s="11"/>
      <c r="H98" s="12"/>
      <c r="I98" s="12"/>
      <c r="J98" s="11"/>
      <c r="K98" s="13"/>
      <c r="L98" s="13"/>
      <c r="M98" s="11"/>
      <c r="N98" s="11"/>
      <c r="O98" s="12"/>
      <c r="P98" s="11"/>
      <c r="Q98" s="12"/>
      <c r="R98" s="11" t="s">
        <v>73</v>
      </c>
      <c r="S98" s="11" t="s">
        <v>74</v>
      </c>
      <c r="T98" s="11" t="s">
        <v>75</v>
      </c>
      <c r="U98" s="14" t="s">
        <v>461</v>
      </c>
      <c r="V98" s="14" t="s">
        <v>458</v>
      </c>
      <c r="W98" s="14" t="s">
        <v>459</v>
      </c>
      <c r="X98" s="11" t="s">
        <v>79</v>
      </c>
      <c r="Y98" s="11" t="s">
        <v>460</v>
      </c>
    </row>
    <row r="99" customFormat="false" ht="91" hidden="false" customHeight="false" outlineLevel="0" collapsed="false">
      <c r="A99" s="11" t="s">
        <v>426</v>
      </c>
      <c r="B99" s="11" t="s">
        <v>462</v>
      </c>
      <c r="C99" s="11" t="s">
        <v>386</v>
      </c>
      <c r="D99" s="11" t="s">
        <v>29</v>
      </c>
      <c r="E99" s="11"/>
      <c r="F99" s="11" t="n">
        <v>100</v>
      </c>
      <c r="G99" s="11" t="s">
        <v>463</v>
      </c>
      <c r="H99" s="12"/>
      <c r="I99" s="12"/>
      <c r="J99" s="11"/>
      <c r="K99" s="13"/>
      <c r="L99" s="13"/>
      <c r="M99" s="11"/>
      <c r="N99" s="11"/>
      <c r="O99" s="12"/>
      <c r="P99" s="11"/>
      <c r="Q99" s="12"/>
      <c r="R99" s="11" t="s">
        <v>115</v>
      </c>
      <c r="S99" s="11" t="s">
        <v>205</v>
      </c>
      <c r="T99" s="11" t="s">
        <v>464</v>
      </c>
      <c r="U99" s="14" t="s">
        <v>465</v>
      </c>
      <c r="V99" s="14" t="s">
        <v>466</v>
      </c>
      <c r="W99" s="14" t="s">
        <v>467</v>
      </c>
      <c r="X99" s="11" t="s">
        <v>79</v>
      </c>
      <c r="Y99" s="11" t="s">
        <v>468</v>
      </c>
    </row>
    <row r="100" customFormat="false" ht="46.25" hidden="false" customHeight="false" outlineLevel="0" collapsed="false">
      <c r="A100" s="11" t="s">
        <v>426</v>
      </c>
      <c r="B100" s="11" t="s">
        <v>469</v>
      </c>
      <c r="C100" s="11" t="s">
        <v>86</v>
      </c>
      <c r="D100" s="11" t="s">
        <v>26</v>
      </c>
      <c r="E100" s="11" t="s">
        <v>113</v>
      </c>
      <c r="F100" s="11" t="n">
        <v>20</v>
      </c>
      <c r="G100" s="11" t="s">
        <v>463</v>
      </c>
      <c r="H100" s="12" t="n">
        <v>75166.5</v>
      </c>
      <c r="I100" s="12" t="n">
        <v>75159.2</v>
      </c>
      <c r="J100" s="11" t="s">
        <v>135</v>
      </c>
      <c r="K100" s="13" t="n">
        <v>-0.19</v>
      </c>
      <c r="L100" s="13" t="n">
        <v>-0.0657</v>
      </c>
      <c r="M100" s="11" t="s">
        <v>470</v>
      </c>
      <c r="N100" s="11" t="n">
        <v>34.2309</v>
      </c>
      <c r="O100" s="12" t="n">
        <v>72200</v>
      </c>
      <c r="P100" s="11"/>
      <c r="Q100" s="12" t="n">
        <v>65494.8</v>
      </c>
      <c r="R100" s="11" t="s">
        <v>114</v>
      </c>
      <c r="S100" s="11" t="s">
        <v>205</v>
      </c>
      <c r="T100" s="11" t="s">
        <v>116</v>
      </c>
      <c r="U100" s="14" t="s">
        <v>471</v>
      </c>
      <c r="V100" s="14" t="s">
        <v>472</v>
      </c>
      <c r="W100" s="14" t="s">
        <v>473</v>
      </c>
      <c r="X100" s="11" t="s">
        <v>79</v>
      </c>
      <c r="Y100" s="11" t="s">
        <v>474</v>
      </c>
    </row>
    <row r="101" customFormat="false" ht="68.65" hidden="false" customHeight="false" outlineLevel="0" collapsed="false">
      <c r="A101" s="11" t="s">
        <v>426</v>
      </c>
      <c r="B101" s="11" t="s">
        <v>475</v>
      </c>
      <c r="C101" s="11" t="s">
        <v>386</v>
      </c>
      <c r="D101" s="11" t="s">
        <v>29</v>
      </c>
      <c r="E101" s="11" t="s">
        <v>113</v>
      </c>
      <c r="F101" s="11" t="n">
        <v>100</v>
      </c>
      <c r="G101" s="11"/>
      <c r="H101" s="12" t="n">
        <v>1.0014</v>
      </c>
      <c r="I101" s="12" t="n">
        <v>1.0539</v>
      </c>
      <c r="J101" s="11" t="s">
        <v>135</v>
      </c>
      <c r="K101" s="13" t="n">
        <v>524.3</v>
      </c>
      <c r="L101" s="13"/>
      <c r="M101" s="11"/>
      <c r="N101" s="11"/>
      <c r="O101" s="12"/>
      <c r="P101" s="11"/>
      <c r="Q101" s="12"/>
      <c r="R101" s="11" t="s">
        <v>114</v>
      </c>
      <c r="S101" s="11" t="s">
        <v>205</v>
      </c>
      <c r="T101" s="11" t="s">
        <v>126</v>
      </c>
      <c r="U101" s="14" t="s">
        <v>476</v>
      </c>
      <c r="V101" s="14" t="s">
        <v>477</v>
      </c>
      <c r="W101" s="14" t="s">
        <v>478</v>
      </c>
      <c r="X101" s="11" t="s">
        <v>79</v>
      </c>
      <c r="Y101" s="11" t="s">
        <v>479</v>
      </c>
    </row>
    <row r="102" customFormat="false" ht="35.05" hidden="false" customHeight="false" outlineLevel="0" collapsed="false">
      <c r="A102" s="11" t="s">
        <v>426</v>
      </c>
      <c r="B102" s="11" t="s">
        <v>480</v>
      </c>
      <c r="C102" s="11" t="s">
        <v>481</v>
      </c>
      <c r="D102" s="11" t="s">
        <v>35</v>
      </c>
      <c r="E102" s="11" t="s">
        <v>113</v>
      </c>
      <c r="F102" s="11" t="n">
        <v>3</v>
      </c>
      <c r="G102" s="11"/>
      <c r="H102" s="12" t="n">
        <v>0.955</v>
      </c>
      <c r="I102" s="12" t="n">
        <v>1</v>
      </c>
      <c r="J102" s="11" t="s">
        <v>156</v>
      </c>
      <c r="K102" s="13" t="n">
        <v>14.13</v>
      </c>
      <c r="L102" s="13"/>
      <c r="M102" s="11"/>
      <c r="N102" s="11"/>
      <c r="O102" s="12"/>
      <c r="P102" s="11"/>
      <c r="Q102" s="12"/>
      <c r="R102" s="11" t="s">
        <v>73</v>
      </c>
      <c r="S102" s="11" t="s">
        <v>205</v>
      </c>
      <c r="T102" s="11" t="s">
        <v>126</v>
      </c>
      <c r="U102" s="14" t="s">
        <v>482</v>
      </c>
      <c r="V102" s="14" t="s">
        <v>483</v>
      </c>
      <c r="W102" s="14" t="s">
        <v>484</v>
      </c>
      <c r="X102" s="11" t="s">
        <v>79</v>
      </c>
      <c r="Y102" s="11" t="s">
        <v>485</v>
      </c>
    </row>
    <row r="103" customFormat="false" ht="35.05" hidden="false" customHeight="false" outlineLevel="0" collapsed="false">
      <c r="A103" s="11" t="s">
        <v>426</v>
      </c>
      <c r="B103" s="11" t="s">
        <v>486</v>
      </c>
      <c r="C103" s="11" t="s">
        <v>86</v>
      </c>
      <c r="D103" s="11" t="s">
        <v>26</v>
      </c>
      <c r="E103" s="11" t="s">
        <v>113</v>
      </c>
      <c r="F103" s="11" t="n">
        <v>150</v>
      </c>
      <c r="G103" s="11"/>
      <c r="H103" s="12" t="n">
        <v>75197.2</v>
      </c>
      <c r="I103" s="12" t="n">
        <v>76903.8</v>
      </c>
      <c r="J103" s="11" t="s">
        <v>135</v>
      </c>
      <c r="K103" s="13" t="n">
        <v>340.42</v>
      </c>
      <c r="L103" s="13"/>
      <c r="M103" s="11"/>
      <c r="N103" s="11"/>
      <c r="O103" s="12"/>
      <c r="P103" s="11"/>
      <c r="Q103" s="12"/>
      <c r="R103" s="11" t="s">
        <v>114</v>
      </c>
      <c r="S103" s="11" t="s">
        <v>205</v>
      </c>
      <c r="T103" s="11" t="s">
        <v>126</v>
      </c>
      <c r="U103" s="14" t="s">
        <v>487</v>
      </c>
      <c r="V103" s="14" t="s">
        <v>488</v>
      </c>
      <c r="W103" s="14" t="s">
        <v>489</v>
      </c>
      <c r="X103" s="11" t="s">
        <v>79</v>
      </c>
      <c r="Y103" s="11" t="s">
        <v>490</v>
      </c>
    </row>
    <row r="104" customFormat="false" ht="57.45" hidden="false" customHeight="false" outlineLevel="0" collapsed="false">
      <c r="A104" s="11" t="s">
        <v>426</v>
      </c>
      <c r="B104" s="11" t="s">
        <v>491</v>
      </c>
      <c r="C104" s="11" t="s">
        <v>386</v>
      </c>
      <c r="D104" s="11" t="s">
        <v>29</v>
      </c>
      <c r="E104" s="11" t="s">
        <v>113</v>
      </c>
      <c r="F104" s="11" t="n">
        <v>100</v>
      </c>
      <c r="G104" s="11"/>
      <c r="H104" s="12" t="n">
        <v>1.0014</v>
      </c>
      <c r="I104" s="12" t="n">
        <v>1.0803</v>
      </c>
      <c r="J104" s="11" t="s">
        <v>135</v>
      </c>
      <c r="K104" s="13" t="n">
        <v>788.77</v>
      </c>
      <c r="L104" s="13"/>
      <c r="M104" s="11"/>
      <c r="N104" s="11"/>
      <c r="O104" s="12"/>
      <c r="P104" s="11"/>
      <c r="Q104" s="12"/>
      <c r="R104" s="11" t="s">
        <v>114</v>
      </c>
      <c r="S104" s="11" t="s">
        <v>205</v>
      </c>
      <c r="T104" s="11" t="s">
        <v>126</v>
      </c>
      <c r="U104" s="14" t="s">
        <v>492</v>
      </c>
      <c r="V104" s="14" t="s">
        <v>493</v>
      </c>
      <c r="W104" s="14" t="s">
        <v>494</v>
      </c>
      <c r="X104" s="11" t="s">
        <v>79</v>
      </c>
      <c r="Y104" s="11" t="s">
        <v>495</v>
      </c>
    </row>
    <row r="105" customFormat="false" ht="68.65" hidden="false" customHeight="false" outlineLevel="0" collapsed="false">
      <c r="A105" s="11" t="s">
        <v>426</v>
      </c>
      <c r="B105" s="11" t="s">
        <v>496</v>
      </c>
      <c r="C105" s="11" t="s">
        <v>86</v>
      </c>
      <c r="D105" s="11" t="s">
        <v>26</v>
      </c>
      <c r="E105" s="11" t="s">
        <v>113</v>
      </c>
      <c r="F105" s="11" t="n">
        <v>200</v>
      </c>
      <c r="G105" s="11" t="s">
        <v>463</v>
      </c>
      <c r="H105" s="12" t="n">
        <v>75166.5</v>
      </c>
      <c r="I105" s="12" t="n">
        <v>77072.3</v>
      </c>
      <c r="J105" s="11" t="s">
        <v>135</v>
      </c>
      <c r="K105" s="13" t="n">
        <v>507.03</v>
      </c>
      <c r="L105" s="13" t="n">
        <v>17.1504</v>
      </c>
      <c r="M105" s="11" t="s">
        <v>470</v>
      </c>
      <c r="N105" s="11" t="n">
        <v>3.7884</v>
      </c>
      <c r="O105" s="12" t="n">
        <v>72220</v>
      </c>
      <c r="P105" s="11"/>
      <c r="Q105" s="12" t="n">
        <v>65500.5</v>
      </c>
      <c r="R105" s="11" t="s">
        <v>114</v>
      </c>
      <c r="S105" s="11" t="s">
        <v>205</v>
      </c>
      <c r="T105" s="11" t="s">
        <v>116</v>
      </c>
      <c r="U105" s="14" t="s">
        <v>497</v>
      </c>
      <c r="V105" s="14" t="s">
        <v>498</v>
      </c>
      <c r="W105" s="14" t="s">
        <v>499</v>
      </c>
      <c r="X105" s="11" t="s">
        <v>79</v>
      </c>
      <c r="Y105" s="11" t="s">
        <v>500</v>
      </c>
    </row>
    <row r="106" customFormat="false" ht="35.05" hidden="false" customHeight="false" outlineLevel="0" collapsed="false">
      <c r="A106" s="11" t="s">
        <v>501</v>
      </c>
      <c r="B106" s="11" t="s">
        <v>502</v>
      </c>
      <c r="C106" s="11" t="s">
        <v>86</v>
      </c>
      <c r="D106" s="11" t="s">
        <v>26</v>
      </c>
      <c r="E106" s="11" t="s">
        <v>113</v>
      </c>
      <c r="F106" s="11" t="n">
        <v>150</v>
      </c>
      <c r="G106" s="11"/>
      <c r="H106" s="12" t="n">
        <v>75197.2</v>
      </c>
      <c r="I106" s="12" t="n">
        <v>77348.4</v>
      </c>
      <c r="J106" s="11" t="s">
        <v>135</v>
      </c>
      <c r="K106" s="13" t="n">
        <v>429.13</v>
      </c>
      <c r="L106" s="13"/>
      <c r="M106" s="11"/>
      <c r="N106" s="11"/>
      <c r="O106" s="12"/>
      <c r="P106" s="11"/>
      <c r="Q106" s="12"/>
      <c r="R106" s="11" t="s">
        <v>114</v>
      </c>
      <c r="S106" s="11" t="s">
        <v>205</v>
      </c>
      <c r="T106" s="11" t="s">
        <v>126</v>
      </c>
      <c r="U106" s="14" t="s">
        <v>503</v>
      </c>
      <c r="V106" s="14" t="s">
        <v>504</v>
      </c>
      <c r="W106" s="14" t="s">
        <v>505</v>
      </c>
      <c r="X106" s="11" t="s">
        <v>79</v>
      </c>
      <c r="Y106" s="11" t="s">
        <v>506</v>
      </c>
    </row>
    <row r="107" customFormat="false" ht="68.65" hidden="false" customHeight="false" outlineLevel="0" collapsed="false">
      <c r="A107" s="11" t="s">
        <v>501</v>
      </c>
      <c r="B107" s="11" t="s">
        <v>507</v>
      </c>
      <c r="C107" s="11" t="s">
        <v>386</v>
      </c>
      <c r="D107" s="11" t="s">
        <v>29</v>
      </c>
      <c r="E107" s="11" t="s">
        <v>113</v>
      </c>
      <c r="F107" s="11" t="n">
        <v>250</v>
      </c>
      <c r="G107" s="11"/>
      <c r="H107" s="12" t="n">
        <v>1.0006</v>
      </c>
      <c r="I107" s="12" t="n">
        <v>1.0909</v>
      </c>
      <c r="J107" s="11" t="s">
        <v>135</v>
      </c>
      <c r="K107" s="13" t="n">
        <v>2148.71</v>
      </c>
      <c r="L107" s="13"/>
      <c r="M107" s="11"/>
      <c r="N107" s="11"/>
      <c r="O107" s="12"/>
      <c r="P107" s="11"/>
      <c r="Q107" s="12"/>
      <c r="R107" s="11" t="s">
        <v>114</v>
      </c>
      <c r="S107" s="11" t="s">
        <v>416</v>
      </c>
      <c r="T107" s="11" t="s">
        <v>126</v>
      </c>
      <c r="U107" s="14" t="s">
        <v>508</v>
      </c>
      <c r="V107" s="14" t="s">
        <v>509</v>
      </c>
      <c r="W107" s="14" t="s">
        <v>510</v>
      </c>
      <c r="X107" s="11" t="s">
        <v>120</v>
      </c>
      <c r="Y107" s="11" t="s">
        <v>511</v>
      </c>
    </row>
    <row r="108" customFormat="false" ht="35.05" hidden="false" customHeight="false" outlineLevel="0" collapsed="false">
      <c r="A108" s="11" t="s">
        <v>501</v>
      </c>
      <c r="B108" s="11" t="s">
        <v>512</v>
      </c>
      <c r="C108" s="11" t="s">
        <v>386</v>
      </c>
      <c r="D108" s="11" t="s">
        <v>29</v>
      </c>
      <c r="E108" s="11" t="s">
        <v>113</v>
      </c>
      <c r="F108" s="11" t="n">
        <v>100</v>
      </c>
      <c r="G108" s="11"/>
      <c r="H108" s="12" t="n">
        <v>1.0014</v>
      </c>
      <c r="I108" s="12" t="n">
        <v>1.089</v>
      </c>
      <c r="J108" s="11" t="s">
        <v>156</v>
      </c>
      <c r="K108" s="13" t="n">
        <v>874.77</v>
      </c>
      <c r="L108" s="13"/>
      <c r="M108" s="11"/>
      <c r="N108" s="11"/>
      <c r="O108" s="12"/>
      <c r="P108" s="11"/>
      <c r="Q108" s="12"/>
      <c r="R108" s="11" t="s">
        <v>73</v>
      </c>
      <c r="S108" s="11" t="s">
        <v>205</v>
      </c>
      <c r="T108" s="11" t="s">
        <v>126</v>
      </c>
      <c r="U108" s="14" t="s">
        <v>513</v>
      </c>
      <c r="V108" s="14"/>
      <c r="W108" s="14" t="s">
        <v>514</v>
      </c>
      <c r="X108" s="11" t="s">
        <v>79</v>
      </c>
      <c r="Y108" s="11" t="s">
        <v>515</v>
      </c>
    </row>
    <row r="109" customFormat="false" ht="57.45" hidden="false" customHeight="false" outlineLevel="0" collapsed="false">
      <c r="A109" s="11" t="s">
        <v>501</v>
      </c>
      <c r="B109" s="11" t="s">
        <v>516</v>
      </c>
      <c r="C109" s="11" t="s">
        <v>86</v>
      </c>
      <c r="D109" s="11" t="s">
        <v>26</v>
      </c>
      <c r="E109" s="11" t="s">
        <v>113</v>
      </c>
      <c r="F109" s="11" t="n">
        <v>150</v>
      </c>
      <c r="G109" s="11"/>
      <c r="H109" s="12" t="n">
        <v>75197.2</v>
      </c>
      <c r="I109" s="12" t="n">
        <v>77036.2</v>
      </c>
      <c r="J109" s="11" t="s">
        <v>135</v>
      </c>
      <c r="K109" s="13" t="n">
        <v>366.85</v>
      </c>
      <c r="L109" s="13"/>
      <c r="M109" s="11"/>
      <c r="N109" s="11"/>
      <c r="O109" s="12"/>
      <c r="P109" s="11"/>
      <c r="Q109" s="12"/>
      <c r="R109" s="11" t="s">
        <v>114</v>
      </c>
      <c r="S109" s="11" t="s">
        <v>205</v>
      </c>
      <c r="T109" s="11" t="s">
        <v>126</v>
      </c>
      <c r="U109" s="14" t="s">
        <v>517</v>
      </c>
      <c r="V109" s="14" t="s">
        <v>518</v>
      </c>
      <c r="W109" s="14" t="s">
        <v>519</v>
      </c>
      <c r="X109" s="11" t="s">
        <v>79</v>
      </c>
      <c r="Y109" s="11" t="s">
        <v>520</v>
      </c>
    </row>
    <row r="110" customFormat="false" ht="49.25" hidden="false" customHeight="false" outlineLevel="0" collapsed="false">
      <c r="A110" s="11" t="s">
        <v>501</v>
      </c>
      <c r="B110" s="11" t="s">
        <v>516</v>
      </c>
      <c r="C110" s="11" t="s">
        <v>428</v>
      </c>
      <c r="D110" s="11" t="s">
        <v>40</v>
      </c>
      <c r="E110" s="11" t="s">
        <v>194</v>
      </c>
      <c r="F110" s="11" t="n">
        <v>40</v>
      </c>
      <c r="G110" s="11"/>
      <c r="H110" s="12" t="n">
        <v>1.2694</v>
      </c>
      <c r="I110" s="12" t="n">
        <v>1.1482</v>
      </c>
      <c r="J110" s="11" t="s">
        <v>156</v>
      </c>
      <c r="K110" s="13" t="n">
        <v>382.08</v>
      </c>
      <c r="L110" s="13"/>
      <c r="M110" s="11"/>
      <c r="N110" s="11"/>
      <c r="O110" s="12"/>
      <c r="P110" s="11"/>
      <c r="Q110" s="12"/>
      <c r="R110" s="11" t="s">
        <v>73</v>
      </c>
      <c r="S110" s="11" t="s">
        <v>205</v>
      </c>
      <c r="T110" s="11" t="s">
        <v>126</v>
      </c>
      <c r="U110" s="14" t="s">
        <v>521</v>
      </c>
      <c r="V110" s="14" t="s">
        <v>518</v>
      </c>
      <c r="W110" s="14" t="s">
        <v>522</v>
      </c>
      <c r="X110" s="11" t="s">
        <v>79</v>
      </c>
      <c r="Y110" s="11" t="s">
        <v>520</v>
      </c>
    </row>
    <row r="111" customFormat="false" ht="49.25" hidden="false" customHeight="false" outlineLevel="0" collapsed="false">
      <c r="A111" s="11" t="s">
        <v>501</v>
      </c>
      <c r="B111" s="11" t="s">
        <v>516</v>
      </c>
      <c r="C111" s="11" t="s">
        <v>386</v>
      </c>
      <c r="D111" s="11" t="s">
        <v>29</v>
      </c>
      <c r="E111" s="11" t="s">
        <v>113</v>
      </c>
      <c r="F111" s="11" t="n">
        <v>100</v>
      </c>
      <c r="G111" s="11"/>
      <c r="H111" s="12" t="n">
        <v>1.0014</v>
      </c>
      <c r="I111" s="12" t="n">
        <v>1.089</v>
      </c>
      <c r="J111" s="11" t="s">
        <v>156</v>
      </c>
      <c r="K111" s="13" t="n">
        <v>874.77</v>
      </c>
      <c r="L111" s="13"/>
      <c r="M111" s="11"/>
      <c r="N111" s="11"/>
      <c r="O111" s="12"/>
      <c r="P111" s="11"/>
      <c r="Q111" s="12"/>
      <c r="R111" s="11" t="s">
        <v>73</v>
      </c>
      <c r="S111" s="11" t="s">
        <v>205</v>
      </c>
      <c r="T111" s="11" t="s">
        <v>126</v>
      </c>
      <c r="U111" s="14" t="s">
        <v>523</v>
      </c>
      <c r="V111" s="14" t="s">
        <v>518</v>
      </c>
      <c r="W111" s="14" t="s">
        <v>524</v>
      </c>
      <c r="X111" s="11" t="s">
        <v>79</v>
      </c>
      <c r="Y111" s="11" t="s">
        <v>520</v>
      </c>
    </row>
    <row r="112" customFormat="false" ht="49.25" hidden="false" customHeight="false" outlineLevel="0" collapsed="false">
      <c r="A112" s="11" t="s">
        <v>501</v>
      </c>
      <c r="B112" s="11" t="s">
        <v>516</v>
      </c>
      <c r="C112" s="11" t="s">
        <v>481</v>
      </c>
      <c r="D112" s="11" t="s">
        <v>35</v>
      </c>
      <c r="E112" s="11" t="s">
        <v>113</v>
      </c>
      <c r="F112" s="11" t="n">
        <v>3</v>
      </c>
      <c r="G112" s="11"/>
      <c r="H112" s="12" t="n">
        <v>0.955</v>
      </c>
      <c r="I112" s="12" t="n">
        <v>1</v>
      </c>
      <c r="J112" s="11" t="s">
        <v>156</v>
      </c>
      <c r="K112" s="13" t="n">
        <v>14.13</v>
      </c>
      <c r="L112" s="13"/>
      <c r="M112" s="11"/>
      <c r="N112" s="11"/>
      <c r="O112" s="12"/>
      <c r="P112" s="11"/>
      <c r="Q112" s="12"/>
      <c r="R112" s="11" t="s">
        <v>73</v>
      </c>
      <c r="S112" s="11" t="s">
        <v>205</v>
      </c>
      <c r="T112" s="11" t="s">
        <v>126</v>
      </c>
      <c r="U112" s="14" t="s">
        <v>525</v>
      </c>
      <c r="V112" s="14" t="s">
        <v>518</v>
      </c>
      <c r="W112" s="14" t="s">
        <v>526</v>
      </c>
      <c r="X112" s="11" t="s">
        <v>79</v>
      </c>
      <c r="Y112" s="11" t="s">
        <v>520</v>
      </c>
    </row>
    <row r="113" customFormat="false" ht="46.25" hidden="false" customHeight="false" outlineLevel="0" collapsed="false">
      <c r="A113" s="11" t="s">
        <v>501</v>
      </c>
      <c r="B113" s="11" t="s">
        <v>527</v>
      </c>
      <c r="C113" s="11" t="s">
        <v>92</v>
      </c>
      <c r="D113" s="11" t="s">
        <v>30</v>
      </c>
      <c r="E113" s="11" t="s">
        <v>113</v>
      </c>
      <c r="F113" s="11" t="n">
        <v>100</v>
      </c>
      <c r="G113" s="11"/>
      <c r="H113" s="12"/>
      <c r="I113" s="12"/>
      <c r="J113" s="11"/>
      <c r="K113" s="13" t="n">
        <v>204.57</v>
      </c>
      <c r="L113" s="13"/>
      <c r="M113" s="11"/>
      <c r="N113" s="11"/>
      <c r="O113" s="12"/>
      <c r="P113" s="11"/>
      <c r="Q113" s="12"/>
      <c r="R113" s="11" t="s">
        <v>73</v>
      </c>
      <c r="S113" s="11" t="s">
        <v>416</v>
      </c>
      <c r="T113" s="11" t="s">
        <v>126</v>
      </c>
      <c r="U113" s="14" t="s">
        <v>528</v>
      </c>
      <c r="V113" s="14" t="s">
        <v>529</v>
      </c>
      <c r="W113" s="14" t="s">
        <v>530</v>
      </c>
      <c r="X113" s="11" t="s">
        <v>120</v>
      </c>
      <c r="Y113" s="11" t="s">
        <v>531</v>
      </c>
    </row>
    <row r="114" customFormat="false" ht="57.45" hidden="false" customHeight="false" outlineLevel="0" collapsed="false">
      <c r="A114" s="11" t="s">
        <v>501</v>
      </c>
      <c r="B114" s="11" t="s">
        <v>532</v>
      </c>
      <c r="C114" s="11" t="s">
        <v>92</v>
      </c>
      <c r="D114" s="11" t="s">
        <v>30</v>
      </c>
      <c r="E114" s="11" t="s">
        <v>113</v>
      </c>
      <c r="F114" s="11"/>
      <c r="G114" s="11"/>
      <c r="H114" s="12" t="n">
        <v>56.015</v>
      </c>
      <c r="I114" s="12" t="n">
        <v>57.981</v>
      </c>
      <c r="J114" s="11" t="s">
        <v>156</v>
      </c>
      <c r="K114" s="13" t="n">
        <v>442.35</v>
      </c>
      <c r="L114" s="13"/>
      <c r="M114" s="11"/>
      <c r="N114" s="11"/>
      <c r="O114" s="12"/>
      <c r="P114" s="11"/>
      <c r="Q114" s="12"/>
      <c r="R114" s="11" t="s">
        <v>73</v>
      </c>
      <c r="S114" s="11" t="s">
        <v>74</v>
      </c>
      <c r="T114" s="11" t="s">
        <v>290</v>
      </c>
      <c r="U114" s="14" t="s">
        <v>533</v>
      </c>
      <c r="V114" s="14" t="s">
        <v>534</v>
      </c>
      <c r="W114" s="14" t="s">
        <v>535</v>
      </c>
      <c r="X114" s="11" t="s">
        <v>79</v>
      </c>
      <c r="Y114" s="11" t="s">
        <v>536</v>
      </c>
    </row>
    <row r="115" customFormat="false" ht="102.2" hidden="false" customHeight="false" outlineLevel="0" collapsed="false">
      <c r="A115" s="11" t="s">
        <v>501</v>
      </c>
      <c r="B115" s="11" t="s">
        <v>532</v>
      </c>
      <c r="C115" s="11" t="s">
        <v>92</v>
      </c>
      <c r="D115" s="11" t="s">
        <v>30</v>
      </c>
      <c r="E115" s="11" t="s">
        <v>194</v>
      </c>
      <c r="F115" s="11" t="n">
        <v>100</v>
      </c>
      <c r="G115" s="11"/>
      <c r="H115" s="12" t="n">
        <v>59.393</v>
      </c>
      <c r="I115" s="12" t="n">
        <v>55.061</v>
      </c>
      <c r="J115" s="11" t="s">
        <v>135</v>
      </c>
      <c r="K115" s="13" t="n">
        <v>701.28</v>
      </c>
      <c r="L115" s="13"/>
      <c r="M115" s="11"/>
      <c r="N115" s="11"/>
      <c r="O115" s="12"/>
      <c r="P115" s="11"/>
      <c r="Q115" s="12"/>
      <c r="R115" s="11" t="s">
        <v>114</v>
      </c>
      <c r="S115" s="11" t="s">
        <v>74</v>
      </c>
      <c r="T115" s="11" t="s">
        <v>290</v>
      </c>
      <c r="U115" s="14" t="s">
        <v>537</v>
      </c>
      <c r="V115" s="14" t="s">
        <v>534</v>
      </c>
      <c r="W115" s="14" t="s">
        <v>535</v>
      </c>
      <c r="X115" s="11" t="s">
        <v>79</v>
      </c>
      <c r="Y115" s="11" t="s">
        <v>536</v>
      </c>
    </row>
    <row r="116" customFormat="false" ht="68.65" hidden="false" customHeight="false" outlineLevel="0" collapsed="false">
      <c r="A116" s="11" t="s">
        <v>501</v>
      </c>
      <c r="B116" s="11" t="s">
        <v>532</v>
      </c>
      <c r="C116" s="11" t="s">
        <v>481</v>
      </c>
      <c r="D116" s="11" t="s">
        <v>35</v>
      </c>
      <c r="E116" s="11" t="s">
        <v>113</v>
      </c>
      <c r="F116" s="11" t="n">
        <v>30</v>
      </c>
      <c r="G116" s="11"/>
      <c r="H116" s="12" t="n">
        <v>0.954</v>
      </c>
      <c r="I116" s="12" t="n">
        <v>1</v>
      </c>
      <c r="J116" s="11" t="s">
        <v>156</v>
      </c>
      <c r="K116" s="13" t="n">
        <v>144.65</v>
      </c>
      <c r="L116" s="13"/>
      <c r="M116" s="11"/>
      <c r="N116" s="11"/>
      <c r="O116" s="12"/>
      <c r="P116" s="11"/>
      <c r="Q116" s="12"/>
      <c r="R116" s="11" t="s">
        <v>73</v>
      </c>
      <c r="S116" s="11" t="s">
        <v>74</v>
      </c>
      <c r="T116" s="11" t="s">
        <v>290</v>
      </c>
      <c r="U116" s="14" t="s">
        <v>538</v>
      </c>
      <c r="V116" s="14" t="s">
        <v>534</v>
      </c>
      <c r="W116" s="14" t="s">
        <v>535</v>
      </c>
      <c r="X116" s="11" t="s">
        <v>79</v>
      </c>
      <c r="Y116" s="11" t="s">
        <v>536</v>
      </c>
    </row>
    <row r="117" customFormat="false" ht="68.65" hidden="false" customHeight="false" outlineLevel="0" collapsed="false">
      <c r="A117" s="11" t="s">
        <v>501</v>
      </c>
      <c r="B117" s="11" t="s">
        <v>532</v>
      </c>
      <c r="C117" s="11" t="s">
        <v>386</v>
      </c>
      <c r="D117" s="11" t="s">
        <v>29</v>
      </c>
      <c r="E117" s="11" t="s">
        <v>113</v>
      </c>
      <c r="F117" s="11" t="n">
        <v>10</v>
      </c>
      <c r="G117" s="11"/>
      <c r="H117" s="12"/>
      <c r="I117" s="12"/>
      <c r="J117" s="11"/>
      <c r="K117" s="13" t="n">
        <v>88.34</v>
      </c>
      <c r="L117" s="13"/>
      <c r="M117" s="11"/>
      <c r="N117" s="11"/>
      <c r="O117" s="12"/>
      <c r="P117" s="11"/>
      <c r="Q117" s="12"/>
      <c r="R117" s="11" t="s">
        <v>115</v>
      </c>
      <c r="S117" s="11" t="s">
        <v>74</v>
      </c>
      <c r="T117" s="11" t="s">
        <v>290</v>
      </c>
      <c r="U117" s="14" t="s">
        <v>539</v>
      </c>
      <c r="V117" s="14" t="s">
        <v>534</v>
      </c>
      <c r="W117" s="14" t="s">
        <v>535</v>
      </c>
      <c r="X117" s="11" t="s">
        <v>79</v>
      </c>
      <c r="Y117" s="11" t="s">
        <v>536</v>
      </c>
    </row>
    <row r="118" customFormat="false" ht="79.85" hidden="false" customHeight="false" outlineLevel="0" collapsed="false">
      <c r="A118" s="11" t="s">
        <v>501</v>
      </c>
      <c r="B118" s="11" t="s">
        <v>532</v>
      </c>
      <c r="C118" s="11" t="s">
        <v>86</v>
      </c>
      <c r="D118" s="11" t="s">
        <v>26</v>
      </c>
      <c r="E118" s="11" t="s">
        <v>113</v>
      </c>
      <c r="F118" s="11" t="n">
        <v>20</v>
      </c>
      <c r="G118" s="11"/>
      <c r="H118" s="12" t="n">
        <v>75175.3</v>
      </c>
      <c r="I118" s="12" t="n">
        <v>77032.7</v>
      </c>
      <c r="J118" s="11" t="s">
        <v>135</v>
      </c>
      <c r="K118" s="13" t="n">
        <v>49.41</v>
      </c>
      <c r="L118" s="13"/>
      <c r="M118" s="11"/>
      <c r="N118" s="11"/>
      <c r="O118" s="12"/>
      <c r="P118" s="11"/>
      <c r="Q118" s="12"/>
      <c r="R118" s="11" t="s">
        <v>114</v>
      </c>
      <c r="S118" s="11" t="s">
        <v>74</v>
      </c>
      <c r="T118" s="11" t="s">
        <v>290</v>
      </c>
      <c r="U118" s="14" t="s">
        <v>540</v>
      </c>
      <c r="V118" s="14" t="s">
        <v>534</v>
      </c>
      <c r="W118" s="14" t="s">
        <v>535</v>
      </c>
      <c r="X118" s="11" t="s">
        <v>79</v>
      </c>
      <c r="Y118" s="11" t="s">
        <v>536</v>
      </c>
    </row>
    <row r="119" customFormat="false" ht="57.45" hidden="false" customHeight="false" outlineLevel="0" collapsed="false">
      <c r="A119" s="11" t="s">
        <v>501</v>
      </c>
      <c r="B119" s="11" t="s">
        <v>532</v>
      </c>
      <c r="C119" s="11" t="s">
        <v>481</v>
      </c>
      <c r="D119" s="11" t="s">
        <v>35</v>
      </c>
      <c r="E119" s="11" t="s">
        <v>113</v>
      </c>
      <c r="F119" s="11" t="n">
        <v>20</v>
      </c>
      <c r="G119" s="11"/>
      <c r="H119" s="12" t="n">
        <v>0.954</v>
      </c>
      <c r="I119" s="12" t="n">
        <v>0.996</v>
      </c>
      <c r="J119" s="11" t="s">
        <v>156</v>
      </c>
      <c r="K119" s="13" t="n">
        <v>88.05</v>
      </c>
      <c r="L119" s="13"/>
      <c r="M119" s="11"/>
      <c r="N119" s="11"/>
      <c r="O119" s="12"/>
      <c r="P119" s="11"/>
      <c r="Q119" s="12"/>
      <c r="R119" s="11" t="s">
        <v>73</v>
      </c>
      <c r="S119" s="11" t="s">
        <v>74</v>
      </c>
      <c r="T119" s="11" t="s">
        <v>290</v>
      </c>
      <c r="U119" s="14" t="s">
        <v>541</v>
      </c>
      <c r="V119" s="14" t="s">
        <v>534</v>
      </c>
      <c r="W119" s="14" t="s">
        <v>535</v>
      </c>
      <c r="X119" s="11" t="s">
        <v>79</v>
      </c>
      <c r="Y119" s="11" t="s">
        <v>536</v>
      </c>
    </row>
    <row r="120" customFormat="false" ht="68.65" hidden="false" customHeight="false" outlineLevel="0" collapsed="false">
      <c r="A120" s="11" t="s">
        <v>501</v>
      </c>
      <c r="B120" s="11" t="s">
        <v>532</v>
      </c>
      <c r="C120" s="11" t="s">
        <v>92</v>
      </c>
      <c r="D120" s="11" t="s">
        <v>30</v>
      </c>
      <c r="E120" s="11" t="s">
        <v>113</v>
      </c>
      <c r="F120" s="11" t="n">
        <v>50</v>
      </c>
      <c r="G120" s="11"/>
      <c r="H120" s="12" t="n">
        <v>55.031</v>
      </c>
      <c r="I120" s="12" t="n">
        <v>55.916</v>
      </c>
      <c r="J120" s="11" t="s">
        <v>156</v>
      </c>
      <c r="K120" s="13" t="n">
        <v>75.16</v>
      </c>
      <c r="L120" s="13"/>
      <c r="M120" s="11"/>
      <c r="N120" s="11"/>
      <c r="O120" s="12"/>
      <c r="P120" s="11"/>
      <c r="Q120" s="12"/>
      <c r="R120" s="11" t="s">
        <v>73</v>
      </c>
      <c r="S120" s="11" t="s">
        <v>74</v>
      </c>
      <c r="T120" s="11" t="s">
        <v>290</v>
      </c>
      <c r="U120" s="14" t="s">
        <v>542</v>
      </c>
      <c r="V120" s="14" t="s">
        <v>534</v>
      </c>
      <c r="W120" s="14" t="s">
        <v>535</v>
      </c>
      <c r="X120" s="11" t="s">
        <v>79</v>
      </c>
      <c r="Y120" s="11" t="s">
        <v>536</v>
      </c>
    </row>
    <row r="121" customFormat="false" ht="46.25" hidden="false" customHeight="false" outlineLevel="0" collapsed="false">
      <c r="A121" s="11" t="s">
        <v>501</v>
      </c>
      <c r="B121" s="11" t="s">
        <v>532</v>
      </c>
      <c r="C121" s="11" t="s">
        <v>481</v>
      </c>
      <c r="D121" s="11" t="s">
        <v>35</v>
      </c>
      <c r="E121" s="11" t="s">
        <v>113</v>
      </c>
      <c r="F121" s="11" t="n">
        <v>50</v>
      </c>
      <c r="G121" s="11"/>
      <c r="H121" s="12" t="n">
        <v>0.953</v>
      </c>
      <c r="I121" s="12" t="n">
        <v>1</v>
      </c>
      <c r="J121" s="11" t="s">
        <v>156</v>
      </c>
      <c r="K121" s="13" t="n">
        <v>241.64</v>
      </c>
      <c r="L121" s="13"/>
      <c r="M121" s="11"/>
      <c r="N121" s="11"/>
      <c r="O121" s="12"/>
      <c r="P121" s="11"/>
      <c r="Q121" s="12"/>
      <c r="R121" s="11" t="s">
        <v>73</v>
      </c>
      <c r="S121" s="11" t="s">
        <v>74</v>
      </c>
      <c r="T121" s="11" t="s">
        <v>290</v>
      </c>
      <c r="U121" s="14" t="s">
        <v>543</v>
      </c>
      <c r="V121" s="14" t="s">
        <v>534</v>
      </c>
      <c r="W121" s="14" t="s">
        <v>535</v>
      </c>
      <c r="X121" s="11" t="s">
        <v>79</v>
      </c>
      <c r="Y121" s="11" t="s">
        <v>536</v>
      </c>
    </row>
    <row r="122" customFormat="false" ht="46.25" hidden="false" customHeight="false" outlineLevel="0" collapsed="false">
      <c r="A122" s="11" t="s">
        <v>501</v>
      </c>
      <c r="B122" s="11" t="s">
        <v>532</v>
      </c>
      <c r="C122" s="11" t="s">
        <v>86</v>
      </c>
      <c r="D122" s="11" t="s">
        <v>26</v>
      </c>
      <c r="E122" s="11" t="s">
        <v>113</v>
      </c>
      <c r="F122" s="11" t="n">
        <v>75</v>
      </c>
      <c r="G122" s="11"/>
      <c r="H122" s="12" t="n">
        <v>74785.1</v>
      </c>
      <c r="I122" s="12" t="n">
        <v>76799.9</v>
      </c>
      <c r="J122" s="11" t="s">
        <v>232</v>
      </c>
      <c r="K122" s="13" t="n">
        <v>197.39</v>
      </c>
      <c r="L122" s="13"/>
      <c r="M122" s="11"/>
      <c r="N122" s="11"/>
      <c r="O122" s="12"/>
      <c r="P122" s="11"/>
      <c r="Q122" s="12"/>
      <c r="R122" s="11" t="s">
        <v>114</v>
      </c>
      <c r="S122" s="11" t="s">
        <v>74</v>
      </c>
      <c r="T122" s="11" t="s">
        <v>290</v>
      </c>
      <c r="U122" s="14" t="s">
        <v>544</v>
      </c>
      <c r="V122" s="14" t="s">
        <v>534</v>
      </c>
      <c r="W122" s="14" t="s">
        <v>535</v>
      </c>
      <c r="X122" s="11" t="s">
        <v>79</v>
      </c>
      <c r="Y122" s="11" t="s">
        <v>536</v>
      </c>
    </row>
    <row r="123" customFormat="false" ht="57.45" hidden="false" customHeight="false" outlineLevel="0" collapsed="false">
      <c r="A123" s="11" t="s">
        <v>501</v>
      </c>
      <c r="B123" s="11" t="s">
        <v>532</v>
      </c>
      <c r="C123" s="11" t="s">
        <v>386</v>
      </c>
      <c r="D123" s="11" t="s">
        <v>29</v>
      </c>
      <c r="E123" s="11" t="s">
        <v>113</v>
      </c>
      <c r="F123" s="11" t="n">
        <v>50</v>
      </c>
      <c r="G123" s="11"/>
      <c r="H123" s="12" t="n">
        <v>1.0013</v>
      </c>
      <c r="I123" s="12" t="n">
        <v>1.0934</v>
      </c>
      <c r="J123" s="11" t="s">
        <v>232</v>
      </c>
      <c r="K123" s="13" t="n">
        <v>464.62</v>
      </c>
      <c r="L123" s="13"/>
      <c r="M123" s="11"/>
      <c r="N123" s="11"/>
      <c r="O123" s="12"/>
      <c r="P123" s="11"/>
      <c r="Q123" s="12"/>
      <c r="R123" s="11" t="s">
        <v>114</v>
      </c>
      <c r="S123" s="11" t="s">
        <v>74</v>
      </c>
      <c r="T123" s="11" t="s">
        <v>290</v>
      </c>
      <c r="U123" s="14" t="s">
        <v>545</v>
      </c>
      <c r="V123" s="14" t="s">
        <v>534</v>
      </c>
      <c r="W123" s="14" t="s">
        <v>535</v>
      </c>
      <c r="X123" s="11" t="s">
        <v>79</v>
      </c>
      <c r="Y123" s="11" t="s">
        <v>536</v>
      </c>
    </row>
    <row r="124" customFormat="false" ht="79.85" hidden="false" customHeight="false" outlineLevel="0" collapsed="false">
      <c r="A124" s="11" t="s">
        <v>501</v>
      </c>
      <c r="B124" s="11" t="s">
        <v>532</v>
      </c>
      <c r="C124" s="11" t="s">
        <v>86</v>
      </c>
      <c r="D124" s="11" t="s">
        <v>26</v>
      </c>
      <c r="E124" s="11" t="s">
        <v>113</v>
      </c>
      <c r="F124" s="11" t="n">
        <v>75</v>
      </c>
      <c r="G124" s="11"/>
      <c r="H124" s="12" t="n">
        <v>75535.5</v>
      </c>
      <c r="I124" s="12" t="n">
        <v>76733.2</v>
      </c>
      <c r="J124" s="11" t="s">
        <v>156</v>
      </c>
      <c r="K124" s="13" t="n">
        <v>116.53</v>
      </c>
      <c r="L124" s="13"/>
      <c r="M124" s="11"/>
      <c r="N124" s="11"/>
      <c r="O124" s="12"/>
      <c r="P124" s="11"/>
      <c r="Q124" s="12"/>
      <c r="R124" s="11" t="s">
        <v>73</v>
      </c>
      <c r="S124" s="11" t="s">
        <v>74</v>
      </c>
      <c r="T124" s="11" t="s">
        <v>290</v>
      </c>
      <c r="U124" s="14" t="s">
        <v>546</v>
      </c>
      <c r="V124" s="14" t="s">
        <v>534</v>
      </c>
      <c r="W124" s="14" t="s">
        <v>535</v>
      </c>
      <c r="X124" s="11" t="s">
        <v>79</v>
      </c>
      <c r="Y124" s="11" t="s">
        <v>536</v>
      </c>
    </row>
    <row r="125" customFormat="false" ht="68.65" hidden="false" customHeight="false" outlineLevel="0" collapsed="false">
      <c r="A125" s="11" t="s">
        <v>501</v>
      </c>
      <c r="B125" s="11" t="s">
        <v>532</v>
      </c>
      <c r="C125" s="11" t="s">
        <v>386</v>
      </c>
      <c r="D125" s="11" t="s">
        <v>29</v>
      </c>
      <c r="E125" s="11" t="s">
        <v>113</v>
      </c>
      <c r="F125" s="11" t="n">
        <v>20</v>
      </c>
      <c r="G125" s="11"/>
      <c r="H125" s="12" t="n">
        <v>0.9977</v>
      </c>
      <c r="I125" s="12" t="n">
        <v>1.09</v>
      </c>
      <c r="J125" s="11" t="s">
        <v>156</v>
      </c>
      <c r="K125" s="13" t="n">
        <v>185.02</v>
      </c>
      <c r="L125" s="13"/>
      <c r="M125" s="11"/>
      <c r="N125" s="11"/>
      <c r="O125" s="12"/>
      <c r="P125" s="11"/>
      <c r="Q125" s="12"/>
      <c r="R125" s="11" t="s">
        <v>73</v>
      </c>
      <c r="S125" s="11" t="s">
        <v>74</v>
      </c>
      <c r="T125" s="11" t="s">
        <v>290</v>
      </c>
      <c r="U125" s="14" t="s">
        <v>547</v>
      </c>
      <c r="V125" s="14" t="s">
        <v>534</v>
      </c>
      <c r="W125" s="14" t="s">
        <v>535</v>
      </c>
      <c r="X125" s="11" t="s">
        <v>79</v>
      </c>
      <c r="Y125" s="11" t="s">
        <v>536</v>
      </c>
    </row>
    <row r="126" customFormat="false" ht="68.65" hidden="false" customHeight="false" outlineLevel="0" collapsed="false">
      <c r="A126" s="11" t="s">
        <v>501</v>
      </c>
      <c r="B126" s="11" t="s">
        <v>532</v>
      </c>
      <c r="C126" s="11" t="s">
        <v>386</v>
      </c>
      <c r="D126" s="11" t="s">
        <v>29</v>
      </c>
      <c r="E126" s="11" t="s">
        <v>113</v>
      </c>
      <c r="F126" s="11" t="n">
        <v>20</v>
      </c>
      <c r="G126" s="11"/>
      <c r="H126" s="12"/>
      <c r="I126" s="12"/>
      <c r="J126" s="11"/>
      <c r="K126" s="13" t="n">
        <v>93.38</v>
      </c>
      <c r="L126" s="13"/>
      <c r="M126" s="11"/>
      <c r="N126" s="11"/>
      <c r="O126" s="12"/>
      <c r="P126" s="11"/>
      <c r="Q126" s="12"/>
      <c r="R126" s="11" t="s">
        <v>115</v>
      </c>
      <c r="S126" s="11" t="s">
        <v>74</v>
      </c>
      <c r="T126" s="11" t="s">
        <v>290</v>
      </c>
      <c r="U126" s="14" t="s">
        <v>548</v>
      </c>
      <c r="V126" s="14" t="s">
        <v>534</v>
      </c>
      <c r="W126" s="14" t="s">
        <v>535</v>
      </c>
      <c r="X126" s="11" t="s">
        <v>79</v>
      </c>
      <c r="Y126" s="11" t="s">
        <v>536</v>
      </c>
    </row>
    <row r="127" customFormat="false" ht="102.2" hidden="false" customHeight="false" outlineLevel="0" collapsed="false">
      <c r="A127" s="11" t="s">
        <v>501</v>
      </c>
      <c r="B127" s="11" t="s">
        <v>532</v>
      </c>
      <c r="C127" s="11" t="s">
        <v>549</v>
      </c>
      <c r="D127" s="11" t="s">
        <v>550</v>
      </c>
      <c r="E127" s="11" t="s">
        <v>113</v>
      </c>
      <c r="F127" s="11" t="n">
        <v>20</v>
      </c>
      <c r="G127" s="11" t="s">
        <v>463</v>
      </c>
      <c r="H127" s="12" t="n">
        <v>0.96</v>
      </c>
      <c r="I127" s="12" t="n">
        <v>0.997</v>
      </c>
      <c r="J127" s="11" t="s">
        <v>156</v>
      </c>
      <c r="K127" s="13" t="n">
        <v>75.45</v>
      </c>
      <c r="L127" s="13" t="n">
        <v>1.74</v>
      </c>
      <c r="M127" s="11"/>
      <c r="N127" s="11"/>
      <c r="O127" s="12"/>
      <c r="P127" s="11"/>
      <c r="Q127" s="12"/>
      <c r="R127" s="11" t="s">
        <v>73</v>
      </c>
      <c r="S127" s="11" t="s">
        <v>74</v>
      </c>
      <c r="T127" s="11" t="s">
        <v>290</v>
      </c>
      <c r="U127" s="14" t="s">
        <v>551</v>
      </c>
      <c r="V127" s="14" t="s">
        <v>534</v>
      </c>
      <c r="W127" s="14" t="s">
        <v>535</v>
      </c>
      <c r="X127" s="11" t="s">
        <v>79</v>
      </c>
      <c r="Y127" s="11" t="s">
        <v>536</v>
      </c>
    </row>
    <row r="128" customFormat="false" ht="68.65" hidden="false" customHeight="false" outlineLevel="0" collapsed="false">
      <c r="A128" s="11" t="s">
        <v>501</v>
      </c>
      <c r="B128" s="11" t="s">
        <v>532</v>
      </c>
      <c r="C128" s="11" t="s">
        <v>86</v>
      </c>
      <c r="D128" s="11" t="s">
        <v>26</v>
      </c>
      <c r="E128" s="11" t="s">
        <v>113</v>
      </c>
      <c r="F128" s="11" t="n">
        <v>40</v>
      </c>
      <c r="G128" s="11" t="s">
        <v>463</v>
      </c>
      <c r="H128" s="12" t="n">
        <v>74710</v>
      </c>
      <c r="I128" s="12" t="n">
        <v>76073.3</v>
      </c>
      <c r="J128" s="11" t="s">
        <v>156</v>
      </c>
      <c r="K128" s="13" t="n">
        <v>68.8</v>
      </c>
      <c r="L128" s="13" t="n">
        <v>2.57</v>
      </c>
      <c r="M128" s="11"/>
      <c r="N128" s="11"/>
      <c r="O128" s="12"/>
      <c r="P128" s="11"/>
      <c r="Q128" s="12"/>
      <c r="R128" s="11" t="s">
        <v>73</v>
      </c>
      <c r="S128" s="11" t="s">
        <v>74</v>
      </c>
      <c r="T128" s="11" t="s">
        <v>290</v>
      </c>
      <c r="U128" s="14" t="s">
        <v>552</v>
      </c>
      <c r="V128" s="14" t="s">
        <v>534</v>
      </c>
      <c r="W128" s="14" t="s">
        <v>535</v>
      </c>
      <c r="X128" s="11" t="s">
        <v>79</v>
      </c>
      <c r="Y128" s="11" t="s">
        <v>536</v>
      </c>
    </row>
    <row r="129" customFormat="false" ht="102.2" hidden="false" customHeight="false" outlineLevel="0" collapsed="false">
      <c r="A129" s="11" t="s">
        <v>501</v>
      </c>
      <c r="B129" s="11" t="s">
        <v>532</v>
      </c>
      <c r="C129" s="11" t="s">
        <v>86</v>
      </c>
      <c r="D129" s="11" t="s">
        <v>26</v>
      </c>
      <c r="E129" s="11" t="s">
        <v>113</v>
      </c>
      <c r="F129" s="11"/>
      <c r="G129" s="11"/>
      <c r="H129" s="12" t="n">
        <v>75506.4</v>
      </c>
      <c r="I129" s="12" t="n">
        <v>77140.7</v>
      </c>
      <c r="J129" s="11" t="s">
        <v>135</v>
      </c>
      <c r="K129" s="13" t="n">
        <v>868.26</v>
      </c>
      <c r="L129" s="13" t="n">
        <v>147.08</v>
      </c>
      <c r="M129" s="11" t="s">
        <v>553</v>
      </c>
      <c r="N129" s="11"/>
      <c r="O129" s="12"/>
      <c r="P129" s="11"/>
      <c r="Q129" s="12"/>
      <c r="R129" s="11" t="s">
        <v>114</v>
      </c>
      <c r="S129" s="11" t="s">
        <v>74</v>
      </c>
      <c r="T129" s="11" t="s">
        <v>290</v>
      </c>
      <c r="U129" s="14" t="s">
        <v>554</v>
      </c>
      <c r="V129" s="14" t="s">
        <v>534</v>
      </c>
      <c r="W129" s="14" t="s">
        <v>535</v>
      </c>
      <c r="X129" s="11" t="s">
        <v>79</v>
      </c>
      <c r="Y129" s="11" t="s">
        <v>536</v>
      </c>
    </row>
    <row r="130" customFormat="false" ht="57.45" hidden="false" customHeight="false" outlineLevel="0" collapsed="false">
      <c r="A130" s="11" t="s">
        <v>501</v>
      </c>
      <c r="B130" s="11" t="s">
        <v>555</v>
      </c>
      <c r="C130" s="11" t="s">
        <v>86</v>
      </c>
      <c r="D130" s="11" t="s">
        <v>26</v>
      </c>
      <c r="E130" s="11" t="s">
        <v>113</v>
      </c>
      <c r="F130" s="11" t="n">
        <v>150</v>
      </c>
      <c r="G130" s="11"/>
      <c r="H130" s="12" t="n">
        <v>75197.2</v>
      </c>
      <c r="I130" s="12" t="n">
        <v>76609.2</v>
      </c>
      <c r="J130" s="11" t="s">
        <v>156</v>
      </c>
      <c r="K130" s="13" t="n">
        <v>281.65</v>
      </c>
      <c r="L130" s="13"/>
      <c r="M130" s="11"/>
      <c r="N130" s="11"/>
      <c r="O130" s="12"/>
      <c r="P130" s="11"/>
      <c r="Q130" s="12"/>
      <c r="R130" s="11" t="s">
        <v>73</v>
      </c>
      <c r="S130" s="11" t="s">
        <v>205</v>
      </c>
      <c r="T130" s="11" t="s">
        <v>126</v>
      </c>
      <c r="U130" s="14" t="s">
        <v>556</v>
      </c>
      <c r="V130" s="14" t="s">
        <v>557</v>
      </c>
      <c r="W130" s="14" t="s">
        <v>558</v>
      </c>
      <c r="X130" s="11" t="s">
        <v>79</v>
      </c>
      <c r="Y130" s="11" t="s">
        <v>559</v>
      </c>
    </row>
    <row r="131" customFormat="false" ht="79.85" hidden="false" customHeight="false" outlineLevel="0" collapsed="false">
      <c r="A131" s="11" t="s">
        <v>501</v>
      </c>
      <c r="B131" s="11" t="s">
        <v>560</v>
      </c>
      <c r="C131" s="11" t="s">
        <v>86</v>
      </c>
      <c r="D131" s="11" t="s">
        <v>26</v>
      </c>
      <c r="E131" s="11" t="s">
        <v>113</v>
      </c>
      <c r="F131" s="11" t="n">
        <v>200</v>
      </c>
      <c r="G131" s="11" t="s">
        <v>463</v>
      </c>
      <c r="H131" s="12"/>
      <c r="I131" s="12" t="n">
        <v>76609.2</v>
      </c>
      <c r="J131" s="11" t="s">
        <v>156</v>
      </c>
      <c r="K131" s="13"/>
      <c r="L131" s="13" t="n">
        <v>12.9843</v>
      </c>
      <c r="M131" s="11" t="s">
        <v>470</v>
      </c>
      <c r="N131" s="11"/>
      <c r="O131" s="12"/>
      <c r="P131" s="11"/>
      <c r="Q131" s="12"/>
      <c r="R131" s="11" t="s">
        <v>73</v>
      </c>
      <c r="S131" s="11" t="s">
        <v>205</v>
      </c>
      <c r="T131" s="11" t="s">
        <v>561</v>
      </c>
      <c r="U131" s="14" t="s">
        <v>562</v>
      </c>
      <c r="V131" s="14" t="s">
        <v>563</v>
      </c>
      <c r="W131" s="14" t="s">
        <v>564</v>
      </c>
      <c r="X131" s="11" t="s">
        <v>79</v>
      </c>
      <c r="Y131" s="11" t="s">
        <v>565</v>
      </c>
    </row>
    <row r="132" customFormat="false" ht="68.65" hidden="false" customHeight="false" outlineLevel="0" collapsed="false">
      <c r="A132" s="11" t="s">
        <v>501</v>
      </c>
      <c r="B132" s="11" t="s">
        <v>566</v>
      </c>
      <c r="C132" s="11" t="s">
        <v>86</v>
      </c>
      <c r="D132" s="11" t="s">
        <v>26</v>
      </c>
      <c r="E132" s="11" t="s">
        <v>113</v>
      </c>
      <c r="F132" s="11" t="n">
        <v>200</v>
      </c>
      <c r="G132" s="11" t="s">
        <v>463</v>
      </c>
      <c r="H132" s="12" t="n">
        <v>76754.6</v>
      </c>
      <c r="I132" s="12" t="n">
        <v>76767</v>
      </c>
      <c r="J132" s="11" t="s">
        <v>135</v>
      </c>
      <c r="K132" s="13" t="n">
        <v>3.2</v>
      </c>
      <c r="L132" s="13" t="n">
        <v>0.1107</v>
      </c>
      <c r="M132" s="11" t="s">
        <v>470</v>
      </c>
      <c r="N132" s="11" t="n">
        <v>3.8685</v>
      </c>
      <c r="O132" s="12" t="n">
        <v>74000</v>
      </c>
      <c r="P132" s="11"/>
      <c r="Q132" s="12" t="n">
        <v>65738.8</v>
      </c>
      <c r="R132" s="11" t="s">
        <v>114</v>
      </c>
      <c r="S132" s="11" t="s">
        <v>205</v>
      </c>
      <c r="T132" s="11" t="s">
        <v>116</v>
      </c>
      <c r="U132" s="14" t="s">
        <v>567</v>
      </c>
      <c r="V132" s="14" t="s">
        <v>568</v>
      </c>
      <c r="W132" s="14" t="s">
        <v>569</v>
      </c>
      <c r="X132" s="11" t="s">
        <v>79</v>
      </c>
      <c r="Y132" s="11" t="s">
        <v>570</v>
      </c>
    </row>
    <row r="133" customFormat="false" ht="46.25" hidden="false" customHeight="false" outlineLevel="0" collapsed="false">
      <c r="A133" s="11" t="s">
        <v>501</v>
      </c>
      <c r="B133" s="11" t="s">
        <v>571</v>
      </c>
      <c r="C133" s="11" t="s">
        <v>86</v>
      </c>
      <c r="D133" s="11" t="s">
        <v>26</v>
      </c>
      <c r="E133" s="11" t="s">
        <v>113</v>
      </c>
      <c r="F133" s="11" t="n">
        <v>150</v>
      </c>
      <c r="G133" s="11"/>
      <c r="H133" s="12" t="n">
        <v>76754.6</v>
      </c>
      <c r="I133" s="12" t="n">
        <v>77060</v>
      </c>
      <c r="J133" s="11" t="s">
        <v>135</v>
      </c>
      <c r="K133" s="13" t="n">
        <v>59.7</v>
      </c>
      <c r="L133" s="13"/>
      <c r="M133" s="11"/>
      <c r="N133" s="11"/>
      <c r="O133" s="12"/>
      <c r="P133" s="11"/>
      <c r="Q133" s="12"/>
      <c r="R133" s="11" t="s">
        <v>114</v>
      </c>
      <c r="S133" s="11" t="s">
        <v>205</v>
      </c>
      <c r="T133" s="11" t="s">
        <v>126</v>
      </c>
      <c r="U133" s="14" t="s">
        <v>572</v>
      </c>
      <c r="V133" s="14" t="s">
        <v>573</v>
      </c>
      <c r="W133" s="14" t="s">
        <v>574</v>
      </c>
      <c r="X133" s="11" t="s">
        <v>79</v>
      </c>
      <c r="Y133" s="11" t="s">
        <v>575</v>
      </c>
    </row>
    <row r="134" customFormat="false" ht="57.45" hidden="false" customHeight="false" outlineLevel="0" collapsed="false">
      <c r="A134" s="11" t="s">
        <v>576</v>
      </c>
      <c r="B134" s="11" t="s">
        <v>577</v>
      </c>
      <c r="C134" s="11" t="s">
        <v>86</v>
      </c>
      <c r="D134" s="11" t="s">
        <v>26</v>
      </c>
      <c r="E134" s="11" t="s">
        <v>113</v>
      </c>
      <c r="F134" s="11" t="n">
        <v>150</v>
      </c>
      <c r="G134" s="11"/>
      <c r="H134" s="12" t="n">
        <v>76754.6</v>
      </c>
      <c r="I134" s="12" t="n">
        <v>77416.5</v>
      </c>
      <c r="J134" s="11" t="s">
        <v>135</v>
      </c>
      <c r="K134" s="13" t="n">
        <v>129.35</v>
      </c>
      <c r="L134" s="13"/>
      <c r="M134" s="11"/>
      <c r="N134" s="11"/>
      <c r="O134" s="12"/>
      <c r="P134" s="11"/>
      <c r="Q134" s="12"/>
      <c r="R134" s="11" t="s">
        <v>114</v>
      </c>
      <c r="S134" s="11" t="s">
        <v>205</v>
      </c>
      <c r="T134" s="11" t="s">
        <v>126</v>
      </c>
      <c r="U134" s="14" t="s">
        <v>578</v>
      </c>
      <c r="V134" s="14" t="s">
        <v>579</v>
      </c>
      <c r="W134" s="14" t="s">
        <v>580</v>
      </c>
      <c r="X134" s="11" t="s">
        <v>79</v>
      </c>
      <c r="Y134" s="11" t="s">
        <v>581</v>
      </c>
    </row>
    <row r="135" customFormat="false" ht="68.65" hidden="false" customHeight="false" outlineLevel="0" collapsed="false">
      <c r="A135" s="11" t="s">
        <v>576</v>
      </c>
      <c r="B135" s="11" t="s">
        <v>582</v>
      </c>
      <c r="C135" s="11" t="s">
        <v>415</v>
      </c>
      <c r="D135" s="11" t="s">
        <v>33</v>
      </c>
      <c r="E135" s="11" t="s">
        <v>113</v>
      </c>
      <c r="F135" s="11" t="n">
        <v>75</v>
      </c>
      <c r="G135" s="11"/>
      <c r="H135" s="12" t="n">
        <v>0.3023</v>
      </c>
      <c r="I135" s="12" t="n">
        <v>0.3117</v>
      </c>
      <c r="J135" s="11" t="s">
        <v>135</v>
      </c>
      <c r="K135" s="13" t="n">
        <v>233.55</v>
      </c>
      <c r="L135" s="13"/>
      <c r="M135" s="11"/>
      <c r="N135" s="11"/>
      <c r="O135" s="12"/>
      <c r="P135" s="11"/>
      <c r="Q135" s="12"/>
      <c r="R135" s="11" t="s">
        <v>114</v>
      </c>
      <c r="S135" s="11" t="s">
        <v>205</v>
      </c>
      <c r="T135" s="11" t="s">
        <v>126</v>
      </c>
      <c r="U135" s="14" t="s">
        <v>583</v>
      </c>
      <c r="V135" s="14" t="s">
        <v>584</v>
      </c>
      <c r="W135" s="14" t="s">
        <v>585</v>
      </c>
      <c r="X135" s="11" t="s">
        <v>79</v>
      </c>
      <c r="Y135" s="11" t="s">
        <v>586</v>
      </c>
    </row>
    <row r="136" customFormat="false" ht="57.45" hidden="false" customHeight="false" outlineLevel="0" collapsed="false">
      <c r="A136" s="11" t="s">
        <v>576</v>
      </c>
      <c r="B136" s="11" t="s">
        <v>587</v>
      </c>
      <c r="C136" s="11" t="s">
        <v>415</v>
      </c>
      <c r="D136" s="11" t="s">
        <v>33</v>
      </c>
      <c r="E136" s="11" t="s">
        <v>113</v>
      </c>
      <c r="F136" s="11" t="n">
        <v>75</v>
      </c>
      <c r="G136" s="11"/>
      <c r="H136" s="12" t="n">
        <v>0.3023</v>
      </c>
      <c r="I136" s="12" t="n">
        <v>0.3191</v>
      </c>
      <c r="J136" s="11" t="s">
        <v>156</v>
      </c>
      <c r="K136" s="13" t="n">
        <v>416.8</v>
      </c>
      <c r="L136" s="13"/>
      <c r="M136" s="11"/>
      <c r="N136" s="11"/>
      <c r="O136" s="12"/>
      <c r="P136" s="11"/>
      <c r="Q136" s="12"/>
      <c r="R136" s="11" t="s">
        <v>73</v>
      </c>
      <c r="S136" s="11" t="s">
        <v>205</v>
      </c>
      <c r="T136" s="11" t="s">
        <v>126</v>
      </c>
      <c r="U136" s="14" t="s">
        <v>588</v>
      </c>
      <c r="V136" s="14" t="s">
        <v>589</v>
      </c>
      <c r="W136" s="14" t="s">
        <v>590</v>
      </c>
      <c r="X136" s="11" t="s">
        <v>79</v>
      </c>
      <c r="Y136" s="11" t="s">
        <v>591</v>
      </c>
    </row>
    <row r="137" customFormat="false" ht="91" hidden="false" customHeight="false" outlineLevel="0" collapsed="false">
      <c r="A137" s="11" t="s">
        <v>576</v>
      </c>
      <c r="B137" s="11" t="s">
        <v>592</v>
      </c>
      <c r="C137" s="11" t="s">
        <v>415</v>
      </c>
      <c r="D137" s="11" t="s">
        <v>33</v>
      </c>
      <c r="E137" s="11" t="s">
        <v>113</v>
      </c>
      <c r="F137" s="11"/>
      <c r="G137" s="11"/>
      <c r="H137" s="12"/>
      <c r="I137" s="12"/>
      <c r="J137" s="11"/>
      <c r="K137" s="13"/>
      <c r="L137" s="13"/>
      <c r="M137" s="11"/>
      <c r="N137" s="11"/>
      <c r="O137" s="12"/>
      <c r="P137" s="11"/>
      <c r="Q137" s="12"/>
      <c r="R137" s="11" t="s">
        <v>115</v>
      </c>
      <c r="S137" s="11" t="s">
        <v>205</v>
      </c>
      <c r="T137" s="11" t="s">
        <v>235</v>
      </c>
      <c r="U137" s="14" t="s">
        <v>593</v>
      </c>
      <c r="V137" s="14" t="s">
        <v>594</v>
      </c>
      <c r="W137" s="14" t="s">
        <v>595</v>
      </c>
      <c r="X137" s="11" t="s">
        <v>79</v>
      </c>
      <c r="Y137" s="11" t="s">
        <v>596</v>
      </c>
    </row>
    <row r="138" customFormat="false" ht="35.05" hidden="false" customHeight="false" outlineLevel="0" collapsed="false">
      <c r="A138" s="11" t="s">
        <v>597</v>
      </c>
      <c r="B138" s="11" t="s">
        <v>598</v>
      </c>
      <c r="C138" s="11" t="s">
        <v>599</v>
      </c>
      <c r="D138" s="11" t="s">
        <v>600</v>
      </c>
      <c r="E138" s="11" t="s">
        <v>113</v>
      </c>
      <c r="F138" s="11" t="n">
        <v>90</v>
      </c>
      <c r="G138" s="11"/>
      <c r="H138" s="12" t="n">
        <v>2.333</v>
      </c>
      <c r="I138" s="12" t="n">
        <v>2.416</v>
      </c>
      <c r="J138" s="11" t="s">
        <v>135</v>
      </c>
      <c r="K138" s="13" t="n">
        <v>320.66</v>
      </c>
      <c r="L138" s="13"/>
      <c r="M138" s="11"/>
      <c r="N138" s="11"/>
      <c r="O138" s="12"/>
      <c r="P138" s="11"/>
      <c r="Q138" s="12"/>
      <c r="R138" s="11" t="s">
        <v>114</v>
      </c>
      <c r="S138" s="11" t="s">
        <v>205</v>
      </c>
      <c r="T138" s="11" t="s">
        <v>126</v>
      </c>
      <c r="U138" s="14" t="s">
        <v>601</v>
      </c>
      <c r="V138" s="14" t="s">
        <v>602</v>
      </c>
      <c r="W138" s="14" t="s">
        <v>603</v>
      </c>
      <c r="X138" s="11" t="s">
        <v>79</v>
      </c>
      <c r="Y138" s="11" t="s">
        <v>604</v>
      </c>
    </row>
    <row r="139" customFormat="false" ht="57.45" hidden="false" customHeight="false" outlineLevel="0" collapsed="false">
      <c r="A139" s="11" t="s">
        <v>597</v>
      </c>
      <c r="B139" s="11" t="s">
        <v>605</v>
      </c>
      <c r="C139" s="11" t="s">
        <v>86</v>
      </c>
      <c r="D139" s="11" t="s">
        <v>26</v>
      </c>
      <c r="E139" s="11" t="s">
        <v>113</v>
      </c>
      <c r="F139" s="11" t="n">
        <v>150</v>
      </c>
      <c r="G139" s="11"/>
      <c r="H139" s="12" t="n">
        <v>76754.6</v>
      </c>
      <c r="I139" s="12" t="n">
        <v>77906.3</v>
      </c>
      <c r="J139" s="11" t="s">
        <v>156</v>
      </c>
      <c r="K139" s="13" t="n">
        <v>225.07</v>
      </c>
      <c r="L139" s="13"/>
      <c r="M139" s="11"/>
      <c r="N139" s="11"/>
      <c r="O139" s="12"/>
      <c r="P139" s="11"/>
      <c r="Q139" s="12"/>
      <c r="R139" s="11" t="s">
        <v>73</v>
      </c>
      <c r="S139" s="11" t="s">
        <v>205</v>
      </c>
      <c r="T139" s="11" t="s">
        <v>126</v>
      </c>
      <c r="U139" s="14" t="s">
        <v>606</v>
      </c>
      <c r="V139" s="14" t="s">
        <v>607</v>
      </c>
      <c r="W139" s="14" t="s">
        <v>608</v>
      </c>
      <c r="X139" s="11" t="s">
        <v>79</v>
      </c>
      <c r="Y139" s="11" t="s">
        <v>609</v>
      </c>
    </row>
    <row r="140" customFormat="false" ht="91" hidden="false" customHeight="false" outlineLevel="0" collapsed="false">
      <c r="A140" s="11" t="s">
        <v>597</v>
      </c>
      <c r="B140" s="11" t="s">
        <v>610</v>
      </c>
      <c r="C140" s="11" t="s">
        <v>86</v>
      </c>
      <c r="D140" s="11" t="s">
        <v>26</v>
      </c>
      <c r="E140" s="11" t="s">
        <v>113</v>
      </c>
      <c r="F140" s="11"/>
      <c r="G140" s="11"/>
      <c r="H140" s="12" t="n">
        <v>76754.6</v>
      </c>
      <c r="I140" s="12" t="n">
        <v>78012.9</v>
      </c>
      <c r="J140" s="11" t="s">
        <v>156</v>
      </c>
      <c r="K140" s="13"/>
      <c r="L140" s="13"/>
      <c r="M140" s="11"/>
      <c r="N140" s="11"/>
      <c r="O140" s="12"/>
      <c r="P140" s="11"/>
      <c r="Q140" s="12"/>
      <c r="R140" s="11" t="s">
        <v>73</v>
      </c>
      <c r="S140" s="11" t="s">
        <v>205</v>
      </c>
      <c r="T140" s="11" t="s">
        <v>126</v>
      </c>
      <c r="U140" s="14" t="s">
        <v>611</v>
      </c>
      <c r="V140" s="14" t="s">
        <v>612</v>
      </c>
      <c r="W140" s="14" t="s">
        <v>613</v>
      </c>
      <c r="X140" s="11" t="s">
        <v>120</v>
      </c>
      <c r="Y140" s="11" t="s">
        <v>614</v>
      </c>
    </row>
    <row r="141" customFormat="false" ht="79.85" hidden="false" customHeight="false" outlineLevel="0" collapsed="false">
      <c r="A141" s="11" t="s">
        <v>597</v>
      </c>
      <c r="B141" s="11" t="s">
        <v>615</v>
      </c>
      <c r="C141" s="11" t="s">
        <v>86</v>
      </c>
      <c r="D141" s="11" t="s">
        <v>26</v>
      </c>
      <c r="E141" s="11" t="s">
        <v>113</v>
      </c>
      <c r="F141" s="11" t="n">
        <v>200</v>
      </c>
      <c r="G141" s="11" t="s">
        <v>463</v>
      </c>
      <c r="H141" s="12"/>
      <c r="I141" s="12" t="n">
        <v>78012.9</v>
      </c>
      <c r="J141" s="11" t="s">
        <v>156</v>
      </c>
      <c r="K141" s="13"/>
      <c r="L141" s="13" t="n">
        <v>11.3247</v>
      </c>
      <c r="M141" s="11" t="s">
        <v>470</v>
      </c>
      <c r="N141" s="11"/>
      <c r="O141" s="12"/>
      <c r="P141" s="11"/>
      <c r="Q141" s="12"/>
      <c r="R141" s="11" t="s">
        <v>73</v>
      </c>
      <c r="S141" s="11" t="s">
        <v>205</v>
      </c>
      <c r="T141" s="11" t="s">
        <v>464</v>
      </c>
      <c r="U141" s="14" t="s">
        <v>616</v>
      </c>
      <c r="V141" s="14"/>
      <c r="W141" s="14" t="s">
        <v>617</v>
      </c>
      <c r="X141" s="11" t="s">
        <v>79</v>
      </c>
      <c r="Y141" s="11" t="s">
        <v>618</v>
      </c>
    </row>
    <row r="142" customFormat="false" ht="68.65" hidden="false" customHeight="false" outlineLevel="0" collapsed="false">
      <c r="A142" s="11" t="s">
        <v>597</v>
      </c>
      <c r="B142" s="11" t="s">
        <v>619</v>
      </c>
      <c r="C142" s="11" t="s">
        <v>86</v>
      </c>
      <c r="D142" s="11" t="s">
        <v>26</v>
      </c>
      <c r="E142" s="11" t="s">
        <v>113</v>
      </c>
      <c r="F142" s="11"/>
      <c r="G142" s="11"/>
      <c r="H142" s="12"/>
      <c r="I142" s="12"/>
      <c r="J142" s="11"/>
      <c r="K142" s="13"/>
      <c r="L142" s="13"/>
      <c r="M142" s="11"/>
      <c r="N142" s="11"/>
      <c r="O142" s="12"/>
      <c r="P142" s="11"/>
      <c r="Q142" s="12"/>
      <c r="R142" s="11" t="s">
        <v>73</v>
      </c>
      <c r="S142" s="11" t="s">
        <v>205</v>
      </c>
      <c r="T142" s="11" t="s">
        <v>235</v>
      </c>
      <c r="U142" s="14" t="s">
        <v>620</v>
      </c>
      <c r="V142" s="14" t="s">
        <v>621</v>
      </c>
      <c r="W142" s="14" t="s">
        <v>622</v>
      </c>
      <c r="X142" s="11" t="s">
        <v>79</v>
      </c>
      <c r="Y142" s="11" t="s">
        <v>623</v>
      </c>
    </row>
    <row r="143" customFormat="false" ht="46.25" hidden="false" customHeight="false" outlineLevel="0" collapsed="false">
      <c r="A143" s="11" t="s">
        <v>624</v>
      </c>
      <c r="B143" s="11" t="s">
        <v>625</v>
      </c>
      <c r="C143" s="11" t="s">
        <v>626</v>
      </c>
      <c r="D143" s="11" t="s">
        <v>36</v>
      </c>
      <c r="E143" s="11" t="s">
        <v>113</v>
      </c>
      <c r="F143" s="11" t="n">
        <v>100</v>
      </c>
      <c r="G143" s="11"/>
      <c r="H143" s="12" t="n">
        <v>276.63</v>
      </c>
      <c r="I143" s="12" t="n">
        <v>276.92</v>
      </c>
      <c r="J143" s="11" t="s">
        <v>135</v>
      </c>
      <c r="K143" s="13" t="n">
        <v>10.43</v>
      </c>
      <c r="L143" s="13"/>
      <c r="M143" s="11"/>
      <c r="N143" s="11"/>
      <c r="O143" s="12"/>
      <c r="P143" s="11"/>
      <c r="Q143" s="12"/>
      <c r="R143" s="11" t="s">
        <v>114</v>
      </c>
      <c r="S143" s="11" t="s">
        <v>205</v>
      </c>
      <c r="T143" s="11" t="s">
        <v>126</v>
      </c>
      <c r="U143" s="14" t="s">
        <v>627</v>
      </c>
      <c r="V143" s="14" t="s">
        <v>628</v>
      </c>
      <c r="W143" s="14" t="s">
        <v>629</v>
      </c>
      <c r="X143" s="11" t="s">
        <v>79</v>
      </c>
      <c r="Y143" s="11" t="s">
        <v>630</v>
      </c>
    </row>
    <row r="144" customFormat="false" ht="68.65" hidden="false" customHeight="false" outlineLevel="0" collapsed="false">
      <c r="A144" s="11" t="s">
        <v>624</v>
      </c>
      <c r="B144" s="11" t="s">
        <v>631</v>
      </c>
      <c r="C144" s="11" t="s">
        <v>626</v>
      </c>
      <c r="D144" s="11" t="s">
        <v>36</v>
      </c>
      <c r="E144" s="11" t="s">
        <v>113</v>
      </c>
      <c r="F144" s="11" t="n">
        <v>100</v>
      </c>
      <c r="G144" s="11"/>
      <c r="H144" s="12" t="n">
        <v>276.63</v>
      </c>
      <c r="I144" s="12" t="n">
        <v>280</v>
      </c>
      <c r="J144" s="11" t="s">
        <v>156</v>
      </c>
      <c r="K144" s="13" t="n">
        <v>121.68</v>
      </c>
      <c r="L144" s="13"/>
      <c r="M144" s="11"/>
      <c r="N144" s="11"/>
      <c r="O144" s="12"/>
      <c r="P144" s="11"/>
      <c r="Q144" s="12"/>
      <c r="R144" s="11" t="s">
        <v>73</v>
      </c>
      <c r="S144" s="11" t="s">
        <v>205</v>
      </c>
      <c r="T144" s="11" t="s">
        <v>126</v>
      </c>
      <c r="U144" s="14" t="s">
        <v>632</v>
      </c>
      <c r="V144" s="14" t="s">
        <v>633</v>
      </c>
      <c r="W144" s="14" t="s">
        <v>634</v>
      </c>
      <c r="X144" s="11" t="s">
        <v>79</v>
      </c>
      <c r="Y144" s="11" t="s">
        <v>635</v>
      </c>
    </row>
    <row r="145" customFormat="false" ht="35.05" hidden="false" customHeight="false" outlineLevel="0" collapsed="false">
      <c r="A145" s="11" t="s">
        <v>636</v>
      </c>
      <c r="B145" s="11" t="s">
        <v>637</v>
      </c>
      <c r="C145" s="11" t="s">
        <v>90</v>
      </c>
      <c r="D145" s="11" t="s">
        <v>27</v>
      </c>
      <c r="E145" s="11" t="s">
        <v>113</v>
      </c>
      <c r="F145" s="11" t="n">
        <v>100</v>
      </c>
      <c r="G145" s="11"/>
      <c r="H145" s="12" t="n">
        <v>1988.23</v>
      </c>
      <c r="I145" s="12" t="n">
        <v>2021.86</v>
      </c>
      <c r="J145" s="11" t="s">
        <v>135</v>
      </c>
      <c r="K145" s="13" t="n">
        <v>165.82</v>
      </c>
      <c r="L145" s="13"/>
      <c r="M145" s="11"/>
      <c r="N145" s="11"/>
      <c r="O145" s="12"/>
      <c r="P145" s="11"/>
      <c r="Q145" s="12"/>
      <c r="R145" s="11" t="s">
        <v>114</v>
      </c>
      <c r="S145" s="11" t="s">
        <v>234</v>
      </c>
      <c r="T145" s="11" t="s">
        <v>126</v>
      </c>
      <c r="U145" s="14" t="s">
        <v>638</v>
      </c>
      <c r="V145" s="14" t="s">
        <v>639</v>
      </c>
      <c r="W145" s="14" t="s">
        <v>640</v>
      </c>
      <c r="X145" s="11" t="s">
        <v>79</v>
      </c>
      <c r="Y145" s="11" t="s">
        <v>641</v>
      </c>
    </row>
    <row r="146" customFormat="false" ht="57.45" hidden="false" customHeight="false" outlineLevel="0" collapsed="false">
      <c r="A146" s="11" t="s">
        <v>642</v>
      </c>
      <c r="B146" s="11" t="s">
        <v>643</v>
      </c>
      <c r="C146" s="11" t="s">
        <v>90</v>
      </c>
      <c r="D146" s="11" t="s">
        <v>27</v>
      </c>
      <c r="E146" s="11" t="s">
        <v>113</v>
      </c>
      <c r="F146" s="11" t="n">
        <v>100</v>
      </c>
      <c r="G146" s="11"/>
      <c r="H146" s="12" t="n">
        <v>1988.23</v>
      </c>
      <c r="I146" s="12" t="n">
        <v>2015.08</v>
      </c>
      <c r="J146" s="11" t="s">
        <v>135</v>
      </c>
      <c r="K146" s="13" t="n">
        <v>132.39</v>
      </c>
      <c r="L146" s="13"/>
      <c r="M146" s="11"/>
      <c r="N146" s="11"/>
      <c r="O146" s="12"/>
      <c r="P146" s="11"/>
      <c r="Q146" s="12"/>
      <c r="R146" s="11" t="s">
        <v>114</v>
      </c>
      <c r="S146" s="11" t="s">
        <v>234</v>
      </c>
      <c r="T146" s="11" t="s">
        <v>126</v>
      </c>
      <c r="U146" s="14" t="s">
        <v>644</v>
      </c>
      <c r="V146" s="14" t="s">
        <v>645</v>
      </c>
      <c r="W146" s="14" t="s">
        <v>646</v>
      </c>
      <c r="X146" s="11" t="s">
        <v>79</v>
      </c>
      <c r="Y146" s="11" t="s">
        <v>647</v>
      </c>
    </row>
    <row r="147" customFormat="false" ht="68.65" hidden="false" customHeight="false" outlineLevel="0" collapsed="false">
      <c r="A147" s="11" t="s">
        <v>642</v>
      </c>
      <c r="B147" s="11" t="s">
        <v>648</v>
      </c>
      <c r="C147" s="11" t="s">
        <v>86</v>
      </c>
      <c r="D147" s="11" t="s">
        <v>26</v>
      </c>
      <c r="E147" s="11" t="s">
        <v>113</v>
      </c>
      <c r="F147" s="11" t="n">
        <v>150</v>
      </c>
      <c r="G147" s="11"/>
      <c r="H147" s="12" t="n">
        <v>73141.2</v>
      </c>
      <c r="I147" s="12" t="n">
        <v>74036</v>
      </c>
      <c r="J147" s="11" t="s">
        <v>135</v>
      </c>
      <c r="K147" s="13" t="n">
        <v>183.52</v>
      </c>
      <c r="L147" s="13"/>
      <c r="M147" s="11"/>
      <c r="N147" s="11"/>
      <c r="O147" s="12"/>
      <c r="P147" s="11"/>
      <c r="Q147" s="12"/>
      <c r="R147" s="11" t="s">
        <v>114</v>
      </c>
      <c r="S147" s="11" t="s">
        <v>205</v>
      </c>
      <c r="T147" s="11" t="s">
        <v>126</v>
      </c>
      <c r="U147" s="14" t="s">
        <v>649</v>
      </c>
      <c r="V147" s="14" t="s">
        <v>650</v>
      </c>
      <c r="W147" s="14" t="s">
        <v>651</v>
      </c>
      <c r="X147" s="11" t="s">
        <v>79</v>
      </c>
      <c r="Y147" s="11" t="s">
        <v>652</v>
      </c>
    </row>
    <row r="148" customFormat="false" ht="35.05" hidden="false" customHeight="false" outlineLevel="0" collapsed="false">
      <c r="A148" s="11" t="s">
        <v>653</v>
      </c>
      <c r="B148" s="11" t="s">
        <v>654</v>
      </c>
      <c r="C148" s="11" t="s">
        <v>655</v>
      </c>
      <c r="D148" s="11" t="s">
        <v>656</v>
      </c>
      <c r="E148" s="11" t="s">
        <v>113</v>
      </c>
      <c r="F148" s="11" t="n">
        <v>75</v>
      </c>
      <c r="G148" s="11"/>
      <c r="H148" s="12" t="n">
        <v>0.2343</v>
      </c>
      <c r="I148" s="12" t="n">
        <v>0.2385</v>
      </c>
      <c r="J148" s="11" t="s">
        <v>156</v>
      </c>
      <c r="K148" s="13" t="n">
        <v>134.44</v>
      </c>
      <c r="L148" s="13"/>
      <c r="M148" s="11"/>
      <c r="N148" s="11"/>
      <c r="O148" s="12"/>
      <c r="P148" s="11"/>
      <c r="Q148" s="12"/>
      <c r="R148" s="11" t="s">
        <v>73</v>
      </c>
      <c r="S148" s="11" t="s">
        <v>205</v>
      </c>
      <c r="T148" s="11" t="s">
        <v>126</v>
      </c>
      <c r="U148" s="14" t="s">
        <v>657</v>
      </c>
      <c r="V148" s="14" t="s">
        <v>658</v>
      </c>
      <c r="W148" s="14" t="s">
        <v>659</v>
      </c>
      <c r="X148" s="11" t="s">
        <v>79</v>
      </c>
      <c r="Y148" s="11" t="s">
        <v>660</v>
      </c>
    </row>
    <row r="149" customFormat="false" ht="46.25" hidden="false" customHeight="false" outlineLevel="0" collapsed="false">
      <c r="A149" s="11" t="s">
        <v>661</v>
      </c>
      <c r="B149" s="11" t="s">
        <v>662</v>
      </c>
      <c r="C149" s="11" t="s">
        <v>86</v>
      </c>
      <c r="D149" s="11" t="s">
        <v>26</v>
      </c>
      <c r="E149" s="11" t="s">
        <v>113</v>
      </c>
      <c r="F149" s="11" t="n">
        <v>150</v>
      </c>
      <c r="G149" s="11"/>
      <c r="H149" s="12" t="n">
        <v>71514.9</v>
      </c>
      <c r="I149" s="12" t="n">
        <v>71551.3</v>
      </c>
      <c r="J149" s="11" t="s">
        <v>156</v>
      </c>
      <c r="K149" s="13" t="n">
        <v>7.63</v>
      </c>
      <c r="L149" s="13"/>
      <c r="M149" s="11"/>
      <c r="N149" s="11"/>
      <c r="O149" s="12"/>
      <c r="P149" s="11"/>
      <c r="Q149" s="12"/>
      <c r="R149" s="11" t="s">
        <v>73</v>
      </c>
      <c r="S149" s="11" t="s">
        <v>205</v>
      </c>
      <c r="T149" s="11" t="s">
        <v>126</v>
      </c>
      <c r="U149" s="14" t="s">
        <v>663</v>
      </c>
      <c r="V149" s="14" t="s">
        <v>664</v>
      </c>
      <c r="W149" s="14" t="s">
        <v>665</v>
      </c>
      <c r="X149" s="11" t="s">
        <v>79</v>
      </c>
      <c r="Y149" s="11" t="s">
        <v>666</v>
      </c>
    </row>
    <row r="150" customFormat="false" ht="57.45" hidden="false" customHeight="false" outlineLevel="0" collapsed="false">
      <c r="A150" s="11" t="s">
        <v>661</v>
      </c>
      <c r="B150" s="11" t="s">
        <v>667</v>
      </c>
      <c r="C150" s="11" t="s">
        <v>668</v>
      </c>
      <c r="D150" s="11" t="s">
        <v>669</v>
      </c>
      <c r="E150" s="11" t="s">
        <v>113</v>
      </c>
      <c r="F150" s="11" t="n">
        <v>20</v>
      </c>
      <c r="G150" s="11"/>
      <c r="H150" s="12" t="n">
        <v>0.7005</v>
      </c>
      <c r="I150" s="12" t="n">
        <v>0.7128</v>
      </c>
      <c r="J150" s="11" t="s">
        <v>135</v>
      </c>
      <c r="K150" s="13" t="n">
        <v>35.2</v>
      </c>
      <c r="L150" s="13"/>
      <c r="M150" s="11"/>
      <c r="N150" s="11"/>
      <c r="O150" s="12"/>
      <c r="P150" s="11"/>
      <c r="Q150" s="12"/>
      <c r="R150" s="11" t="s">
        <v>114</v>
      </c>
      <c r="S150" s="11" t="s">
        <v>205</v>
      </c>
      <c r="T150" s="11" t="s">
        <v>126</v>
      </c>
      <c r="U150" s="14" t="s">
        <v>670</v>
      </c>
      <c r="V150" s="14" t="s">
        <v>671</v>
      </c>
      <c r="W150" s="14" t="s">
        <v>672</v>
      </c>
      <c r="X150" s="11" t="s">
        <v>79</v>
      </c>
      <c r="Y150" s="11" t="s">
        <v>673</v>
      </c>
    </row>
    <row r="151" customFormat="false" ht="35.05" hidden="false" customHeight="false" outlineLevel="0" collapsed="false">
      <c r="A151" s="11" t="s">
        <v>661</v>
      </c>
      <c r="B151" s="11" t="s">
        <v>674</v>
      </c>
      <c r="C151" s="11" t="s">
        <v>675</v>
      </c>
      <c r="D151" s="11" t="s">
        <v>37</v>
      </c>
      <c r="E151" s="11" t="s">
        <v>113</v>
      </c>
      <c r="F151" s="11" t="n">
        <v>75</v>
      </c>
      <c r="G151" s="11"/>
      <c r="H151" s="12" t="n">
        <v>676.49</v>
      </c>
      <c r="I151" s="12" t="n">
        <v>693.96</v>
      </c>
      <c r="J151" s="11" t="s">
        <v>135</v>
      </c>
      <c r="K151" s="13" t="n">
        <v>193.7</v>
      </c>
      <c r="L151" s="13"/>
      <c r="M151" s="11"/>
      <c r="N151" s="11"/>
      <c r="O151" s="12"/>
      <c r="P151" s="11"/>
      <c r="Q151" s="12"/>
      <c r="R151" s="11" t="s">
        <v>114</v>
      </c>
      <c r="S151" s="11" t="s">
        <v>205</v>
      </c>
      <c r="T151" s="11" t="s">
        <v>126</v>
      </c>
      <c r="U151" s="14" t="s">
        <v>676</v>
      </c>
      <c r="V151" s="14" t="s">
        <v>677</v>
      </c>
      <c r="W151" s="14" t="s">
        <v>678</v>
      </c>
      <c r="X151" s="11" t="s">
        <v>79</v>
      </c>
      <c r="Y151" s="11" t="s">
        <v>679</v>
      </c>
    </row>
    <row r="152" customFormat="false" ht="35.05" hidden="false" customHeight="false" outlineLevel="0" collapsed="false">
      <c r="A152" s="11" t="s">
        <v>661</v>
      </c>
      <c r="B152" s="11" t="s">
        <v>680</v>
      </c>
      <c r="C152" s="11" t="s">
        <v>675</v>
      </c>
      <c r="D152" s="11" t="s">
        <v>37</v>
      </c>
      <c r="E152" s="11" t="s">
        <v>113</v>
      </c>
      <c r="F152" s="11" t="n">
        <v>75</v>
      </c>
      <c r="G152" s="11"/>
      <c r="H152" s="12" t="n">
        <v>676.49</v>
      </c>
      <c r="I152" s="12" t="n">
        <v>701.97</v>
      </c>
      <c r="J152" s="11" t="s">
        <v>135</v>
      </c>
      <c r="K152" s="13" t="n">
        <v>282.56</v>
      </c>
      <c r="L152" s="13"/>
      <c r="M152" s="11"/>
      <c r="N152" s="11"/>
      <c r="O152" s="12"/>
      <c r="P152" s="11"/>
      <c r="Q152" s="12"/>
      <c r="R152" s="11" t="s">
        <v>114</v>
      </c>
      <c r="S152" s="11" t="s">
        <v>205</v>
      </c>
      <c r="T152" s="11" t="s">
        <v>126</v>
      </c>
      <c r="U152" s="14" t="s">
        <v>681</v>
      </c>
      <c r="V152" s="14" t="s">
        <v>682</v>
      </c>
      <c r="W152" s="14" t="s">
        <v>683</v>
      </c>
      <c r="X152" s="11" t="s">
        <v>79</v>
      </c>
      <c r="Y152" s="11" t="s">
        <v>684</v>
      </c>
    </row>
    <row r="153" customFormat="false" ht="46.25" hidden="false" customHeight="false" outlineLevel="0" collapsed="false">
      <c r="A153" s="11" t="s">
        <v>685</v>
      </c>
      <c r="B153" s="11" t="s">
        <v>686</v>
      </c>
      <c r="C153" s="11" t="s">
        <v>687</v>
      </c>
      <c r="D153" s="11" t="s">
        <v>688</v>
      </c>
      <c r="E153" s="11" t="s">
        <v>113</v>
      </c>
      <c r="F153" s="11" t="n">
        <v>75</v>
      </c>
      <c r="G153" s="11"/>
      <c r="H153" s="12" t="n">
        <v>0.0918</v>
      </c>
      <c r="I153" s="12" t="n">
        <v>0.0958</v>
      </c>
      <c r="J153" s="11" t="s">
        <v>156</v>
      </c>
      <c r="K153" s="13" t="n">
        <v>318.52</v>
      </c>
      <c r="L153" s="13"/>
      <c r="M153" s="11"/>
      <c r="N153" s="11"/>
      <c r="O153" s="12"/>
      <c r="P153" s="11"/>
      <c r="Q153" s="12"/>
      <c r="R153" s="11" t="s">
        <v>73</v>
      </c>
      <c r="S153" s="11" t="s">
        <v>205</v>
      </c>
      <c r="T153" s="11" t="s">
        <v>126</v>
      </c>
      <c r="U153" s="14" t="s">
        <v>689</v>
      </c>
      <c r="V153" s="14" t="s">
        <v>690</v>
      </c>
      <c r="W153" s="14" t="s">
        <v>691</v>
      </c>
      <c r="X153" s="11" t="s">
        <v>79</v>
      </c>
      <c r="Y153" s="11" t="s">
        <v>692</v>
      </c>
    </row>
    <row r="154" customFormat="false" ht="46.25" hidden="false" customHeight="false" outlineLevel="0" collapsed="false">
      <c r="A154" s="11" t="s">
        <v>693</v>
      </c>
      <c r="B154" s="11" t="s">
        <v>694</v>
      </c>
      <c r="C154" s="11" t="s">
        <v>695</v>
      </c>
      <c r="D154" s="11" t="s">
        <v>696</v>
      </c>
      <c r="E154" s="11" t="s">
        <v>113</v>
      </c>
      <c r="F154" s="11" t="n">
        <v>75</v>
      </c>
      <c r="G154" s="11"/>
      <c r="H154" s="12" t="n">
        <v>2.643</v>
      </c>
      <c r="I154" s="12" t="n">
        <v>2.845</v>
      </c>
      <c r="J154" s="11" t="s">
        <v>135</v>
      </c>
      <c r="K154" s="13" t="n">
        <v>574.24</v>
      </c>
      <c r="L154" s="13"/>
      <c r="M154" s="11"/>
      <c r="N154" s="11"/>
      <c r="O154" s="12"/>
      <c r="P154" s="11"/>
      <c r="Q154" s="12"/>
      <c r="R154" s="11" t="s">
        <v>114</v>
      </c>
      <c r="S154" s="11" t="s">
        <v>205</v>
      </c>
      <c r="T154" s="11" t="s">
        <v>126</v>
      </c>
      <c r="U154" s="14" t="s">
        <v>697</v>
      </c>
      <c r="V154" s="14" t="s">
        <v>698</v>
      </c>
      <c r="W154" s="14" t="s">
        <v>699</v>
      </c>
      <c r="X154" s="11" t="s">
        <v>79</v>
      </c>
      <c r="Y154" s="11" t="s">
        <v>700</v>
      </c>
    </row>
    <row r="155" customFormat="false" ht="46.25" hidden="false" customHeight="false" outlineLevel="0" collapsed="false">
      <c r="A155" s="11" t="s">
        <v>693</v>
      </c>
      <c r="B155" s="11" t="s">
        <v>701</v>
      </c>
      <c r="C155" s="11" t="s">
        <v>695</v>
      </c>
      <c r="D155" s="11" t="s">
        <v>696</v>
      </c>
      <c r="E155" s="11" t="s">
        <v>113</v>
      </c>
      <c r="F155" s="11" t="n">
        <v>75</v>
      </c>
      <c r="G155" s="11"/>
      <c r="H155" s="12" t="n">
        <v>2.643</v>
      </c>
      <c r="I155" s="12" t="n">
        <v>2.897</v>
      </c>
      <c r="J155" s="11" t="s">
        <v>156</v>
      </c>
      <c r="K155" s="13" t="n">
        <v>720.77</v>
      </c>
      <c r="L155" s="13"/>
      <c r="M155" s="11"/>
      <c r="N155" s="11"/>
      <c r="O155" s="12"/>
      <c r="P155" s="11"/>
      <c r="Q155" s="12"/>
      <c r="R155" s="11" t="s">
        <v>73</v>
      </c>
      <c r="S155" s="11" t="s">
        <v>205</v>
      </c>
      <c r="T155" s="11" t="s">
        <v>126</v>
      </c>
      <c r="U155" s="14" t="s">
        <v>702</v>
      </c>
      <c r="V155" s="14" t="s">
        <v>703</v>
      </c>
      <c r="W155" s="14" t="s">
        <v>704</v>
      </c>
      <c r="X155" s="11" t="s">
        <v>79</v>
      </c>
      <c r="Y155" s="11" t="s">
        <v>705</v>
      </c>
    </row>
    <row r="156" customFormat="false" ht="35.05" hidden="false" customHeight="false" outlineLevel="0" collapsed="false">
      <c r="A156" s="11" t="s">
        <v>693</v>
      </c>
      <c r="B156" s="11" t="s">
        <v>706</v>
      </c>
      <c r="C156" s="11" t="s">
        <v>707</v>
      </c>
      <c r="D156" s="11" t="s">
        <v>708</v>
      </c>
      <c r="E156" s="11" t="s">
        <v>194</v>
      </c>
      <c r="F156" s="11" t="n">
        <v>50</v>
      </c>
      <c r="G156" s="11"/>
      <c r="H156" s="12" t="n">
        <v>21.506</v>
      </c>
      <c r="I156" s="12" t="n">
        <v>19.54</v>
      </c>
      <c r="J156" s="11" t="s">
        <v>135</v>
      </c>
      <c r="K156" s="13" t="n">
        <v>457.11</v>
      </c>
      <c r="L156" s="13"/>
      <c r="M156" s="11"/>
      <c r="N156" s="11"/>
      <c r="O156" s="12"/>
      <c r="P156" s="11"/>
      <c r="Q156" s="12"/>
      <c r="R156" s="11" t="s">
        <v>114</v>
      </c>
      <c r="S156" s="11" t="s">
        <v>205</v>
      </c>
      <c r="T156" s="11" t="s">
        <v>126</v>
      </c>
      <c r="U156" s="14" t="s">
        <v>709</v>
      </c>
      <c r="V156" s="14" t="s">
        <v>710</v>
      </c>
      <c r="W156" s="14" t="s">
        <v>711</v>
      </c>
      <c r="X156" s="11" t="s">
        <v>79</v>
      </c>
      <c r="Y156" s="11" t="s">
        <v>712</v>
      </c>
    </row>
    <row r="157" customFormat="false" ht="91" hidden="false" customHeight="false" outlineLevel="0" collapsed="false">
      <c r="A157" s="11" t="s">
        <v>693</v>
      </c>
      <c r="B157" s="11" t="s">
        <v>713</v>
      </c>
      <c r="C157" s="11" t="s">
        <v>707</v>
      </c>
      <c r="D157" s="11" t="s">
        <v>708</v>
      </c>
      <c r="E157" s="11" t="s">
        <v>194</v>
      </c>
      <c r="F157" s="11" t="n">
        <v>50</v>
      </c>
      <c r="G157" s="11"/>
      <c r="H157" s="12" t="n">
        <v>21.506</v>
      </c>
      <c r="I157" s="12" t="n">
        <v>18.618</v>
      </c>
      <c r="J157" s="11" t="s">
        <v>135</v>
      </c>
      <c r="K157" s="13" t="n">
        <v>671.43</v>
      </c>
      <c r="L157" s="13"/>
      <c r="M157" s="11"/>
      <c r="N157" s="11"/>
      <c r="O157" s="12"/>
      <c r="P157" s="11"/>
      <c r="Q157" s="12"/>
      <c r="R157" s="11" t="s">
        <v>114</v>
      </c>
      <c r="S157" s="11" t="s">
        <v>205</v>
      </c>
      <c r="T157" s="11" t="s">
        <v>126</v>
      </c>
      <c r="U157" s="14" t="s">
        <v>714</v>
      </c>
      <c r="V157" s="14" t="s">
        <v>715</v>
      </c>
      <c r="W157" s="14" t="s">
        <v>716</v>
      </c>
      <c r="X157" s="11" t="s">
        <v>79</v>
      </c>
      <c r="Y157" s="11" t="s">
        <v>717</v>
      </c>
    </row>
    <row r="158" customFormat="false" ht="35.05" hidden="false" customHeight="false" outlineLevel="0" collapsed="false">
      <c r="A158" s="11" t="s">
        <v>693</v>
      </c>
      <c r="B158" s="11" t="s">
        <v>718</v>
      </c>
      <c r="C158" s="11" t="s">
        <v>707</v>
      </c>
      <c r="D158" s="11" t="s">
        <v>708</v>
      </c>
      <c r="E158" s="11" t="s">
        <v>194</v>
      </c>
      <c r="F158" s="11" t="n">
        <v>50</v>
      </c>
      <c r="G158" s="11"/>
      <c r="H158" s="12" t="n">
        <v>21.506</v>
      </c>
      <c r="I158" s="12" t="n">
        <v>18.53</v>
      </c>
      <c r="J158" s="11" t="s">
        <v>156</v>
      </c>
      <c r="K158" s="13" t="n">
        <v>692.03</v>
      </c>
      <c r="L158" s="13"/>
      <c r="M158" s="11"/>
      <c r="N158" s="11"/>
      <c r="O158" s="12"/>
      <c r="P158" s="11"/>
      <c r="Q158" s="12"/>
      <c r="R158" s="11" t="s">
        <v>73</v>
      </c>
      <c r="S158" s="11" t="s">
        <v>205</v>
      </c>
      <c r="T158" s="11" t="s">
        <v>126</v>
      </c>
      <c r="U158" s="14" t="s">
        <v>719</v>
      </c>
      <c r="V158" s="14" t="s">
        <v>720</v>
      </c>
      <c r="W158" s="14" t="s">
        <v>721</v>
      </c>
      <c r="X158" s="11" t="s">
        <v>79</v>
      </c>
      <c r="Y158" s="11" t="s">
        <v>722</v>
      </c>
    </row>
    <row r="159" customFormat="false" ht="46.25" hidden="false" customHeight="false" outlineLevel="0" collapsed="false">
      <c r="A159" s="11" t="s">
        <v>723</v>
      </c>
      <c r="B159" s="11" t="s">
        <v>724</v>
      </c>
      <c r="C159" s="11" t="s">
        <v>86</v>
      </c>
      <c r="D159" s="11" t="s">
        <v>26</v>
      </c>
      <c r="E159" s="11" t="s">
        <v>113</v>
      </c>
      <c r="F159" s="11" t="n">
        <v>250</v>
      </c>
      <c r="G159" s="11"/>
      <c r="H159" s="12" t="n">
        <v>63094.1</v>
      </c>
      <c r="I159" s="12" t="n">
        <v>64082.2</v>
      </c>
      <c r="J159" s="11" t="s">
        <v>156</v>
      </c>
      <c r="K159" s="13" t="n">
        <v>363.26</v>
      </c>
      <c r="L159" s="13"/>
      <c r="M159" s="11"/>
      <c r="N159" s="11"/>
      <c r="O159" s="12"/>
      <c r="P159" s="11"/>
      <c r="Q159" s="12"/>
      <c r="R159" s="11" t="s">
        <v>73</v>
      </c>
      <c r="S159" s="11" t="s">
        <v>234</v>
      </c>
      <c r="T159" s="11" t="s">
        <v>126</v>
      </c>
      <c r="U159" s="14" t="s">
        <v>725</v>
      </c>
      <c r="V159" s="14" t="s">
        <v>726</v>
      </c>
      <c r="W159" s="14" t="s">
        <v>727</v>
      </c>
      <c r="X159" s="11" t="s">
        <v>79</v>
      </c>
      <c r="Y159" s="11" t="s">
        <v>728</v>
      </c>
    </row>
    <row r="160" customFormat="false" ht="46.25" hidden="false" customHeight="false" outlineLevel="0" collapsed="false">
      <c r="A160" s="11" t="s">
        <v>723</v>
      </c>
      <c r="B160" s="11" t="s">
        <v>729</v>
      </c>
      <c r="C160" s="11" t="s">
        <v>86</v>
      </c>
      <c r="D160" s="11" t="s">
        <v>26</v>
      </c>
      <c r="E160" s="11" t="s">
        <v>113</v>
      </c>
      <c r="F160" s="11" t="n">
        <v>250</v>
      </c>
      <c r="G160" s="11"/>
      <c r="H160" s="12"/>
      <c r="I160" s="12"/>
      <c r="J160" s="11"/>
      <c r="K160" s="13" t="n">
        <v>151.99</v>
      </c>
      <c r="L160" s="13"/>
      <c r="M160" s="11"/>
      <c r="N160" s="11"/>
      <c r="O160" s="12"/>
      <c r="P160" s="11"/>
      <c r="Q160" s="12"/>
      <c r="R160" s="11" t="s">
        <v>73</v>
      </c>
      <c r="S160" s="11" t="s">
        <v>234</v>
      </c>
      <c r="T160" s="11" t="s">
        <v>126</v>
      </c>
      <c r="U160" s="14" t="s">
        <v>730</v>
      </c>
      <c r="V160" s="14" t="s">
        <v>731</v>
      </c>
      <c r="W160" s="14" t="s">
        <v>732</v>
      </c>
      <c r="X160" s="11" t="s">
        <v>79</v>
      </c>
      <c r="Y160" s="11" t="s">
        <v>733</v>
      </c>
    </row>
    <row r="161" customFormat="false" ht="46.25" hidden="false" customHeight="false" outlineLevel="0" collapsed="false">
      <c r="A161" s="11" t="s">
        <v>723</v>
      </c>
      <c r="B161" s="11" t="s">
        <v>734</v>
      </c>
      <c r="C161" s="11" t="s">
        <v>86</v>
      </c>
      <c r="D161" s="11" t="s">
        <v>26</v>
      </c>
      <c r="E161" s="11" t="s">
        <v>113</v>
      </c>
      <c r="F161" s="11" t="n">
        <v>141</v>
      </c>
      <c r="G161" s="11"/>
      <c r="H161" s="12" t="n">
        <v>62711.2</v>
      </c>
      <c r="I161" s="12" t="n">
        <v>63567.7</v>
      </c>
      <c r="J161" s="11" t="s">
        <v>156</v>
      </c>
      <c r="K161" s="13" t="n">
        <v>192.56</v>
      </c>
      <c r="L161" s="13"/>
      <c r="M161" s="11"/>
      <c r="N161" s="11"/>
      <c r="O161" s="12"/>
      <c r="P161" s="11"/>
      <c r="Q161" s="12"/>
      <c r="R161" s="11" t="s">
        <v>73</v>
      </c>
      <c r="S161" s="11" t="s">
        <v>205</v>
      </c>
      <c r="T161" s="11" t="s">
        <v>126</v>
      </c>
      <c r="U161" s="14" t="s">
        <v>735</v>
      </c>
      <c r="V161" s="14"/>
      <c r="W161" s="14" t="s">
        <v>736</v>
      </c>
      <c r="X161" s="11" t="s">
        <v>79</v>
      </c>
      <c r="Y161" s="11" t="s">
        <v>737</v>
      </c>
    </row>
    <row r="162" customFormat="false" ht="35.05" hidden="false" customHeight="false" outlineLevel="0" collapsed="false">
      <c r="A162" s="11" t="s">
        <v>738</v>
      </c>
      <c r="B162" s="11" t="s">
        <v>739</v>
      </c>
      <c r="C162" s="11" t="s">
        <v>86</v>
      </c>
      <c r="D162" s="11" t="s">
        <v>26</v>
      </c>
      <c r="E162" s="11" t="s">
        <v>113</v>
      </c>
      <c r="F162" s="11" t="n">
        <v>250</v>
      </c>
      <c r="G162" s="11"/>
      <c r="H162" s="12"/>
      <c r="I162" s="12"/>
      <c r="J162" s="11"/>
      <c r="K162" s="13" t="n">
        <v>496.61</v>
      </c>
      <c r="L162" s="13"/>
      <c r="M162" s="11"/>
      <c r="N162" s="11"/>
      <c r="O162" s="12"/>
      <c r="P162" s="11"/>
      <c r="Q162" s="12"/>
      <c r="R162" s="11" t="s">
        <v>73</v>
      </c>
      <c r="S162" s="11" t="s">
        <v>234</v>
      </c>
      <c r="T162" s="11" t="s">
        <v>126</v>
      </c>
      <c r="U162" s="14" t="s">
        <v>740</v>
      </c>
      <c r="V162" s="14" t="s">
        <v>741</v>
      </c>
      <c r="W162" s="14" t="s">
        <v>742</v>
      </c>
      <c r="X162" s="11" t="s">
        <v>79</v>
      </c>
      <c r="Y162" s="11" t="s">
        <v>743</v>
      </c>
    </row>
    <row r="163" customFormat="false" ht="79.85" hidden="false" customHeight="false" outlineLevel="0" collapsed="false">
      <c r="A163" s="11" t="s">
        <v>738</v>
      </c>
      <c r="B163" s="11" t="s">
        <v>744</v>
      </c>
      <c r="C163" s="11" t="s">
        <v>86</v>
      </c>
      <c r="D163" s="11" t="s">
        <v>26</v>
      </c>
      <c r="E163" s="11" t="s">
        <v>113</v>
      </c>
      <c r="F163" s="11"/>
      <c r="G163" s="11"/>
      <c r="H163" s="12"/>
      <c r="I163" s="12"/>
      <c r="J163" s="11"/>
      <c r="K163" s="13"/>
      <c r="L163" s="13"/>
      <c r="M163" s="11"/>
      <c r="N163" s="11"/>
      <c r="O163" s="12"/>
      <c r="P163" s="11"/>
      <c r="Q163" s="12"/>
      <c r="R163" s="11" t="s">
        <v>73</v>
      </c>
      <c r="S163" s="11" t="s">
        <v>234</v>
      </c>
      <c r="T163" s="11" t="s">
        <v>235</v>
      </c>
      <c r="U163" s="14" t="s">
        <v>745</v>
      </c>
      <c r="V163" s="14" t="s">
        <v>746</v>
      </c>
      <c r="W163" s="14" t="s">
        <v>747</v>
      </c>
      <c r="X163" s="11" t="s">
        <v>79</v>
      </c>
      <c r="Y163" s="11" t="s">
        <v>748</v>
      </c>
    </row>
    <row r="164" customFormat="false" ht="79.85" hidden="false" customHeight="false" outlineLevel="0" collapsed="false">
      <c r="A164" s="11" t="s">
        <v>738</v>
      </c>
      <c r="B164" s="11" t="s">
        <v>749</v>
      </c>
      <c r="C164" s="11" t="s">
        <v>707</v>
      </c>
      <c r="D164" s="11" t="s">
        <v>708</v>
      </c>
      <c r="E164" s="11" t="s">
        <v>194</v>
      </c>
      <c r="F164" s="11"/>
      <c r="G164" s="11"/>
      <c r="H164" s="12"/>
      <c r="I164" s="12" t="n">
        <v>20.382</v>
      </c>
      <c r="J164" s="11" t="s">
        <v>135</v>
      </c>
      <c r="K164" s="13"/>
      <c r="L164" s="13"/>
      <c r="M164" s="11"/>
      <c r="N164" s="11"/>
      <c r="O164" s="12"/>
      <c r="P164" s="11"/>
      <c r="Q164" s="12"/>
      <c r="R164" s="11" t="s">
        <v>114</v>
      </c>
      <c r="S164" s="11" t="s">
        <v>205</v>
      </c>
      <c r="T164" s="11" t="s">
        <v>235</v>
      </c>
      <c r="U164" s="14" t="s">
        <v>750</v>
      </c>
      <c r="V164" s="14" t="s">
        <v>751</v>
      </c>
      <c r="W164" s="14" t="s">
        <v>752</v>
      </c>
      <c r="X164" s="11" t="s">
        <v>120</v>
      </c>
      <c r="Y164" s="11" t="s">
        <v>753</v>
      </c>
    </row>
    <row r="165" customFormat="false" ht="46.25" hidden="false" customHeight="false" outlineLevel="0" collapsed="false">
      <c r="A165" s="11" t="s">
        <v>754</v>
      </c>
      <c r="B165" s="11" t="s">
        <v>755</v>
      </c>
      <c r="C165" s="11" t="s">
        <v>428</v>
      </c>
      <c r="D165" s="11" t="s">
        <v>40</v>
      </c>
      <c r="E165" s="11" t="s">
        <v>194</v>
      </c>
      <c r="F165" s="11" t="n">
        <v>25</v>
      </c>
      <c r="G165" s="11"/>
      <c r="H165" s="12" t="n">
        <v>4.2</v>
      </c>
      <c r="I165" s="12" t="n">
        <v>3.7131</v>
      </c>
      <c r="J165" s="11" t="s">
        <v>135</v>
      </c>
      <c r="K165" s="13" t="n">
        <v>289.79</v>
      </c>
      <c r="L165" s="13"/>
      <c r="M165" s="11"/>
      <c r="N165" s="11"/>
      <c r="O165" s="12"/>
      <c r="P165" s="11"/>
      <c r="Q165" s="12"/>
      <c r="R165" s="11" t="s">
        <v>114</v>
      </c>
      <c r="S165" s="11" t="s">
        <v>205</v>
      </c>
      <c r="T165" s="11" t="s">
        <v>126</v>
      </c>
      <c r="U165" s="14" t="s">
        <v>756</v>
      </c>
      <c r="V165" s="14" t="s">
        <v>757</v>
      </c>
      <c r="W165" s="14" t="s">
        <v>758</v>
      </c>
      <c r="X165" s="11" t="s">
        <v>79</v>
      </c>
      <c r="Y165" s="11" t="s">
        <v>759</v>
      </c>
    </row>
    <row r="166" customFormat="false" ht="68.65" hidden="false" customHeight="false" outlineLevel="0" collapsed="false">
      <c r="A166" s="11" t="s">
        <v>754</v>
      </c>
      <c r="B166" s="11" t="s">
        <v>760</v>
      </c>
      <c r="C166" s="11" t="s">
        <v>86</v>
      </c>
      <c r="D166" s="11" t="s">
        <v>26</v>
      </c>
      <c r="E166" s="11" t="s">
        <v>194</v>
      </c>
      <c r="F166" s="11" t="n">
        <v>250</v>
      </c>
      <c r="G166" s="11"/>
      <c r="H166" s="12"/>
      <c r="I166" s="12"/>
      <c r="J166" s="11"/>
      <c r="K166" s="13" t="n">
        <v>158.99</v>
      </c>
      <c r="L166" s="13"/>
      <c r="M166" s="11"/>
      <c r="N166" s="11"/>
      <c r="O166" s="12"/>
      <c r="P166" s="11"/>
      <c r="Q166" s="12"/>
      <c r="R166" s="11" t="s">
        <v>73</v>
      </c>
      <c r="S166" s="11" t="s">
        <v>234</v>
      </c>
      <c r="T166" s="11" t="s">
        <v>126</v>
      </c>
      <c r="U166" s="14" t="s">
        <v>761</v>
      </c>
      <c r="V166" s="14" t="s">
        <v>762</v>
      </c>
      <c r="W166" s="14" t="s">
        <v>763</v>
      </c>
      <c r="X166" s="11" t="s">
        <v>79</v>
      </c>
      <c r="Y166" s="11" t="s">
        <v>764</v>
      </c>
    </row>
    <row r="167" customFormat="false" ht="57.45" hidden="false" customHeight="false" outlineLevel="0" collapsed="false">
      <c r="A167" s="11" t="s">
        <v>765</v>
      </c>
      <c r="B167" s="11" t="s">
        <v>766</v>
      </c>
      <c r="C167" s="11" t="s">
        <v>86</v>
      </c>
      <c r="D167" s="11" t="s">
        <v>26</v>
      </c>
      <c r="E167" s="11" t="s">
        <v>113</v>
      </c>
      <c r="F167" s="11" t="n">
        <v>150</v>
      </c>
      <c r="G167" s="11"/>
      <c r="H167" s="12"/>
      <c r="I167" s="12"/>
      <c r="J167" s="11"/>
      <c r="K167" s="13" t="n">
        <v>122.2</v>
      </c>
      <c r="L167" s="13"/>
      <c r="M167" s="11"/>
      <c r="N167" s="11"/>
      <c r="O167" s="12"/>
      <c r="P167" s="11"/>
      <c r="Q167" s="12"/>
      <c r="R167" s="11" t="s">
        <v>114</v>
      </c>
      <c r="S167" s="11" t="s">
        <v>234</v>
      </c>
      <c r="T167" s="11" t="s">
        <v>126</v>
      </c>
      <c r="U167" s="14" t="s">
        <v>767</v>
      </c>
      <c r="V167" s="14" t="s">
        <v>768</v>
      </c>
      <c r="W167" s="14" t="s">
        <v>769</v>
      </c>
      <c r="X167" s="11" t="s">
        <v>79</v>
      </c>
      <c r="Y167" s="11" t="s">
        <v>770</v>
      </c>
    </row>
    <row r="168" customFormat="false" ht="46.25" hidden="false" customHeight="false" outlineLevel="0" collapsed="false">
      <c r="A168" s="11" t="s">
        <v>765</v>
      </c>
      <c r="B168" s="11" t="s">
        <v>771</v>
      </c>
      <c r="C168" s="11" t="s">
        <v>86</v>
      </c>
      <c r="D168" s="11" t="s">
        <v>26</v>
      </c>
      <c r="E168" s="11" t="s">
        <v>113</v>
      </c>
      <c r="F168" s="11" t="n">
        <v>150</v>
      </c>
      <c r="G168" s="11"/>
      <c r="H168" s="12"/>
      <c r="I168" s="12"/>
      <c r="J168" s="11"/>
      <c r="K168" s="13" t="n">
        <v>290.59</v>
      </c>
      <c r="L168" s="13"/>
      <c r="M168" s="11"/>
      <c r="N168" s="11"/>
      <c r="O168" s="12"/>
      <c r="P168" s="11"/>
      <c r="Q168" s="12"/>
      <c r="R168" s="11" t="s">
        <v>114</v>
      </c>
      <c r="S168" s="11" t="s">
        <v>234</v>
      </c>
      <c r="T168" s="11" t="s">
        <v>126</v>
      </c>
      <c r="U168" s="14" t="s">
        <v>772</v>
      </c>
      <c r="V168" s="14" t="s">
        <v>773</v>
      </c>
      <c r="W168" s="14" t="s">
        <v>774</v>
      </c>
      <c r="X168" s="11" t="s">
        <v>79</v>
      </c>
      <c r="Y168" s="11" t="s">
        <v>775</v>
      </c>
    </row>
    <row r="169" customFormat="false" ht="68.65" hidden="false" customHeight="false" outlineLevel="0" collapsed="false">
      <c r="A169" s="11" t="s">
        <v>765</v>
      </c>
      <c r="B169" s="11" t="s">
        <v>776</v>
      </c>
      <c r="C169" s="11" t="s">
        <v>86</v>
      </c>
      <c r="D169" s="11" t="s">
        <v>26</v>
      </c>
      <c r="E169" s="11" t="s">
        <v>113</v>
      </c>
      <c r="F169" s="11"/>
      <c r="G169" s="11"/>
      <c r="H169" s="12"/>
      <c r="I169" s="12" t="n">
        <v>62668.4</v>
      </c>
      <c r="J169" s="11" t="s">
        <v>156</v>
      </c>
      <c r="K169" s="13"/>
      <c r="L169" s="13"/>
      <c r="M169" s="11"/>
      <c r="N169" s="11"/>
      <c r="O169" s="12"/>
      <c r="P169" s="11"/>
      <c r="Q169" s="12"/>
      <c r="R169" s="11" t="s">
        <v>73</v>
      </c>
      <c r="S169" s="11" t="s">
        <v>234</v>
      </c>
      <c r="T169" s="11" t="s">
        <v>126</v>
      </c>
      <c r="U169" s="14" t="s">
        <v>777</v>
      </c>
      <c r="V169" s="14" t="s">
        <v>778</v>
      </c>
      <c r="W169" s="14" t="s">
        <v>779</v>
      </c>
      <c r="X169" s="11" t="s">
        <v>120</v>
      </c>
      <c r="Y169" s="11" t="s">
        <v>780</v>
      </c>
    </row>
    <row r="170" customFormat="false" ht="46.25" hidden="false" customHeight="false" outlineLevel="0" collapsed="false">
      <c r="A170" s="11" t="s">
        <v>781</v>
      </c>
      <c r="B170" s="11" t="s">
        <v>782</v>
      </c>
      <c r="C170" s="11" t="s">
        <v>783</v>
      </c>
      <c r="D170" s="11" t="s">
        <v>784</v>
      </c>
      <c r="E170" s="11" t="s">
        <v>194</v>
      </c>
      <c r="F170" s="11" t="n">
        <v>100</v>
      </c>
      <c r="G170" s="11"/>
      <c r="H170" s="12"/>
      <c r="I170" s="12"/>
      <c r="J170" s="11"/>
      <c r="K170" s="13" t="n">
        <v>1037.04</v>
      </c>
      <c r="L170" s="13"/>
      <c r="M170" s="11"/>
      <c r="N170" s="11"/>
      <c r="O170" s="12"/>
      <c r="P170" s="11"/>
      <c r="Q170" s="12"/>
      <c r="R170" s="11" t="s">
        <v>114</v>
      </c>
      <c r="S170" s="11" t="s">
        <v>234</v>
      </c>
      <c r="T170" s="11" t="s">
        <v>126</v>
      </c>
      <c r="U170" s="14" t="s">
        <v>785</v>
      </c>
      <c r="V170" s="14" t="s">
        <v>786</v>
      </c>
      <c r="W170" s="14" t="s">
        <v>787</v>
      </c>
      <c r="X170" s="11" t="s">
        <v>79</v>
      </c>
      <c r="Y170" s="11" t="s">
        <v>788</v>
      </c>
    </row>
    <row r="171" customFormat="false" ht="46.25" hidden="false" customHeight="false" outlineLevel="0" collapsed="false">
      <c r="A171" s="11" t="s">
        <v>781</v>
      </c>
      <c r="B171" s="11" t="s">
        <v>789</v>
      </c>
      <c r="C171" s="11" t="s">
        <v>790</v>
      </c>
      <c r="D171" s="11" t="s">
        <v>791</v>
      </c>
      <c r="E171" s="11" t="s">
        <v>113</v>
      </c>
      <c r="F171" s="11" t="n">
        <v>75</v>
      </c>
      <c r="G171" s="11"/>
      <c r="H171" s="12"/>
      <c r="I171" s="12"/>
      <c r="J171" s="11"/>
      <c r="K171" s="13" t="n">
        <v>216.11</v>
      </c>
      <c r="L171" s="13"/>
      <c r="M171" s="11"/>
      <c r="N171" s="11"/>
      <c r="O171" s="12"/>
      <c r="P171" s="11"/>
      <c r="Q171" s="12"/>
      <c r="R171" s="11" t="s">
        <v>114</v>
      </c>
      <c r="S171" s="11" t="s">
        <v>205</v>
      </c>
      <c r="T171" s="11" t="s">
        <v>126</v>
      </c>
      <c r="U171" s="14" t="s">
        <v>792</v>
      </c>
      <c r="V171" s="14" t="s">
        <v>793</v>
      </c>
      <c r="W171" s="14" t="s">
        <v>794</v>
      </c>
      <c r="X171" s="11" t="s">
        <v>79</v>
      </c>
      <c r="Y171" s="11" t="s">
        <v>795</v>
      </c>
    </row>
    <row r="172" customFormat="false" ht="57.45" hidden="false" customHeight="false" outlineLevel="0" collapsed="false">
      <c r="A172" s="11" t="s">
        <v>781</v>
      </c>
      <c r="B172" s="11" t="s">
        <v>796</v>
      </c>
      <c r="C172" s="11" t="s">
        <v>790</v>
      </c>
      <c r="D172" s="11" t="s">
        <v>791</v>
      </c>
      <c r="E172" s="11" t="s">
        <v>113</v>
      </c>
      <c r="F172" s="11" t="n">
        <v>75</v>
      </c>
      <c r="G172" s="11"/>
      <c r="H172" s="12"/>
      <c r="I172" s="12"/>
      <c r="J172" s="11"/>
      <c r="K172" s="13" t="n">
        <v>216.11</v>
      </c>
      <c r="L172" s="13"/>
      <c r="M172" s="11"/>
      <c r="N172" s="11"/>
      <c r="O172" s="12"/>
      <c r="P172" s="11"/>
      <c r="Q172" s="12"/>
      <c r="R172" s="11" t="s">
        <v>73</v>
      </c>
      <c r="S172" s="11" t="s">
        <v>205</v>
      </c>
      <c r="T172" s="11" t="s">
        <v>126</v>
      </c>
      <c r="U172" s="14" t="s">
        <v>797</v>
      </c>
      <c r="V172" s="14" t="s">
        <v>798</v>
      </c>
      <c r="W172" s="14" t="s">
        <v>799</v>
      </c>
      <c r="X172" s="11" t="s">
        <v>120</v>
      </c>
      <c r="Y172" s="11" t="s">
        <v>800</v>
      </c>
    </row>
    <row r="173" customFormat="false" ht="68.65" hidden="false" customHeight="false" outlineLevel="0" collapsed="false">
      <c r="A173" s="11" t="s">
        <v>781</v>
      </c>
      <c r="B173" s="11" t="s">
        <v>801</v>
      </c>
      <c r="C173" s="11" t="s">
        <v>86</v>
      </c>
      <c r="D173" s="11" t="s">
        <v>26</v>
      </c>
      <c r="E173" s="11" t="s">
        <v>113</v>
      </c>
      <c r="F173" s="11" t="n">
        <v>250</v>
      </c>
      <c r="G173" s="11"/>
      <c r="H173" s="12"/>
      <c r="I173" s="12"/>
      <c r="J173" s="11"/>
      <c r="K173" s="13" t="n">
        <v>315.35</v>
      </c>
      <c r="L173" s="13"/>
      <c r="M173" s="11"/>
      <c r="N173" s="11"/>
      <c r="O173" s="12"/>
      <c r="P173" s="11"/>
      <c r="Q173" s="12"/>
      <c r="R173" s="11" t="s">
        <v>73</v>
      </c>
      <c r="S173" s="11" t="s">
        <v>234</v>
      </c>
      <c r="T173" s="11" t="s">
        <v>126</v>
      </c>
      <c r="U173" s="14" t="s">
        <v>802</v>
      </c>
      <c r="V173" s="14" t="s">
        <v>803</v>
      </c>
      <c r="W173" s="14" t="s">
        <v>804</v>
      </c>
      <c r="X173" s="11" t="s">
        <v>79</v>
      </c>
      <c r="Y173" s="11" t="s">
        <v>805</v>
      </c>
    </row>
    <row r="174" customFormat="false" ht="35.05" hidden="false" customHeight="false" outlineLevel="0" collapsed="false">
      <c r="A174" s="11" t="s">
        <v>781</v>
      </c>
      <c r="B174" s="11" t="s">
        <v>806</v>
      </c>
      <c r="C174" s="11" t="s">
        <v>86</v>
      </c>
      <c r="D174" s="11" t="s">
        <v>26</v>
      </c>
      <c r="E174" s="11" t="s">
        <v>113</v>
      </c>
      <c r="F174" s="11" t="n">
        <v>150</v>
      </c>
      <c r="G174" s="11"/>
      <c r="H174" s="12"/>
      <c r="I174" s="12"/>
      <c r="J174" s="11"/>
      <c r="K174" s="13" t="n">
        <v>245.5</v>
      </c>
      <c r="L174" s="13"/>
      <c r="M174" s="11"/>
      <c r="N174" s="11"/>
      <c r="O174" s="12"/>
      <c r="P174" s="11"/>
      <c r="Q174" s="12"/>
      <c r="R174" s="11" t="s">
        <v>115</v>
      </c>
      <c r="S174" s="11" t="s">
        <v>234</v>
      </c>
      <c r="T174" s="11" t="s">
        <v>126</v>
      </c>
      <c r="U174" s="14" t="s">
        <v>807</v>
      </c>
      <c r="V174" s="14"/>
      <c r="W174" s="14" t="s">
        <v>808</v>
      </c>
      <c r="X174" s="11" t="s">
        <v>79</v>
      </c>
      <c r="Y174" s="11" t="s">
        <v>809</v>
      </c>
    </row>
    <row r="175" customFormat="false" ht="57.45" hidden="false" customHeight="false" outlineLevel="0" collapsed="false">
      <c r="A175" s="11" t="s">
        <v>781</v>
      </c>
      <c r="B175" s="11" t="s">
        <v>810</v>
      </c>
      <c r="C175" s="11" t="s">
        <v>783</v>
      </c>
      <c r="D175" s="11" t="s">
        <v>784</v>
      </c>
      <c r="E175" s="11" t="s">
        <v>194</v>
      </c>
      <c r="F175" s="11" t="n">
        <v>100</v>
      </c>
      <c r="G175" s="11"/>
      <c r="H175" s="12"/>
      <c r="I175" s="12"/>
      <c r="J175" s="11"/>
      <c r="K175" s="13" t="n">
        <v>762.19</v>
      </c>
      <c r="L175" s="13"/>
      <c r="M175" s="11"/>
      <c r="N175" s="11"/>
      <c r="O175" s="12"/>
      <c r="P175" s="11"/>
      <c r="Q175" s="12"/>
      <c r="R175" s="11" t="s">
        <v>114</v>
      </c>
      <c r="S175" s="11" t="s">
        <v>234</v>
      </c>
      <c r="T175" s="11" t="s">
        <v>126</v>
      </c>
      <c r="U175" s="14" t="s">
        <v>811</v>
      </c>
      <c r="V175" s="14" t="s">
        <v>812</v>
      </c>
      <c r="W175" s="14" t="s">
        <v>813</v>
      </c>
      <c r="X175" s="11" t="s">
        <v>79</v>
      </c>
      <c r="Y175" s="11" t="s">
        <v>814</v>
      </c>
    </row>
    <row r="176" customFormat="false" ht="46.25" hidden="false" customHeight="false" outlineLevel="0" collapsed="false">
      <c r="A176" s="11" t="s">
        <v>781</v>
      </c>
      <c r="B176" s="11" t="s">
        <v>815</v>
      </c>
      <c r="C176" s="11" t="s">
        <v>107</v>
      </c>
      <c r="D176" s="11" t="s">
        <v>28</v>
      </c>
      <c r="E176" s="11" t="s">
        <v>113</v>
      </c>
      <c r="F176" s="11" t="n">
        <v>125</v>
      </c>
      <c r="G176" s="11"/>
      <c r="H176" s="12" t="n">
        <v>63.3</v>
      </c>
      <c r="I176" s="12" t="n">
        <v>66.97</v>
      </c>
      <c r="J176" s="11" t="s">
        <v>135</v>
      </c>
      <c r="K176" s="13" t="n">
        <v>726.09</v>
      </c>
      <c r="L176" s="13"/>
      <c r="M176" s="11"/>
      <c r="N176" s="11"/>
      <c r="O176" s="12"/>
      <c r="P176" s="11"/>
      <c r="Q176" s="12"/>
      <c r="R176" s="11" t="s">
        <v>114</v>
      </c>
      <c r="S176" s="11" t="s">
        <v>205</v>
      </c>
      <c r="T176" s="11" t="s">
        <v>126</v>
      </c>
      <c r="U176" s="14" t="s">
        <v>816</v>
      </c>
      <c r="V176" s="14" t="s">
        <v>817</v>
      </c>
      <c r="W176" s="14" t="s">
        <v>818</v>
      </c>
      <c r="X176" s="11" t="s">
        <v>79</v>
      </c>
      <c r="Y176" s="11" t="s">
        <v>819</v>
      </c>
    </row>
    <row r="177" customFormat="false" ht="57.45" hidden="false" customHeight="false" outlineLevel="0" collapsed="false">
      <c r="A177" s="11" t="s">
        <v>781</v>
      </c>
      <c r="B177" s="11" t="s">
        <v>820</v>
      </c>
      <c r="C177" s="11" t="s">
        <v>86</v>
      </c>
      <c r="D177" s="11" t="s">
        <v>26</v>
      </c>
      <c r="E177" s="11" t="s">
        <v>113</v>
      </c>
      <c r="F177" s="11" t="n">
        <v>250</v>
      </c>
      <c r="G177" s="11"/>
      <c r="H177" s="12"/>
      <c r="I177" s="12"/>
      <c r="J177" s="11"/>
      <c r="K177" s="13" t="n">
        <v>363.9</v>
      </c>
      <c r="L177" s="13"/>
      <c r="M177" s="11"/>
      <c r="N177" s="11"/>
      <c r="O177" s="12"/>
      <c r="P177" s="11"/>
      <c r="Q177" s="12"/>
      <c r="R177" s="11" t="s">
        <v>73</v>
      </c>
      <c r="S177" s="11" t="s">
        <v>234</v>
      </c>
      <c r="T177" s="11" t="s">
        <v>126</v>
      </c>
      <c r="U177" s="14" t="s">
        <v>821</v>
      </c>
      <c r="V177" s="14" t="s">
        <v>822</v>
      </c>
      <c r="W177" s="14" t="s">
        <v>823</v>
      </c>
      <c r="X177" s="11" t="s">
        <v>79</v>
      </c>
      <c r="Y177" s="11" t="s">
        <v>824</v>
      </c>
    </row>
    <row r="178" customFormat="false" ht="35.05" hidden="false" customHeight="false" outlineLevel="0" collapsed="false">
      <c r="A178" s="11" t="s">
        <v>781</v>
      </c>
      <c r="B178" s="11" t="s">
        <v>825</v>
      </c>
      <c r="C178" s="11" t="s">
        <v>86</v>
      </c>
      <c r="D178" s="11" t="s">
        <v>26</v>
      </c>
      <c r="E178" s="11" t="s">
        <v>113</v>
      </c>
      <c r="F178" s="11" t="n">
        <v>250</v>
      </c>
      <c r="G178" s="11"/>
      <c r="H178" s="12"/>
      <c r="I178" s="12"/>
      <c r="J178" s="11"/>
      <c r="K178" s="13" t="n">
        <v>363.9</v>
      </c>
      <c r="L178" s="13"/>
      <c r="M178" s="11"/>
      <c r="N178" s="11"/>
      <c r="O178" s="12"/>
      <c r="P178" s="11"/>
      <c r="Q178" s="12"/>
      <c r="R178" s="11" t="s">
        <v>73</v>
      </c>
      <c r="S178" s="11" t="s">
        <v>234</v>
      </c>
      <c r="T178" s="11" t="s">
        <v>126</v>
      </c>
      <c r="U178" s="14" t="s">
        <v>826</v>
      </c>
      <c r="V178" s="14" t="s">
        <v>827</v>
      </c>
      <c r="W178" s="14" t="s">
        <v>828</v>
      </c>
      <c r="X178" s="11" t="s">
        <v>79</v>
      </c>
      <c r="Y178" s="11" t="s">
        <v>829</v>
      </c>
    </row>
    <row r="179" customFormat="false" ht="68.65" hidden="false" customHeight="false" outlineLevel="0" collapsed="false">
      <c r="A179" s="11" t="s">
        <v>781</v>
      </c>
      <c r="B179" s="11" t="s">
        <v>825</v>
      </c>
      <c r="C179" s="11" t="s">
        <v>107</v>
      </c>
      <c r="D179" s="11" t="s">
        <v>28</v>
      </c>
      <c r="E179" s="11" t="s">
        <v>113</v>
      </c>
      <c r="F179" s="11" t="n">
        <v>125</v>
      </c>
      <c r="G179" s="11"/>
      <c r="H179" s="12" t="n">
        <v>63.3</v>
      </c>
      <c r="I179" s="12" t="n">
        <v>67.24</v>
      </c>
      <c r="J179" s="11" t="s">
        <v>156</v>
      </c>
      <c r="K179" s="13" t="n">
        <v>778.04</v>
      </c>
      <c r="L179" s="13"/>
      <c r="M179" s="11"/>
      <c r="N179" s="11"/>
      <c r="O179" s="12"/>
      <c r="P179" s="11"/>
      <c r="Q179" s="12"/>
      <c r="R179" s="11" t="s">
        <v>73</v>
      </c>
      <c r="S179" s="11" t="s">
        <v>205</v>
      </c>
      <c r="T179" s="11" t="s">
        <v>126</v>
      </c>
      <c r="U179" s="14" t="s">
        <v>830</v>
      </c>
      <c r="V179" s="14" t="s">
        <v>827</v>
      </c>
      <c r="W179" s="14" t="s">
        <v>831</v>
      </c>
      <c r="X179" s="11" t="s">
        <v>79</v>
      </c>
      <c r="Y179" s="11" t="s">
        <v>829</v>
      </c>
    </row>
    <row r="180" customFormat="false" ht="68.65" hidden="false" customHeight="false" outlineLevel="0" collapsed="false">
      <c r="A180" s="11" t="s">
        <v>781</v>
      </c>
      <c r="B180" s="11" t="s">
        <v>825</v>
      </c>
      <c r="C180" s="11" t="s">
        <v>783</v>
      </c>
      <c r="D180" s="11" t="s">
        <v>784</v>
      </c>
      <c r="E180" s="11" t="s">
        <v>194</v>
      </c>
      <c r="F180" s="11" t="n">
        <v>100</v>
      </c>
      <c r="G180" s="11"/>
      <c r="H180" s="12"/>
      <c r="I180" s="12"/>
      <c r="J180" s="11"/>
      <c r="K180" s="13" t="n">
        <v>762.19</v>
      </c>
      <c r="L180" s="13"/>
      <c r="M180" s="11"/>
      <c r="N180" s="11"/>
      <c r="O180" s="12"/>
      <c r="P180" s="11"/>
      <c r="Q180" s="12"/>
      <c r="R180" s="11" t="s">
        <v>115</v>
      </c>
      <c r="S180" s="11" t="s">
        <v>234</v>
      </c>
      <c r="T180" s="11" t="s">
        <v>126</v>
      </c>
      <c r="U180" s="14" t="s">
        <v>832</v>
      </c>
      <c r="V180" s="14" t="s">
        <v>827</v>
      </c>
      <c r="W180" s="14" t="s">
        <v>833</v>
      </c>
      <c r="X180" s="11" t="s">
        <v>79</v>
      </c>
      <c r="Y180" s="11" t="s">
        <v>829</v>
      </c>
    </row>
    <row r="181" customFormat="false" ht="46.25" hidden="false" customHeight="false" outlineLevel="0" collapsed="false">
      <c r="A181" s="11" t="s">
        <v>781</v>
      </c>
      <c r="B181" s="11" t="s">
        <v>825</v>
      </c>
      <c r="C181" s="11" t="s">
        <v>790</v>
      </c>
      <c r="D181" s="11" t="s">
        <v>791</v>
      </c>
      <c r="E181" s="11" t="s">
        <v>113</v>
      </c>
      <c r="F181" s="11" t="n">
        <v>75</v>
      </c>
      <c r="G181" s="11"/>
      <c r="H181" s="12"/>
      <c r="I181" s="12"/>
      <c r="J181" s="11"/>
      <c r="K181" s="13" t="n">
        <v>216.11</v>
      </c>
      <c r="L181" s="13"/>
      <c r="M181" s="11"/>
      <c r="N181" s="11"/>
      <c r="O181" s="12"/>
      <c r="P181" s="11"/>
      <c r="Q181" s="12"/>
      <c r="R181" s="11" t="s">
        <v>115</v>
      </c>
      <c r="S181" s="11" t="s">
        <v>205</v>
      </c>
      <c r="T181" s="11" t="s">
        <v>126</v>
      </c>
      <c r="U181" s="14" t="s">
        <v>834</v>
      </c>
      <c r="V181" s="14" t="s">
        <v>827</v>
      </c>
      <c r="W181" s="14" t="s">
        <v>835</v>
      </c>
      <c r="X181" s="11" t="s">
        <v>120</v>
      </c>
      <c r="Y181" s="11" t="s">
        <v>829</v>
      </c>
    </row>
    <row r="182" customFormat="false" ht="23.85" hidden="false" customHeight="false" outlineLevel="0" collapsed="false">
      <c r="A182" s="11" t="s">
        <v>836</v>
      </c>
      <c r="B182" s="11" t="s">
        <v>837</v>
      </c>
      <c r="C182" s="11" t="s">
        <v>86</v>
      </c>
      <c r="D182" s="11" t="s">
        <v>26</v>
      </c>
      <c r="E182" s="11" t="s">
        <v>113</v>
      </c>
      <c r="F182" s="11" t="n">
        <v>250</v>
      </c>
      <c r="G182" s="11"/>
      <c r="H182" s="12"/>
      <c r="I182" s="12"/>
      <c r="J182" s="11"/>
      <c r="K182" s="13" t="n">
        <v>305.06</v>
      </c>
      <c r="L182" s="13"/>
      <c r="M182" s="11"/>
      <c r="N182" s="11"/>
      <c r="O182" s="12"/>
      <c r="P182" s="11"/>
      <c r="Q182" s="12"/>
      <c r="R182" s="11" t="s">
        <v>73</v>
      </c>
      <c r="S182" s="11" t="s">
        <v>234</v>
      </c>
      <c r="T182" s="11" t="s">
        <v>126</v>
      </c>
      <c r="U182" s="14" t="s">
        <v>838</v>
      </c>
      <c r="V182" s="14" t="s">
        <v>839</v>
      </c>
      <c r="W182" s="14" t="s">
        <v>840</v>
      </c>
      <c r="X182" s="11" t="s">
        <v>79</v>
      </c>
      <c r="Y182" s="11" t="s">
        <v>841</v>
      </c>
    </row>
    <row r="183" customFormat="false" ht="57.45" hidden="false" customHeight="false" outlineLevel="0" collapsed="false">
      <c r="A183" s="11" t="s">
        <v>836</v>
      </c>
      <c r="B183" s="11" t="s">
        <v>842</v>
      </c>
      <c r="C183" s="11" t="s">
        <v>86</v>
      </c>
      <c r="D183" s="11" t="s">
        <v>26</v>
      </c>
      <c r="E183" s="11" t="s">
        <v>113</v>
      </c>
      <c r="F183" s="11" t="n">
        <v>150</v>
      </c>
      <c r="G183" s="11"/>
      <c r="H183" s="12"/>
      <c r="I183" s="12"/>
      <c r="J183" s="11"/>
      <c r="K183" s="13" t="n">
        <v>225.07</v>
      </c>
      <c r="L183" s="13"/>
      <c r="M183" s="11"/>
      <c r="N183" s="11"/>
      <c r="O183" s="12"/>
      <c r="P183" s="11"/>
      <c r="Q183" s="12"/>
      <c r="R183" s="11" t="s">
        <v>115</v>
      </c>
      <c r="S183" s="11" t="s">
        <v>205</v>
      </c>
      <c r="T183" s="11" t="s">
        <v>126</v>
      </c>
      <c r="U183" s="14" t="s">
        <v>843</v>
      </c>
      <c r="V183" s="14" t="s">
        <v>844</v>
      </c>
      <c r="W183" s="14" t="s">
        <v>845</v>
      </c>
      <c r="X183" s="11" t="s">
        <v>79</v>
      </c>
      <c r="Y183" s="11" t="s">
        <v>846</v>
      </c>
    </row>
    <row r="184" customFormat="false" ht="46.25" hidden="false" customHeight="false" outlineLevel="0" collapsed="false">
      <c r="A184" s="11" t="s">
        <v>836</v>
      </c>
      <c r="B184" s="11" t="s">
        <v>842</v>
      </c>
      <c r="C184" s="11" t="s">
        <v>86</v>
      </c>
      <c r="D184" s="11" t="s">
        <v>26</v>
      </c>
      <c r="E184" s="11" t="s">
        <v>113</v>
      </c>
      <c r="F184" s="11" t="n">
        <v>150</v>
      </c>
      <c r="G184" s="11"/>
      <c r="H184" s="12"/>
      <c r="I184" s="12"/>
      <c r="J184" s="11"/>
      <c r="K184" s="13" t="n">
        <v>281.65</v>
      </c>
      <c r="L184" s="13"/>
      <c r="M184" s="11"/>
      <c r="N184" s="11"/>
      <c r="O184" s="12"/>
      <c r="P184" s="11"/>
      <c r="Q184" s="12"/>
      <c r="R184" s="11" t="s">
        <v>115</v>
      </c>
      <c r="S184" s="11" t="s">
        <v>205</v>
      </c>
      <c r="T184" s="11" t="s">
        <v>126</v>
      </c>
      <c r="U184" s="14" t="s">
        <v>847</v>
      </c>
      <c r="V184" s="14" t="s">
        <v>844</v>
      </c>
      <c r="W184" s="14" t="s">
        <v>848</v>
      </c>
      <c r="X184" s="11" t="s">
        <v>79</v>
      </c>
      <c r="Y184" s="11" t="s">
        <v>846</v>
      </c>
    </row>
    <row r="185" customFormat="false" ht="46.25" hidden="false" customHeight="false" outlineLevel="0" collapsed="false">
      <c r="A185" s="11" t="s">
        <v>836</v>
      </c>
      <c r="B185" s="11" t="s">
        <v>842</v>
      </c>
      <c r="C185" s="11" t="s">
        <v>86</v>
      </c>
      <c r="D185" s="11" t="s">
        <v>26</v>
      </c>
      <c r="E185" s="11" t="s">
        <v>113</v>
      </c>
      <c r="F185" s="11" t="n">
        <v>150</v>
      </c>
      <c r="G185" s="11"/>
      <c r="H185" s="12"/>
      <c r="I185" s="12"/>
      <c r="J185" s="11"/>
      <c r="K185" s="13" t="n">
        <v>219.32</v>
      </c>
      <c r="L185" s="13"/>
      <c r="M185" s="11"/>
      <c r="N185" s="11"/>
      <c r="O185" s="12"/>
      <c r="P185" s="11"/>
      <c r="Q185" s="12"/>
      <c r="R185" s="11" t="s">
        <v>115</v>
      </c>
      <c r="S185" s="11" t="s">
        <v>205</v>
      </c>
      <c r="T185" s="11" t="s">
        <v>126</v>
      </c>
      <c r="U185" s="14" t="s">
        <v>849</v>
      </c>
      <c r="V185" s="14" t="s">
        <v>844</v>
      </c>
      <c r="W185" s="14" t="s">
        <v>850</v>
      </c>
      <c r="X185" s="11" t="s">
        <v>79</v>
      </c>
      <c r="Y185" s="11" t="s">
        <v>846</v>
      </c>
    </row>
    <row r="186" customFormat="false" ht="68.65" hidden="false" customHeight="false" outlineLevel="0" collapsed="false">
      <c r="A186" s="11" t="s">
        <v>836</v>
      </c>
      <c r="B186" s="11" t="s">
        <v>842</v>
      </c>
      <c r="C186" s="11" t="s">
        <v>86</v>
      </c>
      <c r="D186" s="11" t="s">
        <v>26</v>
      </c>
      <c r="E186" s="11" t="s">
        <v>113</v>
      </c>
      <c r="F186" s="11" t="n">
        <v>250</v>
      </c>
      <c r="G186" s="11"/>
      <c r="H186" s="12" t="n">
        <v>63477.6</v>
      </c>
      <c r="I186" s="12" t="n">
        <v>64252.2</v>
      </c>
      <c r="J186" s="11" t="s">
        <v>156</v>
      </c>
      <c r="K186" s="13" t="n">
        <v>280.95</v>
      </c>
      <c r="L186" s="13"/>
      <c r="M186" s="11"/>
      <c r="N186" s="11"/>
      <c r="O186" s="12"/>
      <c r="P186" s="11"/>
      <c r="Q186" s="12"/>
      <c r="R186" s="11" t="s">
        <v>73</v>
      </c>
      <c r="S186" s="11" t="s">
        <v>234</v>
      </c>
      <c r="T186" s="11" t="s">
        <v>126</v>
      </c>
      <c r="U186" s="14" t="s">
        <v>851</v>
      </c>
      <c r="V186" s="14" t="s">
        <v>844</v>
      </c>
      <c r="W186" s="14" t="s">
        <v>852</v>
      </c>
      <c r="X186" s="11" t="s">
        <v>79</v>
      </c>
      <c r="Y186" s="11" t="s">
        <v>846</v>
      </c>
    </row>
    <row r="187" customFormat="false" ht="68.65" hidden="false" customHeight="false" outlineLevel="0" collapsed="false">
      <c r="A187" s="11" t="s">
        <v>836</v>
      </c>
      <c r="B187" s="11" t="s">
        <v>842</v>
      </c>
      <c r="C187" s="11" t="s">
        <v>86</v>
      </c>
      <c r="D187" s="11" t="s">
        <v>26</v>
      </c>
      <c r="E187" s="11" t="s">
        <v>113</v>
      </c>
      <c r="F187" s="11" t="n">
        <v>250</v>
      </c>
      <c r="G187" s="11"/>
      <c r="H187" s="12" t="n">
        <v>62805</v>
      </c>
      <c r="I187" s="12" t="n">
        <v>63582.5</v>
      </c>
      <c r="J187" s="11" t="s">
        <v>156</v>
      </c>
      <c r="K187" s="13" t="n">
        <v>284.66</v>
      </c>
      <c r="L187" s="13"/>
      <c r="M187" s="11"/>
      <c r="N187" s="11"/>
      <c r="O187" s="12"/>
      <c r="P187" s="11"/>
      <c r="Q187" s="12"/>
      <c r="R187" s="11" t="s">
        <v>73</v>
      </c>
      <c r="S187" s="11" t="s">
        <v>234</v>
      </c>
      <c r="T187" s="11" t="s">
        <v>126</v>
      </c>
      <c r="U187" s="14" t="s">
        <v>853</v>
      </c>
      <c r="V187" s="14" t="s">
        <v>844</v>
      </c>
      <c r="W187" s="14" t="s">
        <v>854</v>
      </c>
      <c r="X187" s="11" t="s">
        <v>79</v>
      </c>
      <c r="Y187" s="11" t="s">
        <v>846</v>
      </c>
    </row>
    <row r="188" customFormat="false" ht="79.85" hidden="false" customHeight="false" outlineLevel="0" collapsed="false">
      <c r="A188" s="11" t="s">
        <v>836</v>
      </c>
      <c r="B188" s="11" t="s">
        <v>842</v>
      </c>
      <c r="C188" s="11" t="s">
        <v>86</v>
      </c>
      <c r="D188" s="11" t="s">
        <v>26</v>
      </c>
      <c r="E188" s="11" t="s">
        <v>113</v>
      </c>
      <c r="F188" s="11" t="n">
        <v>250</v>
      </c>
      <c r="G188" s="11"/>
      <c r="H188" s="12" t="n">
        <v>62141.4</v>
      </c>
      <c r="I188" s="12" t="n">
        <v>62668.4</v>
      </c>
      <c r="J188" s="11" t="s">
        <v>156</v>
      </c>
      <c r="K188" s="13" t="n">
        <v>197.68</v>
      </c>
      <c r="L188" s="13"/>
      <c r="M188" s="11"/>
      <c r="N188" s="11"/>
      <c r="O188" s="12"/>
      <c r="P188" s="11"/>
      <c r="Q188" s="12"/>
      <c r="R188" s="11" t="s">
        <v>73</v>
      </c>
      <c r="S188" s="11" t="s">
        <v>234</v>
      </c>
      <c r="T188" s="11" t="s">
        <v>126</v>
      </c>
      <c r="U188" s="14" t="s">
        <v>855</v>
      </c>
      <c r="V188" s="14" t="s">
        <v>844</v>
      </c>
      <c r="W188" s="14" t="s">
        <v>856</v>
      </c>
      <c r="X188" s="11" t="s">
        <v>79</v>
      </c>
      <c r="Y188" s="11" t="s">
        <v>846</v>
      </c>
    </row>
    <row r="189" customFormat="false" ht="79.85" hidden="false" customHeight="false" outlineLevel="0" collapsed="false">
      <c r="A189" s="11" t="s">
        <v>836</v>
      </c>
      <c r="B189" s="11" t="s">
        <v>842</v>
      </c>
      <c r="C189" s="11" t="s">
        <v>86</v>
      </c>
      <c r="D189" s="11" t="s">
        <v>26</v>
      </c>
      <c r="E189" s="11" t="s">
        <v>194</v>
      </c>
      <c r="F189" s="11" t="n">
        <v>250</v>
      </c>
      <c r="G189" s="11"/>
      <c r="H189" s="12" t="n">
        <v>63068</v>
      </c>
      <c r="I189" s="12" t="n">
        <v>62699.6</v>
      </c>
      <c r="J189" s="11" t="s">
        <v>156</v>
      </c>
      <c r="K189" s="13" t="n">
        <v>135.5</v>
      </c>
      <c r="L189" s="13"/>
      <c r="M189" s="11"/>
      <c r="N189" s="11"/>
      <c r="O189" s="12"/>
      <c r="P189" s="11"/>
      <c r="Q189" s="12"/>
      <c r="R189" s="11" t="s">
        <v>73</v>
      </c>
      <c r="S189" s="11" t="s">
        <v>234</v>
      </c>
      <c r="T189" s="11" t="s">
        <v>126</v>
      </c>
      <c r="U189" s="14" t="s">
        <v>857</v>
      </c>
      <c r="V189" s="14" t="s">
        <v>844</v>
      </c>
      <c r="W189" s="14" t="s">
        <v>858</v>
      </c>
      <c r="X189" s="11" t="s">
        <v>79</v>
      </c>
      <c r="Y189" s="11" t="s">
        <v>846</v>
      </c>
    </row>
    <row r="190" customFormat="false" ht="68.65" hidden="false" customHeight="false" outlineLevel="0" collapsed="false">
      <c r="A190" s="11" t="s">
        <v>836</v>
      </c>
      <c r="B190" s="11" t="s">
        <v>842</v>
      </c>
      <c r="C190" s="11" t="s">
        <v>86</v>
      </c>
      <c r="D190" s="11" t="s">
        <v>26</v>
      </c>
      <c r="E190" s="11" t="s">
        <v>113</v>
      </c>
      <c r="F190" s="11" t="n">
        <v>250</v>
      </c>
      <c r="G190" s="11"/>
      <c r="H190" s="12" t="n">
        <v>62314.4</v>
      </c>
      <c r="I190" s="12" t="n">
        <v>63552.2</v>
      </c>
      <c r="J190" s="11" t="s">
        <v>156</v>
      </c>
      <c r="K190" s="13" t="n">
        <v>463.21</v>
      </c>
      <c r="L190" s="13"/>
      <c r="M190" s="11"/>
      <c r="N190" s="11"/>
      <c r="O190" s="12"/>
      <c r="P190" s="11"/>
      <c r="Q190" s="12"/>
      <c r="R190" s="11" t="s">
        <v>73</v>
      </c>
      <c r="S190" s="11" t="s">
        <v>234</v>
      </c>
      <c r="T190" s="11" t="s">
        <v>126</v>
      </c>
      <c r="U190" s="14" t="s">
        <v>859</v>
      </c>
      <c r="V190" s="14" t="s">
        <v>844</v>
      </c>
      <c r="W190" s="14" t="s">
        <v>860</v>
      </c>
      <c r="X190" s="11" t="s">
        <v>79</v>
      </c>
      <c r="Y190" s="11" t="s">
        <v>846</v>
      </c>
    </row>
    <row r="191" customFormat="false" ht="79.85" hidden="false" customHeight="false" outlineLevel="0" collapsed="false">
      <c r="A191" s="11" t="s">
        <v>836</v>
      </c>
      <c r="B191" s="11" t="s">
        <v>842</v>
      </c>
      <c r="C191" s="11" t="s">
        <v>86</v>
      </c>
      <c r="D191" s="11" t="s">
        <v>26</v>
      </c>
      <c r="E191" s="11" t="s">
        <v>113</v>
      </c>
      <c r="F191" s="11" t="n">
        <v>250</v>
      </c>
      <c r="G191" s="11"/>
      <c r="H191" s="12" t="n">
        <v>63094.1</v>
      </c>
      <c r="I191" s="12" t="n">
        <v>64082.2</v>
      </c>
      <c r="J191" s="11" t="s">
        <v>156</v>
      </c>
      <c r="K191" s="13" t="n">
        <v>363.26</v>
      </c>
      <c r="L191" s="13"/>
      <c r="M191" s="11"/>
      <c r="N191" s="11"/>
      <c r="O191" s="12"/>
      <c r="P191" s="11"/>
      <c r="Q191" s="12"/>
      <c r="R191" s="11" t="s">
        <v>73</v>
      </c>
      <c r="S191" s="11" t="s">
        <v>234</v>
      </c>
      <c r="T191" s="11" t="s">
        <v>126</v>
      </c>
      <c r="U191" s="14" t="s">
        <v>861</v>
      </c>
      <c r="V191" s="14" t="s">
        <v>844</v>
      </c>
      <c r="W191" s="14" t="s">
        <v>862</v>
      </c>
      <c r="X191" s="11" t="s">
        <v>79</v>
      </c>
      <c r="Y191" s="11" t="s">
        <v>846</v>
      </c>
    </row>
    <row r="192" customFormat="false" ht="68.65" hidden="false" customHeight="false" outlineLevel="0" collapsed="false">
      <c r="A192" s="11" t="s">
        <v>836</v>
      </c>
      <c r="B192" s="11" t="s">
        <v>842</v>
      </c>
      <c r="C192" s="11" t="s">
        <v>86</v>
      </c>
      <c r="D192" s="11" t="s">
        <v>26</v>
      </c>
      <c r="E192" s="11" t="s">
        <v>113</v>
      </c>
      <c r="F192" s="11" t="n">
        <v>250</v>
      </c>
      <c r="G192" s="11"/>
      <c r="H192" s="12" t="n">
        <v>63094.1</v>
      </c>
      <c r="I192" s="12" t="n">
        <v>64082.2</v>
      </c>
      <c r="J192" s="11" t="s">
        <v>156</v>
      </c>
      <c r="K192" s="13" t="n">
        <v>363.26</v>
      </c>
      <c r="L192" s="13"/>
      <c r="M192" s="11"/>
      <c r="N192" s="11"/>
      <c r="O192" s="12"/>
      <c r="P192" s="11"/>
      <c r="Q192" s="12"/>
      <c r="R192" s="11" t="s">
        <v>73</v>
      </c>
      <c r="S192" s="11" t="s">
        <v>234</v>
      </c>
      <c r="T192" s="11" t="s">
        <v>126</v>
      </c>
      <c r="U192" s="14" t="s">
        <v>863</v>
      </c>
      <c r="V192" s="14" t="s">
        <v>844</v>
      </c>
      <c r="W192" s="14" t="s">
        <v>864</v>
      </c>
      <c r="X192" s="11" t="s">
        <v>79</v>
      </c>
      <c r="Y192" s="11" t="s">
        <v>846</v>
      </c>
    </row>
    <row r="193" customFormat="false" ht="46.25" hidden="false" customHeight="false" outlineLevel="0" collapsed="false">
      <c r="A193" s="11" t="s">
        <v>865</v>
      </c>
      <c r="B193" s="11" t="s">
        <v>866</v>
      </c>
      <c r="C193" s="11" t="s">
        <v>86</v>
      </c>
      <c r="D193" s="11" t="s">
        <v>26</v>
      </c>
      <c r="E193" s="11" t="s">
        <v>113</v>
      </c>
      <c r="F193" s="11" t="n">
        <v>250</v>
      </c>
      <c r="G193" s="11"/>
      <c r="H193" s="12"/>
      <c r="I193" s="12"/>
      <c r="J193" s="11"/>
      <c r="K193" s="13" t="n">
        <v>228.9</v>
      </c>
      <c r="L193" s="13"/>
      <c r="M193" s="11"/>
      <c r="N193" s="11"/>
      <c r="O193" s="12"/>
      <c r="P193" s="11"/>
      <c r="Q193" s="12"/>
      <c r="R193" s="11" t="s">
        <v>73</v>
      </c>
      <c r="S193" s="11" t="s">
        <v>234</v>
      </c>
      <c r="T193" s="11" t="s">
        <v>126</v>
      </c>
      <c r="U193" s="14" t="s">
        <v>867</v>
      </c>
      <c r="V193" s="14" t="s">
        <v>868</v>
      </c>
      <c r="W193" s="14" t="s">
        <v>869</v>
      </c>
      <c r="X193" s="11" t="s">
        <v>79</v>
      </c>
      <c r="Y193" s="11" t="s">
        <v>870</v>
      </c>
    </row>
    <row r="194" customFormat="false" ht="68.65" hidden="false" customHeight="false" outlineLevel="0" collapsed="false">
      <c r="A194" s="11" t="s">
        <v>871</v>
      </c>
      <c r="B194" s="11" t="s">
        <v>872</v>
      </c>
      <c r="C194" s="11" t="s">
        <v>86</v>
      </c>
      <c r="D194" s="11" t="s">
        <v>26</v>
      </c>
      <c r="E194" s="11" t="s">
        <v>113</v>
      </c>
      <c r="F194" s="11" t="n">
        <v>250</v>
      </c>
      <c r="G194" s="11"/>
      <c r="H194" s="12" t="n">
        <v>63094.1</v>
      </c>
      <c r="I194" s="12"/>
      <c r="J194" s="11"/>
      <c r="K194" s="13" t="n">
        <v>363.26</v>
      </c>
      <c r="L194" s="13"/>
      <c r="M194" s="11"/>
      <c r="N194" s="11"/>
      <c r="O194" s="12"/>
      <c r="P194" s="11"/>
      <c r="Q194" s="12"/>
      <c r="R194" s="11" t="s">
        <v>114</v>
      </c>
      <c r="S194" s="11" t="s">
        <v>234</v>
      </c>
      <c r="T194" s="11" t="s">
        <v>126</v>
      </c>
      <c r="U194" s="14" t="s">
        <v>873</v>
      </c>
      <c r="V194" s="14"/>
      <c r="W194" s="14" t="s">
        <v>874</v>
      </c>
      <c r="X194" s="11" t="s">
        <v>120</v>
      </c>
      <c r="Y194" s="11" t="s">
        <v>875</v>
      </c>
    </row>
    <row r="195" customFormat="false" ht="46.25" hidden="false" customHeight="false" outlineLevel="0" collapsed="false">
      <c r="A195" s="11" t="s">
        <v>871</v>
      </c>
      <c r="B195" s="11" t="s">
        <v>876</v>
      </c>
      <c r="C195" s="11" t="s">
        <v>877</v>
      </c>
      <c r="D195" s="11" t="s">
        <v>878</v>
      </c>
      <c r="E195" s="11" t="s">
        <v>194</v>
      </c>
      <c r="F195" s="11" t="n">
        <v>100</v>
      </c>
      <c r="G195" s="11"/>
      <c r="H195" s="12"/>
      <c r="I195" s="12"/>
      <c r="J195" s="11"/>
      <c r="K195" s="13" t="n">
        <v>450.98</v>
      </c>
      <c r="L195" s="13"/>
      <c r="M195" s="11"/>
      <c r="N195" s="11"/>
      <c r="O195" s="12"/>
      <c r="P195" s="11"/>
      <c r="Q195" s="12"/>
      <c r="R195" s="11" t="s">
        <v>73</v>
      </c>
      <c r="S195" s="11" t="s">
        <v>234</v>
      </c>
      <c r="T195" s="11" t="s">
        <v>126</v>
      </c>
      <c r="U195" s="14" t="s">
        <v>879</v>
      </c>
      <c r="V195" s="14"/>
      <c r="W195" s="14" t="s">
        <v>880</v>
      </c>
      <c r="X195" s="11" t="s">
        <v>79</v>
      </c>
      <c r="Y195" s="11" t="s">
        <v>881</v>
      </c>
    </row>
    <row r="196" customFormat="false" ht="91" hidden="false" customHeight="false" outlineLevel="0" collapsed="false">
      <c r="A196" s="11" t="s">
        <v>871</v>
      </c>
      <c r="B196" s="11" t="s">
        <v>882</v>
      </c>
      <c r="C196" s="11" t="s">
        <v>883</v>
      </c>
      <c r="D196" s="11" t="s">
        <v>884</v>
      </c>
      <c r="E196" s="11" t="s">
        <v>113</v>
      </c>
      <c r="F196" s="11"/>
      <c r="G196" s="11"/>
      <c r="H196" s="12"/>
      <c r="I196" s="12"/>
      <c r="J196" s="11"/>
      <c r="K196" s="13"/>
      <c r="L196" s="13"/>
      <c r="M196" s="11"/>
      <c r="N196" s="11"/>
      <c r="O196" s="12"/>
      <c r="P196" s="11" t="s">
        <v>885</v>
      </c>
      <c r="Q196" s="12"/>
      <c r="R196" s="11" t="s">
        <v>325</v>
      </c>
      <c r="S196" s="11" t="s">
        <v>74</v>
      </c>
      <c r="T196" s="11" t="s">
        <v>75</v>
      </c>
      <c r="U196" s="14" t="s">
        <v>886</v>
      </c>
      <c r="V196" s="14" t="s">
        <v>887</v>
      </c>
      <c r="W196" s="14" t="s">
        <v>888</v>
      </c>
      <c r="X196" s="11" t="s">
        <v>79</v>
      </c>
      <c r="Y196" s="11" t="s">
        <v>889</v>
      </c>
    </row>
    <row r="197" customFormat="false" ht="35.05" hidden="false" customHeight="false" outlineLevel="0" collapsed="false">
      <c r="A197" s="11" t="s">
        <v>871</v>
      </c>
      <c r="B197" s="11" t="s">
        <v>890</v>
      </c>
      <c r="C197" s="11" t="s">
        <v>891</v>
      </c>
      <c r="D197" s="11" t="s">
        <v>892</v>
      </c>
      <c r="E197" s="11" t="s">
        <v>113</v>
      </c>
      <c r="F197" s="11" t="n">
        <v>75</v>
      </c>
      <c r="G197" s="11"/>
      <c r="H197" s="12" t="n">
        <v>0.0391</v>
      </c>
      <c r="I197" s="12" t="n">
        <v>0.04062</v>
      </c>
      <c r="J197" s="11" t="s">
        <v>156</v>
      </c>
      <c r="K197" s="13" t="n">
        <v>292.53</v>
      </c>
      <c r="L197" s="13"/>
      <c r="M197" s="11"/>
      <c r="N197" s="11"/>
      <c r="O197" s="12"/>
      <c r="P197" s="11"/>
      <c r="Q197" s="12"/>
      <c r="R197" s="11" t="s">
        <v>73</v>
      </c>
      <c r="S197" s="11" t="s">
        <v>205</v>
      </c>
      <c r="T197" s="11" t="s">
        <v>126</v>
      </c>
      <c r="U197" s="14" t="s">
        <v>893</v>
      </c>
      <c r="V197" s="14" t="s">
        <v>894</v>
      </c>
      <c r="W197" s="14" t="s">
        <v>895</v>
      </c>
      <c r="X197" s="11" t="s">
        <v>79</v>
      </c>
      <c r="Y197" s="11" t="s">
        <v>896</v>
      </c>
    </row>
    <row r="198" customFormat="false" ht="91" hidden="false" customHeight="false" outlineLevel="0" collapsed="false">
      <c r="A198" s="11" t="s">
        <v>897</v>
      </c>
      <c r="B198" s="11" t="s">
        <v>898</v>
      </c>
      <c r="C198" s="11" t="s">
        <v>599</v>
      </c>
      <c r="D198" s="11" t="s">
        <v>600</v>
      </c>
      <c r="E198" s="11" t="s">
        <v>113</v>
      </c>
      <c r="F198" s="11" t="n">
        <v>90</v>
      </c>
      <c r="G198" s="11"/>
      <c r="H198" s="12" t="n">
        <v>1.761</v>
      </c>
      <c r="I198" s="12" t="n">
        <v>1.779</v>
      </c>
      <c r="J198" s="11" t="s">
        <v>156</v>
      </c>
      <c r="K198" s="13" t="n">
        <v>91.99</v>
      </c>
      <c r="L198" s="13"/>
      <c r="M198" s="11"/>
      <c r="N198" s="11"/>
      <c r="O198" s="12"/>
      <c r="P198" s="11"/>
      <c r="Q198" s="12"/>
      <c r="R198" s="11" t="s">
        <v>73</v>
      </c>
      <c r="S198" s="11" t="s">
        <v>205</v>
      </c>
      <c r="T198" s="11" t="s">
        <v>126</v>
      </c>
      <c r="U198" s="14" t="s">
        <v>899</v>
      </c>
      <c r="V198" s="14" t="s">
        <v>900</v>
      </c>
      <c r="W198" s="14" t="s">
        <v>901</v>
      </c>
      <c r="X198" s="11" t="s">
        <v>79</v>
      </c>
      <c r="Y198" s="11" t="s">
        <v>902</v>
      </c>
    </row>
    <row r="199" customFormat="false" ht="46.25" hidden="false" customHeight="false" outlineLevel="0" collapsed="false">
      <c r="A199" s="11" t="s">
        <v>897</v>
      </c>
      <c r="B199" s="11" t="s">
        <v>903</v>
      </c>
      <c r="C199" s="11" t="s">
        <v>86</v>
      </c>
      <c r="D199" s="11" t="s">
        <v>26</v>
      </c>
      <c r="E199" s="11" t="s">
        <v>194</v>
      </c>
      <c r="F199" s="11" t="n">
        <v>250</v>
      </c>
      <c r="G199" s="11"/>
      <c r="H199" s="12"/>
      <c r="I199" s="12"/>
      <c r="J199" s="11"/>
      <c r="K199" s="13" t="n">
        <v>160.49</v>
      </c>
      <c r="L199" s="13"/>
      <c r="M199" s="11"/>
      <c r="N199" s="11"/>
      <c r="O199" s="12"/>
      <c r="P199" s="11"/>
      <c r="Q199" s="12"/>
      <c r="R199" s="11" t="s">
        <v>73</v>
      </c>
      <c r="S199" s="11" t="s">
        <v>234</v>
      </c>
      <c r="T199" s="11" t="s">
        <v>126</v>
      </c>
      <c r="U199" s="14" t="s">
        <v>904</v>
      </c>
      <c r="V199" s="14" t="s">
        <v>905</v>
      </c>
      <c r="W199" s="14" t="s">
        <v>906</v>
      </c>
      <c r="X199" s="11" t="s">
        <v>79</v>
      </c>
      <c r="Y199" s="11" t="s">
        <v>907</v>
      </c>
    </row>
    <row r="200" customFormat="false" ht="46.25" hidden="false" customHeight="false" outlineLevel="0" collapsed="false">
      <c r="A200" s="11" t="s">
        <v>897</v>
      </c>
      <c r="B200" s="11" t="s">
        <v>908</v>
      </c>
      <c r="C200" s="11" t="s">
        <v>86</v>
      </c>
      <c r="D200" s="11" t="s">
        <v>26</v>
      </c>
      <c r="E200" s="11" t="s">
        <v>194</v>
      </c>
      <c r="F200" s="11" t="n">
        <v>150</v>
      </c>
      <c r="G200" s="11"/>
      <c r="H200" s="12" t="n">
        <v>67119.9</v>
      </c>
      <c r="I200" s="12" t="n">
        <v>65634.5</v>
      </c>
      <c r="J200" s="11" t="s">
        <v>156</v>
      </c>
      <c r="K200" s="13" t="n">
        <v>331.94</v>
      </c>
      <c r="L200" s="13"/>
      <c r="M200" s="11"/>
      <c r="N200" s="11"/>
      <c r="O200" s="12"/>
      <c r="P200" s="11"/>
      <c r="Q200" s="12"/>
      <c r="R200" s="11" t="s">
        <v>73</v>
      </c>
      <c r="S200" s="11" t="s">
        <v>205</v>
      </c>
      <c r="T200" s="11" t="s">
        <v>126</v>
      </c>
      <c r="U200" s="14" t="s">
        <v>909</v>
      </c>
      <c r="V200" s="14" t="s">
        <v>910</v>
      </c>
      <c r="W200" s="14" t="s">
        <v>911</v>
      </c>
      <c r="X200" s="11" t="s">
        <v>79</v>
      </c>
      <c r="Y200" s="11" t="s">
        <v>912</v>
      </c>
    </row>
    <row r="201" customFormat="false" ht="147" hidden="false" customHeight="false" outlineLevel="0" collapsed="false">
      <c r="A201" s="11" t="s">
        <v>897</v>
      </c>
      <c r="B201" s="11" t="s">
        <v>913</v>
      </c>
      <c r="C201" s="11" t="s">
        <v>92</v>
      </c>
      <c r="D201" s="11" t="s">
        <v>30</v>
      </c>
      <c r="E201" s="11" t="s">
        <v>113</v>
      </c>
      <c r="F201" s="11"/>
      <c r="G201" s="11"/>
      <c r="H201" s="12" t="n">
        <v>60</v>
      </c>
      <c r="I201" s="12"/>
      <c r="J201" s="11"/>
      <c r="K201" s="13" t="n">
        <v>21.66</v>
      </c>
      <c r="L201" s="13"/>
      <c r="M201" s="11"/>
      <c r="N201" s="11"/>
      <c r="O201" s="12"/>
      <c r="P201" s="11"/>
      <c r="Q201" s="12"/>
      <c r="R201" s="11" t="s">
        <v>114</v>
      </c>
      <c r="S201" s="11" t="s">
        <v>74</v>
      </c>
      <c r="T201" s="11" t="s">
        <v>75</v>
      </c>
      <c r="U201" s="14" t="s">
        <v>914</v>
      </c>
      <c r="V201" s="14" t="s">
        <v>915</v>
      </c>
      <c r="W201" s="14" t="s">
        <v>916</v>
      </c>
      <c r="X201" s="11" t="s">
        <v>79</v>
      </c>
      <c r="Y201" s="11" t="s">
        <v>917</v>
      </c>
    </row>
    <row r="202" customFormat="false" ht="57.45" hidden="false" customHeight="false" outlineLevel="0" collapsed="false">
      <c r="A202" s="11" t="s">
        <v>897</v>
      </c>
      <c r="B202" s="11" t="s">
        <v>918</v>
      </c>
      <c r="C202" s="11" t="s">
        <v>919</v>
      </c>
      <c r="D202" s="11" t="s">
        <v>920</v>
      </c>
      <c r="E202" s="11" t="s">
        <v>194</v>
      </c>
      <c r="F202" s="11" t="n">
        <v>10</v>
      </c>
      <c r="G202" s="11"/>
      <c r="H202" s="12" t="n">
        <v>0.01631</v>
      </c>
      <c r="I202" s="12" t="n">
        <v>0.01515</v>
      </c>
      <c r="J202" s="11" t="s">
        <v>135</v>
      </c>
      <c r="K202" s="13" t="n">
        <v>71.28</v>
      </c>
      <c r="L202" s="13"/>
      <c r="M202" s="11"/>
      <c r="N202" s="11"/>
      <c r="O202" s="12"/>
      <c r="P202" s="11"/>
      <c r="Q202" s="12"/>
      <c r="R202" s="11" t="s">
        <v>114</v>
      </c>
      <c r="S202" s="11" t="s">
        <v>205</v>
      </c>
      <c r="T202" s="11" t="s">
        <v>126</v>
      </c>
      <c r="U202" s="14" t="s">
        <v>921</v>
      </c>
      <c r="V202" s="14" t="s">
        <v>922</v>
      </c>
      <c r="W202" s="14" t="s">
        <v>923</v>
      </c>
      <c r="X202" s="11" t="s">
        <v>79</v>
      </c>
      <c r="Y202" s="11" t="s">
        <v>924</v>
      </c>
    </row>
    <row r="203" customFormat="false" ht="46.25" hidden="false" customHeight="false" outlineLevel="0" collapsed="false">
      <c r="A203" s="11" t="s">
        <v>925</v>
      </c>
      <c r="B203" s="11" t="s">
        <v>926</v>
      </c>
      <c r="C203" s="11" t="s">
        <v>415</v>
      </c>
      <c r="D203" s="11" t="s">
        <v>33</v>
      </c>
      <c r="E203" s="11" t="s">
        <v>113</v>
      </c>
      <c r="F203" s="11" t="n">
        <v>75</v>
      </c>
      <c r="G203" s="11"/>
      <c r="H203" s="12" t="n">
        <v>0.6545</v>
      </c>
      <c r="I203" s="12" t="n">
        <v>0.7079</v>
      </c>
      <c r="J203" s="11" t="s">
        <v>135</v>
      </c>
      <c r="K203" s="13" t="n">
        <v>611.46</v>
      </c>
      <c r="L203" s="13"/>
      <c r="M203" s="11"/>
      <c r="N203" s="11"/>
      <c r="O203" s="12"/>
      <c r="P203" s="11"/>
      <c r="Q203" s="12"/>
      <c r="R203" s="11" t="s">
        <v>114</v>
      </c>
      <c r="S203" s="11" t="s">
        <v>205</v>
      </c>
      <c r="T203" s="11" t="s">
        <v>126</v>
      </c>
      <c r="U203" s="14" t="s">
        <v>927</v>
      </c>
      <c r="V203" s="14" t="s">
        <v>928</v>
      </c>
      <c r="W203" s="14" t="s">
        <v>929</v>
      </c>
      <c r="X203" s="11" t="s">
        <v>79</v>
      </c>
      <c r="Y203" s="11" t="s">
        <v>930</v>
      </c>
    </row>
    <row r="204" customFormat="false" ht="35.05" hidden="false" customHeight="false" outlineLevel="0" collapsed="false">
      <c r="A204" s="11" t="s">
        <v>925</v>
      </c>
      <c r="B204" s="11" t="s">
        <v>931</v>
      </c>
      <c r="C204" s="11" t="s">
        <v>626</v>
      </c>
      <c r="D204" s="11" t="s">
        <v>36</v>
      </c>
      <c r="E204" s="11" t="s">
        <v>113</v>
      </c>
      <c r="F204" s="11" t="n">
        <v>100</v>
      </c>
      <c r="G204" s="11"/>
      <c r="H204" s="12" t="n">
        <v>249.66</v>
      </c>
      <c r="I204" s="12" t="n">
        <v>256.05</v>
      </c>
      <c r="J204" s="11" t="s">
        <v>135</v>
      </c>
      <c r="K204" s="13" t="n">
        <v>256.08</v>
      </c>
      <c r="L204" s="13"/>
      <c r="M204" s="11"/>
      <c r="N204" s="11"/>
      <c r="O204" s="12"/>
      <c r="P204" s="11"/>
      <c r="Q204" s="12"/>
      <c r="R204" s="11" t="s">
        <v>114</v>
      </c>
      <c r="S204" s="11" t="s">
        <v>205</v>
      </c>
      <c r="T204" s="11" t="s">
        <v>126</v>
      </c>
      <c r="U204" s="14" t="s">
        <v>932</v>
      </c>
      <c r="V204" s="14" t="s">
        <v>933</v>
      </c>
      <c r="W204" s="14" t="s">
        <v>934</v>
      </c>
      <c r="X204" s="11" t="s">
        <v>79</v>
      </c>
      <c r="Y204" s="11" t="s">
        <v>935</v>
      </c>
    </row>
    <row r="205" customFormat="false" ht="68.65" hidden="false" customHeight="false" outlineLevel="0" collapsed="false">
      <c r="A205" s="11" t="s">
        <v>925</v>
      </c>
      <c r="B205" s="11" t="s">
        <v>936</v>
      </c>
      <c r="C205" s="11" t="s">
        <v>86</v>
      </c>
      <c r="D205" s="11" t="s">
        <v>26</v>
      </c>
      <c r="E205" s="11" t="s">
        <v>113</v>
      </c>
      <c r="F205" s="11" t="n">
        <v>150</v>
      </c>
      <c r="G205" s="11"/>
      <c r="H205" s="12" t="n">
        <v>64736.5</v>
      </c>
      <c r="I205" s="12" t="n">
        <v>65257.6</v>
      </c>
      <c r="J205" s="11" t="s">
        <v>232</v>
      </c>
      <c r="K205" s="13" t="n">
        <v>119.18</v>
      </c>
      <c r="L205" s="13"/>
      <c r="M205" s="11"/>
      <c r="N205" s="11"/>
      <c r="O205" s="12"/>
      <c r="P205" s="11"/>
      <c r="Q205" s="12"/>
      <c r="R205" s="11" t="s">
        <v>114</v>
      </c>
      <c r="S205" s="11" t="s">
        <v>937</v>
      </c>
      <c r="T205" s="11" t="s">
        <v>235</v>
      </c>
      <c r="U205" s="14" t="s">
        <v>938</v>
      </c>
      <c r="V205" s="14" t="s">
        <v>939</v>
      </c>
      <c r="W205" s="14" t="s">
        <v>940</v>
      </c>
      <c r="X205" s="11" t="s">
        <v>79</v>
      </c>
      <c r="Y205" s="11" t="s">
        <v>941</v>
      </c>
    </row>
    <row r="206" customFormat="false" ht="46.25" hidden="false" customHeight="false" outlineLevel="0" collapsed="false">
      <c r="A206" s="11" t="s">
        <v>925</v>
      </c>
      <c r="B206" s="11" t="s">
        <v>942</v>
      </c>
      <c r="C206" s="11" t="s">
        <v>86</v>
      </c>
      <c r="D206" s="11" t="s">
        <v>26</v>
      </c>
      <c r="E206" s="11" t="s">
        <v>113</v>
      </c>
      <c r="F206" s="11"/>
      <c r="G206" s="11"/>
      <c r="H206" s="12"/>
      <c r="I206" s="12"/>
      <c r="J206" s="11"/>
      <c r="K206" s="13"/>
      <c r="L206" s="13"/>
      <c r="M206" s="11"/>
      <c r="N206" s="11"/>
      <c r="O206" s="12"/>
      <c r="P206" s="11"/>
      <c r="Q206" s="12"/>
      <c r="R206" s="11" t="s">
        <v>114</v>
      </c>
      <c r="S206" s="11" t="s">
        <v>937</v>
      </c>
      <c r="T206" s="11" t="s">
        <v>235</v>
      </c>
      <c r="U206" s="14" t="s">
        <v>943</v>
      </c>
      <c r="V206" s="14" t="s">
        <v>944</v>
      </c>
      <c r="W206" s="14" t="s">
        <v>945</v>
      </c>
      <c r="X206" s="11" t="s">
        <v>79</v>
      </c>
      <c r="Y206" s="11" t="s">
        <v>946</v>
      </c>
    </row>
    <row r="207" customFormat="false" ht="57.45" hidden="false" customHeight="false" outlineLevel="0" collapsed="false">
      <c r="A207" s="11" t="s">
        <v>925</v>
      </c>
      <c r="B207" s="11" t="s">
        <v>947</v>
      </c>
      <c r="C207" s="11" t="s">
        <v>86</v>
      </c>
      <c r="D207" s="11" t="s">
        <v>26</v>
      </c>
      <c r="E207" s="11" t="s">
        <v>113</v>
      </c>
      <c r="F207" s="11" t="n">
        <v>150</v>
      </c>
      <c r="G207" s="11"/>
      <c r="H207" s="12" t="n">
        <v>64736.5</v>
      </c>
      <c r="I207" s="12" t="n">
        <v>66370.9</v>
      </c>
      <c r="J207" s="11" t="s">
        <v>232</v>
      </c>
      <c r="K207" s="13" t="n">
        <v>367.41</v>
      </c>
      <c r="L207" s="13"/>
      <c r="M207" s="11"/>
      <c r="N207" s="11"/>
      <c r="O207" s="12"/>
      <c r="P207" s="11"/>
      <c r="Q207" s="12"/>
      <c r="R207" s="11" t="s">
        <v>114</v>
      </c>
      <c r="S207" s="11" t="s">
        <v>937</v>
      </c>
      <c r="T207" s="11" t="s">
        <v>126</v>
      </c>
      <c r="U207" s="14" t="s">
        <v>948</v>
      </c>
      <c r="V207" s="14" t="s">
        <v>949</v>
      </c>
      <c r="W207" s="14" t="s">
        <v>950</v>
      </c>
      <c r="X207" s="11" t="s">
        <v>79</v>
      </c>
      <c r="Y207" s="11" t="s">
        <v>951</v>
      </c>
    </row>
    <row r="208" customFormat="false" ht="68.65" hidden="false" customHeight="false" outlineLevel="0" collapsed="false">
      <c r="A208" s="11" t="s">
        <v>952</v>
      </c>
      <c r="B208" s="11" t="s">
        <v>953</v>
      </c>
      <c r="C208" s="11" t="s">
        <v>954</v>
      </c>
      <c r="D208" s="11" t="s">
        <v>955</v>
      </c>
      <c r="E208" s="11" t="s">
        <v>194</v>
      </c>
      <c r="F208" s="11"/>
      <c r="G208" s="11"/>
      <c r="H208" s="12"/>
      <c r="I208" s="12"/>
      <c r="J208" s="11"/>
      <c r="K208" s="13"/>
      <c r="L208" s="13"/>
      <c r="M208" s="11"/>
      <c r="N208" s="11"/>
      <c r="O208" s="12"/>
      <c r="P208" s="11"/>
      <c r="Q208" s="12"/>
      <c r="R208" s="11" t="s">
        <v>325</v>
      </c>
      <c r="S208" s="11" t="s">
        <v>74</v>
      </c>
      <c r="T208" s="11" t="s">
        <v>75</v>
      </c>
      <c r="U208" s="14" t="s">
        <v>956</v>
      </c>
      <c r="V208" s="14" t="s">
        <v>957</v>
      </c>
      <c r="W208" s="14" t="s">
        <v>958</v>
      </c>
      <c r="X208" s="11" t="s">
        <v>79</v>
      </c>
      <c r="Y208" s="11" t="s">
        <v>959</v>
      </c>
    </row>
    <row r="209" customFormat="false" ht="68.65" hidden="false" customHeight="false" outlineLevel="0" collapsed="false">
      <c r="A209" s="11" t="s">
        <v>952</v>
      </c>
      <c r="B209" s="11" t="s">
        <v>960</v>
      </c>
      <c r="C209" s="11" t="s">
        <v>954</v>
      </c>
      <c r="D209" s="11" t="s">
        <v>955</v>
      </c>
      <c r="E209" s="11" t="s">
        <v>113</v>
      </c>
      <c r="F209" s="11"/>
      <c r="G209" s="11"/>
      <c r="H209" s="12" t="n">
        <v>15.679</v>
      </c>
      <c r="I209" s="12" t="n">
        <v>17.015</v>
      </c>
      <c r="J209" s="11" t="s">
        <v>232</v>
      </c>
      <c r="K209" s="13"/>
      <c r="L209" s="13"/>
      <c r="M209" s="11"/>
      <c r="N209" s="11"/>
      <c r="O209" s="12"/>
      <c r="P209" s="11"/>
      <c r="Q209" s="12"/>
      <c r="R209" s="11" t="s">
        <v>114</v>
      </c>
      <c r="S209" s="11" t="s">
        <v>937</v>
      </c>
      <c r="T209" s="11" t="s">
        <v>126</v>
      </c>
      <c r="U209" s="14" t="s">
        <v>961</v>
      </c>
      <c r="V209" s="14" t="s">
        <v>962</v>
      </c>
      <c r="W209" s="14" t="s">
        <v>963</v>
      </c>
      <c r="X209" s="11" t="s">
        <v>120</v>
      </c>
      <c r="Y209" s="11" t="s">
        <v>964</v>
      </c>
    </row>
    <row r="210" customFormat="false" ht="46.25" hidden="false" customHeight="false" outlineLevel="0" collapsed="false">
      <c r="A210" s="11" t="s">
        <v>965</v>
      </c>
      <c r="B210" s="11" t="s">
        <v>966</v>
      </c>
      <c r="C210" s="11" t="s">
        <v>954</v>
      </c>
      <c r="D210" s="11" t="s">
        <v>955</v>
      </c>
      <c r="E210" s="11" t="s">
        <v>113</v>
      </c>
      <c r="F210" s="11"/>
      <c r="G210" s="11"/>
      <c r="H210" s="12" t="n">
        <v>15.679</v>
      </c>
      <c r="I210" s="12" t="n">
        <v>18.008</v>
      </c>
      <c r="J210" s="11" t="s">
        <v>232</v>
      </c>
      <c r="K210" s="13"/>
      <c r="L210" s="13"/>
      <c r="M210" s="11"/>
      <c r="N210" s="11"/>
      <c r="O210" s="12"/>
      <c r="P210" s="11"/>
      <c r="Q210" s="12"/>
      <c r="R210" s="11" t="s">
        <v>73</v>
      </c>
      <c r="S210" s="11" t="s">
        <v>115</v>
      </c>
      <c r="T210" s="11" t="s">
        <v>126</v>
      </c>
      <c r="U210" s="14" t="s">
        <v>967</v>
      </c>
      <c r="V210" s="14" t="s">
        <v>968</v>
      </c>
      <c r="W210" s="14" t="s">
        <v>969</v>
      </c>
      <c r="X210" s="11" t="s">
        <v>120</v>
      </c>
      <c r="Y210" s="11" t="s">
        <v>970</v>
      </c>
    </row>
    <row r="211" customFormat="false" ht="35.05" hidden="false" customHeight="false" outlineLevel="0" collapsed="false">
      <c r="A211" s="11" t="s">
        <v>971</v>
      </c>
      <c r="B211" s="11" t="s">
        <v>972</v>
      </c>
      <c r="C211" s="11" t="s">
        <v>86</v>
      </c>
      <c r="D211" s="11" t="s">
        <v>26</v>
      </c>
      <c r="E211" s="11" t="s">
        <v>113</v>
      </c>
      <c r="F211" s="11" t="n">
        <v>150</v>
      </c>
      <c r="G211" s="11"/>
      <c r="H211" s="12" t="n">
        <v>63667.3</v>
      </c>
      <c r="I211" s="12" t="n">
        <v>63923.2</v>
      </c>
      <c r="J211" s="11" t="s">
        <v>135</v>
      </c>
      <c r="K211" s="13" t="n">
        <v>60.28</v>
      </c>
      <c r="L211" s="13"/>
      <c r="M211" s="11"/>
      <c r="N211" s="11"/>
      <c r="O211" s="12"/>
      <c r="P211" s="11"/>
      <c r="Q211" s="12"/>
      <c r="R211" s="11" t="s">
        <v>114</v>
      </c>
      <c r="S211" s="11" t="s">
        <v>205</v>
      </c>
      <c r="T211" s="11" t="s">
        <v>126</v>
      </c>
      <c r="U211" s="14" t="s">
        <v>973</v>
      </c>
      <c r="V211" s="14" t="s">
        <v>974</v>
      </c>
      <c r="W211" s="14" t="s">
        <v>975</v>
      </c>
      <c r="X211" s="11" t="s">
        <v>79</v>
      </c>
      <c r="Y211" s="11" t="s">
        <v>976</v>
      </c>
    </row>
    <row r="212" customFormat="false" ht="68.65" hidden="false" customHeight="false" outlineLevel="0" collapsed="false">
      <c r="A212" s="11" t="s">
        <v>971</v>
      </c>
      <c r="B212" s="11" t="s">
        <v>977</v>
      </c>
      <c r="C212" s="11" t="s">
        <v>86</v>
      </c>
      <c r="D212" s="11" t="s">
        <v>26</v>
      </c>
      <c r="E212" s="11" t="s">
        <v>113</v>
      </c>
      <c r="F212" s="11" t="n">
        <v>200</v>
      </c>
      <c r="G212" s="11"/>
      <c r="H212" s="12"/>
      <c r="I212" s="12"/>
      <c r="J212" s="11"/>
      <c r="K212" s="13" t="n">
        <v>291.06</v>
      </c>
      <c r="L212" s="13"/>
      <c r="M212" s="11"/>
      <c r="N212" s="11"/>
      <c r="O212" s="12"/>
      <c r="P212" s="11"/>
      <c r="Q212" s="12"/>
      <c r="R212" s="11" t="s">
        <v>114</v>
      </c>
      <c r="S212" s="11" t="s">
        <v>115</v>
      </c>
      <c r="T212" s="11" t="s">
        <v>126</v>
      </c>
      <c r="U212" s="14" t="s">
        <v>978</v>
      </c>
      <c r="V212" s="14" t="s">
        <v>979</v>
      </c>
      <c r="W212" s="14" t="s">
        <v>980</v>
      </c>
      <c r="X212" s="11" t="s">
        <v>120</v>
      </c>
      <c r="Y212" s="11" t="s">
        <v>981</v>
      </c>
    </row>
    <row r="213" customFormat="false" ht="79.85" hidden="false" customHeight="false" outlineLevel="0" collapsed="false">
      <c r="A213" s="11" t="s">
        <v>971</v>
      </c>
      <c r="B213" s="11" t="s">
        <v>982</v>
      </c>
      <c r="C213" s="11" t="s">
        <v>86</v>
      </c>
      <c r="D213" s="11" t="s">
        <v>26</v>
      </c>
      <c r="E213" s="11" t="s">
        <v>113</v>
      </c>
      <c r="F213" s="11" t="n">
        <v>150</v>
      </c>
      <c r="G213" s="11"/>
      <c r="H213" s="12" t="n">
        <v>63667.3</v>
      </c>
      <c r="I213" s="12" t="n">
        <v>63923.2</v>
      </c>
      <c r="J213" s="11" t="s">
        <v>135</v>
      </c>
      <c r="K213" s="13" t="n">
        <v>60.28</v>
      </c>
      <c r="L213" s="13"/>
      <c r="M213" s="11"/>
      <c r="N213" s="11"/>
      <c r="O213" s="12"/>
      <c r="P213" s="11"/>
      <c r="Q213" s="12"/>
      <c r="R213" s="11" t="s">
        <v>114</v>
      </c>
      <c r="S213" s="11" t="s">
        <v>205</v>
      </c>
      <c r="T213" s="11" t="s">
        <v>126</v>
      </c>
      <c r="U213" s="14" t="s">
        <v>983</v>
      </c>
      <c r="V213" s="14" t="s">
        <v>984</v>
      </c>
      <c r="W213" s="14" t="s">
        <v>985</v>
      </c>
      <c r="X213" s="11" t="s">
        <v>79</v>
      </c>
      <c r="Y213" s="11" t="s">
        <v>986</v>
      </c>
    </row>
    <row r="214" customFormat="false" ht="68.65" hidden="false" customHeight="false" outlineLevel="0" collapsed="false">
      <c r="A214" s="11" t="s">
        <v>971</v>
      </c>
      <c r="B214" s="11" t="s">
        <v>987</v>
      </c>
      <c r="C214" s="11" t="s">
        <v>86</v>
      </c>
      <c r="D214" s="11" t="s">
        <v>26</v>
      </c>
      <c r="E214" s="11" t="s">
        <v>113</v>
      </c>
      <c r="F214" s="11" t="n">
        <v>200</v>
      </c>
      <c r="G214" s="11"/>
      <c r="H214" s="12"/>
      <c r="I214" s="12"/>
      <c r="J214" s="11"/>
      <c r="K214" s="13" t="n">
        <v>335.51</v>
      </c>
      <c r="L214" s="13"/>
      <c r="M214" s="11"/>
      <c r="N214" s="11"/>
      <c r="O214" s="12"/>
      <c r="P214" s="11"/>
      <c r="Q214" s="12"/>
      <c r="R214" s="11" t="s">
        <v>114</v>
      </c>
      <c r="S214" s="11" t="s">
        <v>115</v>
      </c>
      <c r="T214" s="11" t="s">
        <v>126</v>
      </c>
      <c r="U214" s="14" t="s">
        <v>988</v>
      </c>
      <c r="V214" s="14" t="s">
        <v>989</v>
      </c>
      <c r="W214" s="14" t="s">
        <v>990</v>
      </c>
      <c r="X214" s="11" t="s">
        <v>120</v>
      </c>
      <c r="Y214" s="11" t="s">
        <v>991</v>
      </c>
    </row>
    <row r="215" customFormat="false" ht="35.05" hidden="false" customHeight="false" outlineLevel="0" collapsed="false">
      <c r="A215" s="11" t="s">
        <v>992</v>
      </c>
      <c r="B215" s="11" t="s">
        <v>993</v>
      </c>
      <c r="C215" s="11" t="s">
        <v>86</v>
      </c>
      <c r="D215" s="11" t="s">
        <v>26</v>
      </c>
      <c r="E215" s="11" t="s">
        <v>113</v>
      </c>
      <c r="F215" s="11" t="n">
        <v>150</v>
      </c>
      <c r="G215" s="11"/>
      <c r="H215" s="12" t="n">
        <v>63044</v>
      </c>
      <c r="I215" s="12" t="n">
        <v>64594.2</v>
      </c>
      <c r="J215" s="11" t="s">
        <v>232</v>
      </c>
      <c r="K215" s="13" t="n">
        <v>368.83</v>
      </c>
      <c r="L215" s="13"/>
      <c r="M215" s="11"/>
      <c r="N215" s="11"/>
      <c r="O215" s="12"/>
      <c r="P215" s="11"/>
      <c r="Q215" s="12"/>
      <c r="R215" s="11" t="s">
        <v>114</v>
      </c>
      <c r="S215" s="11" t="s">
        <v>115</v>
      </c>
      <c r="T215" s="11" t="s">
        <v>126</v>
      </c>
      <c r="U215" s="14" t="s">
        <v>994</v>
      </c>
      <c r="V215" s="14" t="s">
        <v>995</v>
      </c>
      <c r="W215" s="14" t="s">
        <v>996</v>
      </c>
      <c r="X215" s="11" t="s">
        <v>79</v>
      </c>
      <c r="Y215" s="11" t="s">
        <v>997</v>
      </c>
    </row>
    <row r="216" customFormat="false" ht="57.45" hidden="false" customHeight="false" outlineLevel="0" collapsed="false">
      <c r="A216" s="11" t="s">
        <v>992</v>
      </c>
      <c r="B216" s="11" t="s">
        <v>998</v>
      </c>
      <c r="C216" s="11" t="s">
        <v>86</v>
      </c>
      <c r="D216" s="11" t="s">
        <v>26</v>
      </c>
      <c r="E216" s="11" t="s">
        <v>113</v>
      </c>
      <c r="F216" s="11" t="n">
        <v>150</v>
      </c>
      <c r="G216" s="11"/>
      <c r="H216" s="12" t="n">
        <v>63044</v>
      </c>
      <c r="I216" s="12" t="n">
        <v>64987.9</v>
      </c>
      <c r="J216" s="11" t="s">
        <v>156</v>
      </c>
      <c r="K216" s="13" t="n">
        <v>462.5</v>
      </c>
      <c r="L216" s="13"/>
      <c r="M216" s="11"/>
      <c r="N216" s="11"/>
      <c r="O216" s="12"/>
      <c r="P216" s="11" t="s">
        <v>999</v>
      </c>
      <c r="Q216" s="12"/>
      <c r="R216" s="11" t="s">
        <v>73</v>
      </c>
      <c r="S216" s="11" t="s">
        <v>115</v>
      </c>
      <c r="T216" s="11" t="s">
        <v>126</v>
      </c>
      <c r="U216" s="14" t="s">
        <v>1000</v>
      </c>
      <c r="V216" s="14" t="s">
        <v>1001</v>
      </c>
      <c r="W216" s="14" t="s">
        <v>1002</v>
      </c>
      <c r="X216" s="11" t="s">
        <v>79</v>
      </c>
      <c r="Y216" s="11" t="s">
        <v>1003</v>
      </c>
    </row>
    <row r="217" customFormat="false" ht="35.05" hidden="false" customHeight="false" outlineLevel="0" collapsed="false">
      <c r="A217" s="11" t="s">
        <v>1004</v>
      </c>
      <c r="B217" s="11" t="s">
        <v>1005</v>
      </c>
      <c r="C217" s="11" t="s">
        <v>86</v>
      </c>
      <c r="D217" s="11" t="s">
        <v>26</v>
      </c>
      <c r="E217" s="11" t="s">
        <v>113</v>
      </c>
      <c r="F217" s="11" t="n">
        <v>150</v>
      </c>
      <c r="G217" s="11"/>
      <c r="H217" s="12" t="n">
        <v>59214.3</v>
      </c>
      <c r="I217" s="12" t="n">
        <v>60649.7</v>
      </c>
      <c r="J217" s="11" t="s">
        <v>232</v>
      </c>
      <c r="K217" s="13" t="n">
        <v>353.22</v>
      </c>
      <c r="L217" s="13"/>
      <c r="M217" s="11"/>
      <c r="N217" s="11"/>
      <c r="O217" s="12"/>
      <c r="P217" s="11"/>
      <c r="Q217" s="12"/>
      <c r="R217" s="11" t="s">
        <v>114</v>
      </c>
      <c r="S217" s="11" t="s">
        <v>115</v>
      </c>
      <c r="T217" s="11" t="s">
        <v>126</v>
      </c>
      <c r="U217" s="14" t="s">
        <v>1006</v>
      </c>
      <c r="V217" s="14" t="s">
        <v>1007</v>
      </c>
      <c r="W217" s="14" t="s">
        <v>1008</v>
      </c>
      <c r="X217" s="11" t="s">
        <v>79</v>
      </c>
      <c r="Y217" s="11" t="s">
        <v>1009</v>
      </c>
    </row>
    <row r="218" customFormat="false" ht="46.25" hidden="false" customHeight="false" outlineLevel="0" collapsed="false">
      <c r="A218" s="11" t="s">
        <v>1004</v>
      </c>
      <c r="B218" s="11" t="s">
        <v>1010</v>
      </c>
      <c r="C218" s="11" t="s">
        <v>86</v>
      </c>
      <c r="D218" s="11" t="s">
        <v>26</v>
      </c>
      <c r="E218" s="11" t="s">
        <v>113</v>
      </c>
      <c r="F218" s="11" t="n">
        <v>150</v>
      </c>
      <c r="G218" s="11"/>
      <c r="H218" s="12" t="n">
        <v>59595.1</v>
      </c>
      <c r="I218" s="12" t="n">
        <v>60793.4</v>
      </c>
      <c r="J218" s="11" t="s">
        <v>135</v>
      </c>
      <c r="K218" s="13" t="n">
        <v>301.62</v>
      </c>
      <c r="L218" s="13"/>
      <c r="M218" s="11"/>
      <c r="N218" s="11"/>
      <c r="O218" s="12"/>
      <c r="P218" s="11"/>
      <c r="Q218" s="12"/>
      <c r="R218" s="11" t="s">
        <v>114</v>
      </c>
      <c r="S218" s="11" t="s">
        <v>205</v>
      </c>
      <c r="T218" s="11" t="s">
        <v>126</v>
      </c>
      <c r="U218" s="14" t="s">
        <v>1011</v>
      </c>
      <c r="V218" s="14"/>
      <c r="W218" s="14" t="s">
        <v>1012</v>
      </c>
      <c r="X218" s="11" t="s">
        <v>79</v>
      </c>
      <c r="Y218" s="11" t="s">
        <v>1013</v>
      </c>
    </row>
    <row r="219" customFormat="false" ht="57.45" hidden="false" customHeight="false" outlineLevel="0" collapsed="false">
      <c r="A219" s="11" t="s">
        <v>1004</v>
      </c>
      <c r="B219" s="11" t="s">
        <v>1014</v>
      </c>
      <c r="C219" s="11" t="s">
        <v>86</v>
      </c>
      <c r="D219" s="11" t="s">
        <v>26</v>
      </c>
      <c r="E219" s="11" t="s">
        <v>113</v>
      </c>
      <c r="F219" s="11" t="n">
        <v>150</v>
      </c>
      <c r="G219" s="11"/>
      <c r="H219" s="12" t="n">
        <v>59595.1</v>
      </c>
      <c r="I219" s="12" t="n">
        <v>61117.2</v>
      </c>
      <c r="J219" s="11" t="s">
        <v>135</v>
      </c>
      <c r="K219" s="13" t="n">
        <v>383.11</v>
      </c>
      <c r="L219" s="13"/>
      <c r="M219" s="11"/>
      <c r="N219" s="11"/>
      <c r="O219" s="12"/>
      <c r="P219" s="11"/>
      <c r="Q219" s="12"/>
      <c r="R219" s="11" t="s">
        <v>114</v>
      </c>
      <c r="S219" s="11" t="s">
        <v>205</v>
      </c>
      <c r="T219" s="11" t="s">
        <v>126</v>
      </c>
      <c r="U219" s="14" t="s">
        <v>1015</v>
      </c>
      <c r="V219" s="14" t="s">
        <v>1016</v>
      </c>
      <c r="W219" s="14" t="s">
        <v>1017</v>
      </c>
      <c r="X219" s="11" t="s">
        <v>79</v>
      </c>
      <c r="Y219" s="11" t="s">
        <v>1018</v>
      </c>
    </row>
    <row r="220" customFormat="false" ht="57.45" hidden="false" customHeight="false" outlineLevel="0" collapsed="false">
      <c r="A220" s="11" t="s">
        <v>1004</v>
      </c>
      <c r="B220" s="11" t="s">
        <v>1019</v>
      </c>
      <c r="C220" s="11" t="s">
        <v>86</v>
      </c>
      <c r="D220" s="11" t="s">
        <v>26</v>
      </c>
      <c r="E220" s="11" t="s">
        <v>113</v>
      </c>
      <c r="F220" s="11"/>
      <c r="G220" s="11"/>
      <c r="H220" s="12" t="n">
        <v>59214.3</v>
      </c>
      <c r="I220" s="12" t="n">
        <v>61037.6</v>
      </c>
      <c r="J220" s="11" t="s">
        <v>232</v>
      </c>
      <c r="K220" s="13" t="n">
        <v>445.88</v>
      </c>
      <c r="L220" s="13"/>
      <c r="M220" s="11"/>
      <c r="N220" s="11"/>
      <c r="O220" s="12"/>
      <c r="P220" s="11"/>
      <c r="Q220" s="12"/>
      <c r="R220" s="11" t="s">
        <v>114</v>
      </c>
      <c r="S220" s="11" t="s">
        <v>115</v>
      </c>
      <c r="T220" s="11" t="s">
        <v>126</v>
      </c>
      <c r="U220" s="14" t="s">
        <v>1020</v>
      </c>
      <c r="V220" s="14" t="s">
        <v>1021</v>
      </c>
      <c r="W220" s="14" t="s">
        <v>1022</v>
      </c>
      <c r="X220" s="11" t="s">
        <v>120</v>
      </c>
      <c r="Y220" s="11" t="s">
        <v>1023</v>
      </c>
    </row>
    <row r="221" customFormat="false" ht="57.45" hidden="false" customHeight="false" outlineLevel="0" collapsed="false">
      <c r="A221" s="11" t="s">
        <v>1024</v>
      </c>
      <c r="B221" s="11" t="s">
        <v>1025</v>
      </c>
      <c r="C221" s="11" t="s">
        <v>86</v>
      </c>
      <c r="D221" s="11" t="s">
        <v>26</v>
      </c>
      <c r="E221" s="11" t="s">
        <v>113</v>
      </c>
      <c r="F221" s="11" t="n">
        <v>150</v>
      </c>
      <c r="G221" s="11"/>
      <c r="H221" s="12" t="n">
        <v>59595.1</v>
      </c>
      <c r="I221" s="12" t="n">
        <v>61117.2</v>
      </c>
      <c r="J221" s="11" t="s">
        <v>135</v>
      </c>
      <c r="K221" s="13" t="n">
        <v>383.11</v>
      </c>
      <c r="L221" s="13"/>
      <c r="M221" s="11"/>
      <c r="N221" s="11"/>
      <c r="O221" s="12"/>
      <c r="P221" s="11"/>
      <c r="Q221" s="12"/>
      <c r="R221" s="11" t="s">
        <v>114</v>
      </c>
      <c r="S221" s="11" t="s">
        <v>205</v>
      </c>
      <c r="T221" s="11" t="s">
        <v>126</v>
      </c>
      <c r="U221" s="14" t="s">
        <v>1026</v>
      </c>
      <c r="V221" s="14" t="s">
        <v>1027</v>
      </c>
      <c r="W221" s="14" t="s">
        <v>1028</v>
      </c>
      <c r="X221" s="11" t="s">
        <v>79</v>
      </c>
      <c r="Y221" s="11" t="s">
        <v>1029</v>
      </c>
    </row>
    <row r="222" customFormat="false" ht="57.45" hidden="false" customHeight="false" outlineLevel="0" collapsed="false">
      <c r="A222" s="11" t="s">
        <v>1024</v>
      </c>
      <c r="B222" s="11" t="s">
        <v>1030</v>
      </c>
      <c r="C222" s="11" t="s">
        <v>86</v>
      </c>
      <c r="D222" s="11" t="s">
        <v>26</v>
      </c>
      <c r="E222" s="11" t="s">
        <v>113</v>
      </c>
      <c r="F222" s="11"/>
      <c r="G222" s="11"/>
      <c r="H222" s="12" t="n">
        <v>59214.3</v>
      </c>
      <c r="I222" s="12" t="n">
        <v>61042.1</v>
      </c>
      <c r="J222" s="11" t="s">
        <v>232</v>
      </c>
      <c r="K222" s="13" t="n">
        <v>446.88</v>
      </c>
      <c r="L222" s="13"/>
      <c r="M222" s="11"/>
      <c r="N222" s="11"/>
      <c r="O222" s="12"/>
      <c r="P222" s="11"/>
      <c r="Q222" s="12"/>
      <c r="R222" s="11" t="s">
        <v>114</v>
      </c>
      <c r="S222" s="11" t="s">
        <v>115</v>
      </c>
      <c r="T222" s="11" t="s">
        <v>126</v>
      </c>
      <c r="U222" s="14" t="s">
        <v>1031</v>
      </c>
      <c r="V222" s="14" t="s">
        <v>1032</v>
      </c>
      <c r="W222" s="14" t="s">
        <v>1033</v>
      </c>
      <c r="X222" s="11" t="s">
        <v>120</v>
      </c>
      <c r="Y222" s="11" t="s">
        <v>1034</v>
      </c>
    </row>
    <row r="223" customFormat="false" ht="57.45" hidden="false" customHeight="false" outlineLevel="0" collapsed="false">
      <c r="A223" s="11" t="s">
        <v>1024</v>
      </c>
      <c r="B223" s="11" t="s">
        <v>1035</v>
      </c>
      <c r="C223" s="11" t="s">
        <v>86</v>
      </c>
      <c r="D223" s="11" t="s">
        <v>26</v>
      </c>
      <c r="E223" s="11" t="s">
        <v>113</v>
      </c>
      <c r="F223" s="11" t="n">
        <v>150</v>
      </c>
      <c r="G223" s="11"/>
      <c r="H223" s="12" t="n">
        <v>61253.1</v>
      </c>
      <c r="I223" s="12" t="n">
        <v>61270.6</v>
      </c>
      <c r="J223" s="11" t="s">
        <v>156</v>
      </c>
      <c r="K223" s="13" t="n">
        <v>4.28</v>
      </c>
      <c r="L223" s="13"/>
      <c r="M223" s="11"/>
      <c r="N223" s="11"/>
      <c r="O223" s="12"/>
      <c r="P223" s="11"/>
      <c r="Q223" s="12"/>
      <c r="R223" s="11" t="s">
        <v>73</v>
      </c>
      <c r="S223" s="11" t="s">
        <v>205</v>
      </c>
      <c r="T223" s="11" t="s">
        <v>126</v>
      </c>
      <c r="U223" s="14" t="s">
        <v>1036</v>
      </c>
      <c r="V223" s="14" t="s">
        <v>1037</v>
      </c>
      <c r="W223" s="14" t="s">
        <v>1038</v>
      </c>
      <c r="X223" s="11" t="s">
        <v>79</v>
      </c>
      <c r="Y223" s="11" t="s">
        <v>1039</v>
      </c>
    </row>
    <row r="224" customFormat="false" ht="35.05" hidden="false" customHeight="false" outlineLevel="0" collapsed="false">
      <c r="A224" s="11" t="s">
        <v>1024</v>
      </c>
      <c r="B224" s="11" t="s">
        <v>1040</v>
      </c>
      <c r="C224" s="11" t="s">
        <v>86</v>
      </c>
      <c r="D224" s="11" t="s">
        <v>26</v>
      </c>
      <c r="E224" s="11" t="s">
        <v>113</v>
      </c>
      <c r="F224" s="11" t="n">
        <v>150</v>
      </c>
      <c r="G224" s="11"/>
      <c r="H224" s="12" t="n">
        <v>58616.4</v>
      </c>
      <c r="I224" s="12" t="n">
        <v>59502.9</v>
      </c>
      <c r="J224" s="11" t="s">
        <v>135</v>
      </c>
      <c r="K224" s="13" t="n">
        <v>226.87</v>
      </c>
      <c r="L224" s="13"/>
      <c r="M224" s="11"/>
      <c r="N224" s="11"/>
      <c r="O224" s="12"/>
      <c r="P224" s="11"/>
      <c r="Q224" s="12"/>
      <c r="R224" s="11" t="s">
        <v>114</v>
      </c>
      <c r="S224" s="11" t="s">
        <v>205</v>
      </c>
      <c r="T224" s="11" t="s">
        <v>126</v>
      </c>
      <c r="U224" s="14" t="s">
        <v>1041</v>
      </c>
      <c r="V224" s="14" t="s">
        <v>1042</v>
      </c>
      <c r="W224" s="14" t="s">
        <v>1043</v>
      </c>
      <c r="X224" s="11" t="s">
        <v>79</v>
      </c>
      <c r="Y224" s="11" t="s">
        <v>1044</v>
      </c>
    </row>
    <row r="225" customFormat="false" ht="68.65" hidden="false" customHeight="false" outlineLevel="0" collapsed="false">
      <c r="A225" s="11" t="s">
        <v>1024</v>
      </c>
      <c r="B225" s="11" t="s">
        <v>1045</v>
      </c>
      <c r="C225" s="11" t="s">
        <v>86</v>
      </c>
      <c r="D225" s="11" t="s">
        <v>26</v>
      </c>
      <c r="E225" s="11" t="s">
        <v>113</v>
      </c>
      <c r="F225" s="11"/>
      <c r="G225" s="11"/>
      <c r="H225" s="12" t="n">
        <v>58305.1</v>
      </c>
      <c r="I225" s="12" t="n">
        <v>60008.6</v>
      </c>
      <c r="J225" s="11" t="s">
        <v>156</v>
      </c>
      <c r="K225" s="13"/>
      <c r="L225" s="13"/>
      <c r="M225" s="11"/>
      <c r="N225" s="11"/>
      <c r="O225" s="12"/>
      <c r="P225" s="11"/>
      <c r="Q225" s="12"/>
      <c r="R225" s="11" t="s">
        <v>73</v>
      </c>
      <c r="S225" s="11" t="s">
        <v>115</v>
      </c>
      <c r="T225" s="11" t="s">
        <v>126</v>
      </c>
      <c r="U225" s="14" t="s">
        <v>1046</v>
      </c>
      <c r="V225" s="14" t="s">
        <v>1047</v>
      </c>
      <c r="W225" s="14" t="s">
        <v>1048</v>
      </c>
      <c r="X225" s="11" t="s">
        <v>120</v>
      </c>
      <c r="Y225" s="11" t="s">
        <v>1049</v>
      </c>
    </row>
    <row r="226" customFormat="false" ht="68.65" hidden="false" customHeight="false" outlineLevel="0" collapsed="false">
      <c r="A226" s="11" t="s">
        <v>1050</v>
      </c>
      <c r="B226" s="11" t="s">
        <v>1051</v>
      </c>
      <c r="C226" s="11" t="s">
        <v>107</v>
      </c>
      <c r="D226" s="11" t="s">
        <v>28</v>
      </c>
      <c r="E226" s="11" t="s">
        <v>113</v>
      </c>
      <c r="F226" s="11" t="n">
        <v>10</v>
      </c>
      <c r="G226" s="11"/>
      <c r="H226" s="12"/>
      <c r="I226" s="12"/>
      <c r="J226" s="11"/>
      <c r="K226" s="13"/>
      <c r="L226" s="13"/>
      <c r="M226" s="11" t="s">
        <v>1052</v>
      </c>
      <c r="N226" s="11"/>
      <c r="O226" s="12"/>
      <c r="P226" s="11"/>
      <c r="Q226" s="12"/>
      <c r="R226" s="11" t="s">
        <v>114</v>
      </c>
      <c r="S226" s="11" t="s">
        <v>74</v>
      </c>
      <c r="T226" s="11" t="s">
        <v>75</v>
      </c>
      <c r="U226" s="14" t="s">
        <v>1053</v>
      </c>
      <c r="V226" s="14" t="s">
        <v>1054</v>
      </c>
      <c r="W226" s="14" t="s">
        <v>1055</v>
      </c>
      <c r="X226" s="11" t="s">
        <v>79</v>
      </c>
      <c r="Y226" s="11" t="s">
        <v>1056</v>
      </c>
    </row>
    <row r="227" customFormat="false" ht="46.25" hidden="false" customHeight="false" outlineLevel="0" collapsed="false">
      <c r="A227" s="11" t="s">
        <v>1050</v>
      </c>
      <c r="B227" s="11" t="s">
        <v>1057</v>
      </c>
      <c r="C227" s="11" t="s">
        <v>107</v>
      </c>
      <c r="D227" s="11" t="s">
        <v>28</v>
      </c>
      <c r="E227" s="11" t="s">
        <v>113</v>
      </c>
      <c r="F227" s="11" t="n">
        <v>10</v>
      </c>
      <c r="G227" s="11"/>
      <c r="H227" s="12" t="n">
        <v>67.55</v>
      </c>
      <c r="I227" s="12" t="n">
        <v>70.3</v>
      </c>
      <c r="J227" s="11" t="s">
        <v>135</v>
      </c>
      <c r="K227" s="13" t="n">
        <v>40.71</v>
      </c>
      <c r="L227" s="13"/>
      <c r="M227" s="11"/>
      <c r="N227" s="11"/>
      <c r="O227" s="12"/>
      <c r="P227" s="11"/>
      <c r="Q227" s="12"/>
      <c r="R227" s="11" t="s">
        <v>114</v>
      </c>
      <c r="S227" s="11" t="s">
        <v>205</v>
      </c>
      <c r="T227" s="11" t="s">
        <v>126</v>
      </c>
      <c r="U227" s="14" t="s">
        <v>1058</v>
      </c>
      <c r="V227" s="14"/>
      <c r="W227" s="14" t="s">
        <v>1059</v>
      </c>
      <c r="X227" s="11" t="s">
        <v>79</v>
      </c>
      <c r="Y227" s="11" t="s">
        <v>1060</v>
      </c>
    </row>
    <row r="228" customFormat="false" ht="35.05" hidden="false" customHeight="false" outlineLevel="0" collapsed="false">
      <c r="A228" s="11" t="s">
        <v>1050</v>
      </c>
      <c r="B228" s="11" t="s">
        <v>1061</v>
      </c>
      <c r="C228" s="11" t="s">
        <v>107</v>
      </c>
      <c r="D228" s="11" t="s">
        <v>28</v>
      </c>
      <c r="E228" s="11" t="s">
        <v>113</v>
      </c>
      <c r="F228" s="11"/>
      <c r="G228" s="11"/>
      <c r="H228" s="12" t="n">
        <v>66</v>
      </c>
      <c r="I228" s="12"/>
      <c r="J228" s="11"/>
      <c r="K228" s="13"/>
      <c r="L228" s="13"/>
      <c r="M228" s="11"/>
      <c r="N228" s="11"/>
      <c r="O228" s="12"/>
      <c r="P228" s="11"/>
      <c r="Q228" s="12"/>
      <c r="R228" s="11" t="s">
        <v>114</v>
      </c>
      <c r="S228" s="11" t="s">
        <v>74</v>
      </c>
      <c r="T228" s="11" t="s">
        <v>75</v>
      </c>
      <c r="U228" s="14" t="s">
        <v>1062</v>
      </c>
      <c r="V228" s="14" t="s">
        <v>1063</v>
      </c>
      <c r="W228" s="14" t="s">
        <v>1064</v>
      </c>
      <c r="X228" s="11" t="s">
        <v>79</v>
      </c>
      <c r="Y228" s="11" t="s">
        <v>1065</v>
      </c>
    </row>
    <row r="229" customFormat="false" ht="68.65" hidden="false" customHeight="false" outlineLevel="0" collapsed="false">
      <c r="A229" s="11" t="s">
        <v>1066</v>
      </c>
      <c r="B229" s="11" t="s">
        <v>1067</v>
      </c>
      <c r="C229" s="11" t="s">
        <v>1068</v>
      </c>
      <c r="D229" s="11" t="s">
        <v>1069</v>
      </c>
      <c r="E229" s="11" t="s">
        <v>113</v>
      </c>
      <c r="F229" s="11"/>
      <c r="G229" s="11"/>
      <c r="H229" s="12" t="n">
        <v>0.0001101</v>
      </c>
      <c r="I229" s="12" t="n">
        <v>0.0001297</v>
      </c>
      <c r="J229" s="11" t="s">
        <v>232</v>
      </c>
      <c r="K229" s="13"/>
      <c r="L229" s="13"/>
      <c r="M229" s="11"/>
      <c r="N229" s="11"/>
      <c r="O229" s="12"/>
      <c r="P229" s="11"/>
      <c r="Q229" s="12"/>
      <c r="R229" s="11" t="s">
        <v>114</v>
      </c>
      <c r="S229" s="11" t="s">
        <v>205</v>
      </c>
      <c r="T229" s="11" t="s">
        <v>235</v>
      </c>
      <c r="U229" s="14" t="s">
        <v>1070</v>
      </c>
      <c r="V229" s="14" t="s">
        <v>1071</v>
      </c>
      <c r="W229" s="14" t="s">
        <v>1072</v>
      </c>
      <c r="X229" s="11" t="s">
        <v>120</v>
      </c>
      <c r="Y229" s="11" t="s">
        <v>1073</v>
      </c>
    </row>
    <row r="230" customFormat="false" ht="23.85" hidden="false" customHeight="false" outlineLevel="0" collapsed="false">
      <c r="A230" s="11" t="s">
        <v>1066</v>
      </c>
      <c r="B230" s="11" t="s">
        <v>1074</v>
      </c>
      <c r="C230" s="11" t="s">
        <v>1068</v>
      </c>
      <c r="D230" s="11" t="s">
        <v>1069</v>
      </c>
      <c r="E230" s="11" t="s">
        <v>113</v>
      </c>
      <c r="F230" s="11" t="n">
        <v>50</v>
      </c>
      <c r="G230" s="11"/>
      <c r="H230" s="12" t="n">
        <v>0.0001101</v>
      </c>
      <c r="I230" s="12" t="n">
        <v>0.0001314</v>
      </c>
      <c r="J230" s="11" t="s">
        <v>135</v>
      </c>
      <c r="K230" s="13" t="n">
        <v>965.92</v>
      </c>
      <c r="L230" s="13"/>
      <c r="M230" s="11"/>
      <c r="N230" s="11"/>
      <c r="O230" s="12"/>
      <c r="P230" s="11"/>
      <c r="Q230" s="12"/>
      <c r="R230" s="11" t="s">
        <v>114</v>
      </c>
      <c r="S230" s="11" t="s">
        <v>205</v>
      </c>
      <c r="T230" s="11" t="s">
        <v>126</v>
      </c>
      <c r="U230" s="14" t="s">
        <v>1075</v>
      </c>
      <c r="V230" s="14"/>
      <c r="W230" s="14" t="s">
        <v>1076</v>
      </c>
      <c r="X230" s="11" t="s">
        <v>79</v>
      </c>
      <c r="Y230" s="11" t="s">
        <v>1077</v>
      </c>
    </row>
    <row r="231" customFormat="false" ht="23.85" hidden="false" customHeight="false" outlineLevel="0" collapsed="false">
      <c r="A231" s="11" t="s">
        <v>1078</v>
      </c>
      <c r="B231" s="11" t="s">
        <v>1079</v>
      </c>
      <c r="C231" s="11" t="s">
        <v>86</v>
      </c>
      <c r="D231" s="11" t="s">
        <v>26</v>
      </c>
      <c r="E231" s="11" t="s">
        <v>113</v>
      </c>
      <c r="F231" s="11" t="n">
        <v>150</v>
      </c>
      <c r="G231" s="11"/>
      <c r="H231" s="12" t="n">
        <v>59200</v>
      </c>
      <c r="I231" s="12" t="n">
        <v>60063.9</v>
      </c>
      <c r="J231" s="11" t="s">
        <v>135</v>
      </c>
      <c r="K231" s="13" t="n">
        <v>218.89</v>
      </c>
      <c r="L231" s="13"/>
      <c r="M231" s="11"/>
      <c r="N231" s="11"/>
      <c r="O231" s="12"/>
      <c r="P231" s="11"/>
      <c r="Q231" s="12"/>
      <c r="R231" s="11" t="s">
        <v>114</v>
      </c>
      <c r="S231" s="11" t="s">
        <v>205</v>
      </c>
      <c r="T231" s="11" t="s">
        <v>126</v>
      </c>
      <c r="U231" s="14" t="s">
        <v>1080</v>
      </c>
      <c r="V231" s="14" t="s">
        <v>1081</v>
      </c>
      <c r="W231" s="14" t="s">
        <v>1082</v>
      </c>
      <c r="X231" s="11" t="s">
        <v>79</v>
      </c>
      <c r="Y231" s="11" t="s">
        <v>1083</v>
      </c>
    </row>
    <row r="232" customFormat="false" ht="46.25" hidden="false" customHeight="false" outlineLevel="0" collapsed="false">
      <c r="A232" s="11" t="s">
        <v>1078</v>
      </c>
      <c r="B232" s="11" t="s">
        <v>1084</v>
      </c>
      <c r="C232" s="11" t="s">
        <v>107</v>
      </c>
      <c r="D232" s="11" t="s">
        <v>28</v>
      </c>
      <c r="E232" s="11" t="s">
        <v>113</v>
      </c>
      <c r="F232" s="11" t="n">
        <v>10</v>
      </c>
      <c r="G232" s="11"/>
      <c r="H232" s="12" t="n">
        <v>68.46</v>
      </c>
      <c r="I232" s="12" t="n">
        <v>76.02</v>
      </c>
      <c r="J232" s="11" t="s">
        <v>135</v>
      </c>
      <c r="K232" s="13" t="n">
        <v>110.42</v>
      </c>
      <c r="L232" s="13"/>
      <c r="M232" s="11"/>
      <c r="N232" s="11"/>
      <c r="O232" s="12"/>
      <c r="P232" s="11"/>
      <c r="Q232" s="12"/>
      <c r="R232" s="11" t="s">
        <v>114</v>
      </c>
      <c r="S232" s="11" t="s">
        <v>205</v>
      </c>
      <c r="T232" s="11" t="s">
        <v>126</v>
      </c>
      <c r="U232" s="14" t="s">
        <v>1085</v>
      </c>
      <c r="V232" s="14" t="s">
        <v>1086</v>
      </c>
      <c r="W232" s="14" t="s">
        <v>1087</v>
      </c>
      <c r="X232" s="11" t="s">
        <v>79</v>
      </c>
      <c r="Y232" s="11" t="s">
        <v>1088</v>
      </c>
    </row>
    <row r="233" customFormat="false" ht="79.85" hidden="false" customHeight="false" outlineLevel="0" collapsed="false">
      <c r="A233" s="11" t="s">
        <v>1089</v>
      </c>
      <c r="B233" s="11" t="s">
        <v>1090</v>
      </c>
      <c r="C233" s="11" t="s">
        <v>86</v>
      </c>
      <c r="D233" s="11" t="s">
        <v>26</v>
      </c>
      <c r="E233" s="11" t="s">
        <v>113</v>
      </c>
      <c r="F233" s="11"/>
      <c r="G233" s="11"/>
      <c r="H233" s="12"/>
      <c r="I233" s="12" t="n">
        <v>59104.4</v>
      </c>
      <c r="J233" s="11" t="s">
        <v>156</v>
      </c>
      <c r="K233" s="13"/>
      <c r="L233" s="13"/>
      <c r="M233" s="11"/>
      <c r="N233" s="11"/>
      <c r="O233" s="12"/>
      <c r="P233" s="11"/>
      <c r="Q233" s="12"/>
      <c r="R233" s="11" t="s">
        <v>73</v>
      </c>
      <c r="S233" s="11" t="s">
        <v>115</v>
      </c>
      <c r="T233" s="11" t="s">
        <v>1091</v>
      </c>
      <c r="U233" s="14" t="s">
        <v>1092</v>
      </c>
      <c r="V233" s="14" t="s">
        <v>1093</v>
      </c>
      <c r="W233" s="14" t="s">
        <v>1094</v>
      </c>
      <c r="X233" s="11" t="s">
        <v>120</v>
      </c>
      <c r="Y233" s="11" t="s">
        <v>1095</v>
      </c>
    </row>
    <row r="234" customFormat="false" ht="35.05" hidden="false" customHeight="false" outlineLevel="0" collapsed="false">
      <c r="A234" s="11" t="s">
        <v>1096</v>
      </c>
      <c r="B234" s="11" t="s">
        <v>1097</v>
      </c>
      <c r="C234" s="11" t="s">
        <v>86</v>
      </c>
      <c r="D234" s="11" t="s">
        <v>26</v>
      </c>
      <c r="E234" s="11" t="s">
        <v>113</v>
      </c>
      <c r="F234" s="11" t="n">
        <v>150</v>
      </c>
      <c r="G234" s="11"/>
      <c r="H234" s="12" t="n">
        <v>58372.7</v>
      </c>
      <c r="I234" s="12" t="n">
        <v>58957.8</v>
      </c>
      <c r="J234" s="11" t="s">
        <v>135</v>
      </c>
      <c r="K234" s="13" t="n">
        <v>150.34</v>
      </c>
      <c r="L234" s="13"/>
      <c r="M234" s="11"/>
      <c r="N234" s="11"/>
      <c r="O234" s="12"/>
      <c r="P234" s="11"/>
      <c r="Q234" s="12"/>
      <c r="R234" s="11" t="s">
        <v>114</v>
      </c>
      <c r="S234" s="11" t="s">
        <v>205</v>
      </c>
      <c r="T234" s="11" t="s">
        <v>126</v>
      </c>
      <c r="U234" s="14" t="s">
        <v>1098</v>
      </c>
      <c r="V234" s="14" t="s">
        <v>1099</v>
      </c>
      <c r="W234" s="14" t="s">
        <v>1100</v>
      </c>
      <c r="X234" s="11" t="s">
        <v>79</v>
      </c>
      <c r="Y234" s="11" t="s">
        <v>1101</v>
      </c>
    </row>
    <row r="235" customFormat="false" ht="35.05" hidden="false" customHeight="false" outlineLevel="0" collapsed="false">
      <c r="A235" s="11" t="s">
        <v>1096</v>
      </c>
      <c r="B235" s="11" t="s">
        <v>1102</v>
      </c>
      <c r="C235" s="11" t="s">
        <v>86</v>
      </c>
      <c r="D235" s="11" t="s">
        <v>26</v>
      </c>
      <c r="E235" s="11" t="s">
        <v>113</v>
      </c>
      <c r="F235" s="11" t="n">
        <v>150</v>
      </c>
      <c r="G235" s="11"/>
      <c r="H235" s="12" t="n">
        <v>58486.2</v>
      </c>
      <c r="I235" s="12" t="n">
        <v>58950.3</v>
      </c>
      <c r="J235" s="11" t="s">
        <v>135</v>
      </c>
      <c r="K235" s="13" t="n">
        <v>119.03</v>
      </c>
      <c r="L235" s="13"/>
      <c r="M235" s="11"/>
      <c r="N235" s="11"/>
      <c r="O235" s="12"/>
      <c r="P235" s="11"/>
      <c r="Q235" s="12"/>
      <c r="R235" s="11" t="s">
        <v>114</v>
      </c>
      <c r="S235" s="11" t="s">
        <v>205</v>
      </c>
      <c r="T235" s="11" t="s">
        <v>126</v>
      </c>
      <c r="U235" s="14" t="s">
        <v>1103</v>
      </c>
      <c r="V235" s="14" t="s">
        <v>1104</v>
      </c>
      <c r="W235" s="14" t="s">
        <v>1105</v>
      </c>
      <c r="X235" s="11" t="s">
        <v>79</v>
      </c>
      <c r="Y235" s="11" t="s">
        <v>1106</v>
      </c>
    </row>
    <row r="236" customFormat="false" ht="35.05" hidden="false" customHeight="false" outlineLevel="0" collapsed="false">
      <c r="A236" s="11" t="s">
        <v>1096</v>
      </c>
      <c r="B236" s="11" t="s">
        <v>1102</v>
      </c>
      <c r="C236" s="11" t="s">
        <v>86</v>
      </c>
      <c r="D236" s="11" t="s">
        <v>26</v>
      </c>
      <c r="E236" s="11" t="s">
        <v>113</v>
      </c>
      <c r="F236" s="11" t="n">
        <v>150</v>
      </c>
      <c r="G236" s="11"/>
      <c r="H236" s="12" t="n">
        <v>58372.7</v>
      </c>
      <c r="I236" s="12" t="n">
        <v>58957.8</v>
      </c>
      <c r="J236" s="11" t="s">
        <v>135</v>
      </c>
      <c r="K236" s="13" t="n">
        <v>150.34</v>
      </c>
      <c r="L236" s="13"/>
      <c r="M236" s="11"/>
      <c r="N236" s="11"/>
      <c r="O236" s="12"/>
      <c r="P236" s="11"/>
      <c r="Q236" s="12"/>
      <c r="R236" s="11" t="s">
        <v>114</v>
      </c>
      <c r="S236" s="11" t="s">
        <v>205</v>
      </c>
      <c r="T236" s="11" t="s">
        <v>126</v>
      </c>
      <c r="U236" s="14" t="s">
        <v>1107</v>
      </c>
      <c r="V236" s="14" t="s">
        <v>1104</v>
      </c>
      <c r="W236" s="14" t="s">
        <v>1108</v>
      </c>
      <c r="X236" s="11" t="s">
        <v>79</v>
      </c>
      <c r="Y236" s="11" t="s">
        <v>1106</v>
      </c>
    </row>
    <row r="237" customFormat="false" ht="35.05" hidden="false" customHeight="false" outlineLevel="0" collapsed="false">
      <c r="A237" s="11" t="s">
        <v>1096</v>
      </c>
      <c r="B237" s="11" t="s">
        <v>1109</v>
      </c>
      <c r="C237" s="11" t="s">
        <v>86</v>
      </c>
      <c r="D237" s="11" t="s">
        <v>26</v>
      </c>
      <c r="E237" s="11" t="s">
        <v>194</v>
      </c>
      <c r="F237" s="11" t="n">
        <v>150</v>
      </c>
      <c r="G237" s="11"/>
      <c r="H237" s="12" t="n">
        <v>59972.9</v>
      </c>
      <c r="I237" s="12" t="n">
        <v>59318.1</v>
      </c>
      <c r="J237" s="11" t="s">
        <v>156</v>
      </c>
      <c r="K237" s="13" t="n">
        <v>163.77</v>
      </c>
      <c r="L237" s="13"/>
      <c r="M237" s="11"/>
      <c r="N237" s="11"/>
      <c r="O237" s="12"/>
      <c r="P237" s="11"/>
      <c r="Q237" s="12"/>
      <c r="R237" s="11" t="s">
        <v>73</v>
      </c>
      <c r="S237" s="11" t="s">
        <v>205</v>
      </c>
      <c r="T237" s="11" t="s">
        <v>126</v>
      </c>
      <c r="U237" s="14" t="s">
        <v>1110</v>
      </c>
      <c r="V237" s="14" t="s">
        <v>1111</v>
      </c>
      <c r="W237" s="14" t="s">
        <v>1112</v>
      </c>
      <c r="X237" s="11" t="s">
        <v>79</v>
      </c>
      <c r="Y237" s="11" t="s">
        <v>1113</v>
      </c>
    </row>
    <row r="238" customFormat="false" ht="57.45" hidden="false" customHeight="false" outlineLevel="0" collapsed="false">
      <c r="A238" s="11" t="s">
        <v>1096</v>
      </c>
      <c r="B238" s="11" t="s">
        <v>1114</v>
      </c>
      <c r="C238" s="11" t="s">
        <v>86</v>
      </c>
      <c r="D238" s="11" t="s">
        <v>26</v>
      </c>
      <c r="E238" s="11" t="s">
        <v>113</v>
      </c>
      <c r="F238" s="11" t="n">
        <v>250</v>
      </c>
      <c r="G238" s="11"/>
      <c r="H238" s="12" t="n">
        <v>58637.9</v>
      </c>
      <c r="I238" s="12" t="n">
        <v>59939.6</v>
      </c>
      <c r="J238" s="11" t="s">
        <v>156</v>
      </c>
      <c r="K238" s="13" t="n">
        <v>554.97</v>
      </c>
      <c r="L238" s="13"/>
      <c r="M238" s="11"/>
      <c r="N238" s="11"/>
      <c r="O238" s="12"/>
      <c r="P238" s="11"/>
      <c r="Q238" s="12"/>
      <c r="R238" s="11" t="s">
        <v>73</v>
      </c>
      <c r="S238" s="11" t="s">
        <v>234</v>
      </c>
      <c r="T238" s="11" t="s">
        <v>126</v>
      </c>
      <c r="U238" s="14" t="s">
        <v>1115</v>
      </c>
      <c r="V238" s="14" t="s">
        <v>1116</v>
      </c>
      <c r="W238" s="14" t="s">
        <v>1117</v>
      </c>
      <c r="X238" s="11" t="s">
        <v>79</v>
      </c>
      <c r="Y238" s="11" t="s">
        <v>1118</v>
      </c>
    </row>
    <row r="239" customFormat="false" ht="23.85" hidden="false" customHeight="false" outlineLevel="0" collapsed="false">
      <c r="A239" s="11" t="s">
        <v>1096</v>
      </c>
      <c r="B239" s="11" t="s">
        <v>1119</v>
      </c>
      <c r="C239" s="11" t="s">
        <v>107</v>
      </c>
      <c r="D239" s="11" t="s">
        <v>28</v>
      </c>
      <c r="E239" s="11" t="s">
        <v>113</v>
      </c>
      <c r="F239" s="11" t="n">
        <v>10</v>
      </c>
      <c r="G239" s="11"/>
      <c r="H239" s="12" t="n">
        <v>68.53</v>
      </c>
      <c r="I239" s="12" t="n">
        <v>77.46</v>
      </c>
      <c r="J239" s="11" t="s">
        <v>135</v>
      </c>
      <c r="K239" s="13" t="n">
        <v>130.23</v>
      </c>
      <c r="L239" s="13"/>
      <c r="M239" s="11"/>
      <c r="N239" s="11"/>
      <c r="O239" s="12"/>
      <c r="P239" s="11"/>
      <c r="Q239" s="12"/>
      <c r="R239" s="11" t="s">
        <v>114</v>
      </c>
      <c r="S239" s="11" t="s">
        <v>205</v>
      </c>
      <c r="T239" s="11" t="s">
        <v>126</v>
      </c>
      <c r="U239" s="14" t="s">
        <v>1120</v>
      </c>
      <c r="V239" s="14" t="s">
        <v>1121</v>
      </c>
      <c r="W239" s="14" t="s">
        <v>1122</v>
      </c>
      <c r="X239" s="11" t="s">
        <v>79</v>
      </c>
      <c r="Y239" s="11" t="s">
        <v>1123</v>
      </c>
    </row>
    <row r="240" customFormat="false" ht="23.85" hidden="false" customHeight="false" outlineLevel="0" collapsed="false">
      <c r="A240" s="11" t="s">
        <v>1124</v>
      </c>
      <c r="B240" s="11" t="s">
        <v>1125</v>
      </c>
      <c r="C240" s="11" t="s">
        <v>107</v>
      </c>
      <c r="D240" s="11" t="s">
        <v>28</v>
      </c>
      <c r="E240" s="11" t="s">
        <v>113</v>
      </c>
      <c r="F240" s="11" t="n">
        <v>10</v>
      </c>
      <c r="G240" s="11"/>
      <c r="H240" s="12" t="n">
        <v>68.53</v>
      </c>
      <c r="I240" s="12" t="n">
        <v>82</v>
      </c>
      <c r="J240" s="11" t="s">
        <v>156</v>
      </c>
      <c r="K240" s="13" t="n">
        <v>196.41</v>
      </c>
      <c r="L240" s="13"/>
      <c r="M240" s="11"/>
      <c r="N240" s="11"/>
      <c r="O240" s="12"/>
      <c r="P240" s="11"/>
      <c r="Q240" s="12"/>
      <c r="R240" s="11" t="s">
        <v>73</v>
      </c>
      <c r="S240" s="11" t="s">
        <v>205</v>
      </c>
      <c r="T240" s="11" t="s">
        <v>126</v>
      </c>
      <c r="U240" s="14" t="s">
        <v>1126</v>
      </c>
      <c r="V240" s="14" t="s">
        <v>1127</v>
      </c>
      <c r="W240" s="14" t="s">
        <v>1128</v>
      </c>
      <c r="X240" s="11" t="s">
        <v>79</v>
      </c>
      <c r="Y240" s="11" t="s">
        <v>1129</v>
      </c>
    </row>
    <row r="241" customFormat="false" ht="68.65" hidden="false" customHeight="false" outlineLevel="0" collapsed="false">
      <c r="A241" s="11" t="s">
        <v>1130</v>
      </c>
      <c r="B241" s="11" t="s">
        <v>1131</v>
      </c>
      <c r="C241" s="11" t="s">
        <v>90</v>
      </c>
      <c r="D241" s="11" t="s">
        <v>27</v>
      </c>
      <c r="E241" s="11" t="s">
        <v>194</v>
      </c>
      <c r="F241" s="11" t="n">
        <v>150</v>
      </c>
      <c r="G241" s="11"/>
      <c r="H241" s="12" t="n">
        <v>1702</v>
      </c>
      <c r="I241" s="12" t="n">
        <v>1699.37</v>
      </c>
      <c r="J241" s="11" t="s">
        <v>135</v>
      </c>
      <c r="K241" s="13" t="n">
        <v>23.1</v>
      </c>
      <c r="L241" s="13"/>
      <c r="M241" s="11"/>
      <c r="N241" s="11"/>
      <c r="O241" s="12"/>
      <c r="P241" s="11"/>
      <c r="Q241" s="12"/>
      <c r="R241" s="11" t="s">
        <v>114</v>
      </c>
      <c r="S241" s="11" t="s">
        <v>205</v>
      </c>
      <c r="T241" s="11" t="s">
        <v>126</v>
      </c>
      <c r="U241" s="14" t="s">
        <v>1132</v>
      </c>
      <c r="V241" s="14" t="s">
        <v>1133</v>
      </c>
      <c r="W241" s="14" t="s">
        <v>1134</v>
      </c>
      <c r="X241" s="11" t="s">
        <v>79</v>
      </c>
      <c r="Y241" s="11" t="s">
        <v>1135</v>
      </c>
    </row>
    <row r="242" customFormat="false" ht="35.05" hidden="false" customHeight="false" outlineLevel="0" collapsed="false">
      <c r="A242" s="11" t="s">
        <v>1130</v>
      </c>
      <c r="B242" s="11" t="s">
        <v>1136</v>
      </c>
      <c r="C242" s="11" t="s">
        <v>259</v>
      </c>
      <c r="D242" s="11" t="s">
        <v>32</v>
      </c>
      <c r="E242" s="11" t="s">
        <v>113</v>
      </c>
      <c r="F242" s="11" t="n">
        <v>125</v>
      </c>
      <c r="G242" s="11"/>
      <c r="H242" s="12" t="n">
        <v>1.087</v>
      </c>
      <c r="I242" s="12" t="n">
        <v>1.1052</v>
      </c>
      <c r="J242" s="11" t="s">
        <v>135</v>
      </c>
      <c r="K242" s="13" t="n">
        <v>209.34</v>
      </c>
      <c r="L242" s="13"/>
      <c r="M242" s="11"/>
      <c r="N242" s="11"/>
      <c r="O242" s="12"/>
      <c r="P242" s="11"/>
      <c r="Q242" s="12"/>
      <c r="R242" s="11" t="s">
        <v>114</v>
      </c>
      <c r="S242" s="11" t="s">
        <v>205</v>
      </c>
      <c r="T242" s="11" t="s">
        <v>126</v>
      </c>
      <c r="U242" s="14" t="s">
        <v>1137</v>
      </c>
      <c r="V242" s="14" t="s">
        <v>1138</v>
      </c>
      <c r="W242" s="14" t="s">
        <v>1139</v>
      </c>
      <c r="X242" s="11" t="s">
        <v>79</v>
      </c>
      <c r="Y242" s="11" t="s">
        <v>1140</v>
      </c>
    </row>
    <row r="243" customFormat="false" ht="35.05" hidden="false" customHeight="false" outlineLevel="0" collapsed="false">
      <c r="A243" s="11" t="s">
        <v>1130</v>
      </c>
      <c r="B243" s="11" t="s">
        <v>1141</v>
      </c>
      <c r="C243" s="11" t="s">
        <v>259</v>
      </c>
      <c r="D243" s="11" t="s">
        <v>32</v>
      </c>
      <c r="E243" s="11" t="s">
        <v>113</v>
      </c>
      <c r="F243" s="11" t="n">
        <v>125</v>
      </c>
      <c r="G243" s="11"/>
      <c r="H243" s="12" t="n">
        <v>1.087</v>
      </c>
      <c r="I243" s="12" t="n">
        <v>1.127</v>
      </c>
      <c r="J243" s="11" t="s">
        <v>156</v>
      </c>
      <c r="K243" s="13" t="n">
        <v>459.98</v>
      </c>
      <c r="L243" s="13"/>
      <c r="M243" s="11"/>
      <c r="N243" s="11"/>
      <c r="O243" s="12"/>
      <c r="P243" s="11"/>
      <c r="Q243" s="12"/>
      <c r="R243" s="11" t="s">
        <v>73</v>
      </c>
      <c r="S243" s="11" t="s">
        <v>205</v>
      </c>
      <c r="T243" s="11" t="s">
        <v>126</v>
      </c>
      <c r="U243" s="14" t="s">
        <v>1142</v>
      </c>
      <c r="V243" s="14" t="s">
        <v>1143</v>
      </c>
      <c r="W243" s="14" t="s">
        <v>1144</v>
      </c>
      <c r="X243" s="11" t="s">
        <v>79</v>
      </c>
      <c r="Y243" s="11" t="s">
        <v>1145</v>
      </c>
    </row>
    <row r="244" customFormat="false" ht="68.65" hidden="false" customHeight="false" outlineLevel="0" collapsed="false">
      <c r="A244" s="11" t="s">
        <v>1146</v>
      </c>
      <c r="B244" s="11" t="s">
        <v>1147</v>
      </c>
      <c r="C244" s="11" t="s">
        <v>259</v>
      </c>
      <c r="D244" s="11" t="s">
        <v>32</v>
      </c>
      <c r="E244" s="11" t="s">
        <v>113</v>
      </c>
      <c r="F244" s="11"/>
      <c r="G244" s="11"/>
      <c r="H244" s="12" t="n">
        <v>1.0868</v>
      </c>
      <c r="I244" s="12" t="n">
        <v>1.162</v>
      </c>
      <c r="J244" s="11" t="s">
        <v>156</v>
      </c>
      <c r="K244" s="13"/>
      <c r="L244" s="13"/>
      <c r="M244" s="11"/>
      <c r="N244" s="11"/>
      <c r="O244" s="12"/>
      <c r="P244" s="11"/>
      <c r="Q244" s="12"/>
      <c r="R244" s="11" t="s">
        <v>73</v>
      </c>
      <c r="S244" s="11" t="s">
        <v>115</v>
      </c>
      <c r="T244" s="11" t="s">
        <v>1091</v>
      </c>
      <c r="U244" s="14" t="s">
        <v>1148</v>
      </c>
      <c r="V244" s="14" t="s">
        <v>1149</v>
      </c>
      <c r="W244" s="14" t="s">
        <v>1150</v>
      </c>
      <c r="X244" s="11" t="s">
        <v>120</v>
      </c>
      <c r="Y244" s="11" t="s">
        <v>1151</v>
      </c>
    </row>
    <row r="245" customFormat="false" ht="35.05" hidden="false" customHeight="false" outlineLevel="0" collapsed="false">
      <c r="A245" s="11" t="s">
        <v>1146</v>
      </c>
      <c r="B245" s="11" t="s">
        <v>1152</v>
      </c>
      <c r="C245" s="11" t="s">
        <v>626</v>
      </c>
      <c r="D245" s="11" t="s">
        <v>36</v>
      </c>
      <c r="E245" s="11" t="s">
        <v>113</v>
      </c>
      <c r="F245" s="11" t="n">
        <v>100</v>
      </c>
      <c r="G245" s="11"/>
      <c r="H245" s="12" t="n">
        <v>212.45</v>
      </c>
      <c r="I245" s="12" t="n">
        <v>215.07</v>
      </c>
      <c r="J245" s="11" t="s">
        <v>135</v>
      </c>
      <c r="K245" s="13" t="n">
        <v>123.25</v>
      </c>
      <c r="L245" s="13"/>
      <c r="M245" s="11"/>
      <c r="N245" s="11"/>
      <c r="O245" s="12"/>
      <c r="P245" s="11"/>
      <c r="Q245" s="12"/>
      <c r="R245" s="11" t="s">
        <v>114</v>
      </c>
      <c r="S245" s="11" t="s">
        <v>205</v>
      </c>
      <c r="T245" s="11" t="s">
        <v>126</v>
      </c>
      <c r="U245" s="14" t="s">
        <v>1153</v>
      </c>
      <c r="V245" s="14" t="s">
        <v>1154</v>
      </c>
      <c r="W245" s="14" t="s">
        <v>1155</v>
      </c>
      <c r="X245" s="11" t="s">
        <v>79</v>
      </c>
      <c r="Y245" s="11" t="s">
        <v>1156</v>
      </c>
    </row>
    <row r="246" customFormat="false" ht="35.05" hidden="false" customHeight="false" outlineLevel="0" collapsed="false">
      <c r="A246" s="11" t="s">
        <v>1146</v>
      </c>
      <c r="B246" s="11" t="s">
        <v>1157</v>
      </c>
      <c r="C246" s="11" t="s">
        <v>626</v>
      </c>
      <c r="D246" s="11" t="s">
        <v>36</v>
      </c>
      <c r="E246" s="11" t="s">
        <v>113</v>
      </c>
      <c r="F246" s="11" t="n">
        <v>100</v>
      </c>
      <c r="G246" s="11"/>
      <c r="H246" s="12" t="n">
        <v>212.45</v>
      </c>
      <c r="I246" s="12" t="n">
        <v>218.36</v>
      </c>
      <c r="J246" s="11" t="s">
        <v>156</v>
      </c>
      <c r="K246" s="13" t="n">
        <v>278.02</v>
      </c>
      <c r="L246" s="13"/>
      <c r="M246" s="11"/>
      <c r="N246" s="11"/>
      <c r="O246" s="12"/>
      <c r="P246" s="11"/>
      <c r="Q246" s="12"/>
      <c r="R246" s="11" t="s">
        <v>73</v>
      </c>
      <c r="S246" s="11" t="s">
        <v>205</v>
      </c>
      <c r="T246" s="11" t="s">
        <v>126</v>
      </c>
      <c r="U246" s="14" t="s">
        <v>1158</v>
      </c>
      <c r="V246" s="14" t="s">
        <v>1159</v>
      </c>
      <c r="W246" s="14" t="s">
        <v>1160</v>
      </c>
      <c r="X246" s="11" t="s">
        <v>79</v>
      </c>
      <c r="Y246" s="11" t="s">
        <v>1161</v>
      </c>
    </row>
    <row r="247" customFormat="false" ht="46.25" hidden="false" customHeight="false" outlineLevel="0" collapsed="false">
      <c r="A247" s="11" t="s">
        <v>1162</v>
      </c>
      <c r="B247" s="11" t="s">
        <v>1163</v>
      </c>
      <c r="C247" s="11" t="s">
        <v>349</v>
      </c>
      <c r="D247" s="11" t="s">
        <v>31</v>
      </c>
      <c r="E247" s="11" t="s">
        <v>194</v>
      </c>
      <c r="F247" s="11" t="n">
        <v>75</v>
      </c>
      <c r="G247" s="11"/>
      <c r="H247" s="12" t="n">
        <v>468.7</v>
      </c>
      <c r="I247" s="12" t="n">
        <v>462.71</v>
      </c>
      <c r="J247" s="11" t="s">
        <v>135</v>
      </c>
      <c r="K247" s="13" t="n">
        <v>95.89</v>
      </c>
      <c r="L247" s="13"/>
      <c r="M247" s="11"/>
      <c r="N247" s="11"/>
      <c r="O247" s="12"/>
      <c r="P247" s="11"/>
      <c r="Q247" s="12"/>
      <c r="R247" s="11" t="s">
        <v>114</v>
      </c>
      <c r="S247" s="11" t="s">
        <v>205</v>
      </c>
      <c r="T247" s="11" t="s">
        <v>126</v>
      </c>
      <c r="U247" s="14" t="s">
        <v>1164</v>
      </c>
      <c r="V247" s="14" t="s">
        <v>1165</v>
      </c>
      <c r="W247" s="14" t="s">
        <v>1166</v>
      </c>
      <c r="X247" s="11" t="s">
        <v>79</v>
      </c>
      <c r="Y247" s="11" t="s">
        <v>1167</v>
      </c>
    </row>
    <row r="248" customFormat="false" ht="68.65" hidden="false" customHeight="false" outlineLevel="0" collapsed="false">
      <c r="A248" s="11" t="s">
        <v>1162</v>
      </c>
      <c r="B248" s="11" t="s">
        <v>1168</v>
      </c>
      <c r="C248" s="11" t="s">
        <v>349</v>
      </c>
      <c r="D248" s="11" t="s">
        <v>31</v>
      </c>
      <c r="E248" s="11" t="s">
        <v>194</v>
      </c>
      <c r="F248" s="11" t="n">
        <v>75</v>
      </c>
      <c r="G248" s="11"/>
      <c r="H248" s="12" t="n">
        <v>468.7</v>
      </c>
      <c r="I248" s="12" t="n">
        <v>453.04</v>
      </c>
      <c r="J248" s="11" t="s">
        <v>156</v>
      </c>
      <c r="K248" s="13" t="n">
        <v>250.72</v>
      </c>
      <c r="L248" s="13"/>
      <c r="M248" s="11"/>
      <c r="N248" s="11"/>
      <c r="O248" s="12"/>
      <c r="P248" s="11"/>
      <c r="Q248" s="12"/>
      <c r="R248" s="11" t="s">
        <v>73</v>
      </c>
      <c r="S248" s="11" t="s">
        <v>205</v>
      </c>
      <c r="T248" s="11" t="s">
        <v>126</v>
      </c>
      <c r="U248" s="14" t="s">
        <v>1169</v>
      </c>
      <c r="V248" s="14" t="s">
        <v>1170</v>
      </c>
      <c r="W248" s="14" t="s">
        <v>1171</v>
      </c>
      <c r="X248" s="11" t="s">
        <v>79</v>
      </c>
      <c r="Y248" s="11" t="s">
        <v>1172</v>
      </c>
    </row>
    <row r="249" customFormat="false" ht="57.45" hidden="false" customHeight="false" outlineLevel="0" collapsed="false">
      <c r="A249" s="11" t="s">
        <v>1162</v>
      </c>
      <c r="B249" s="11" t="s">
        <v>1173</v>
      </c>
      <c r="C249" s="11" t="s">
        <v>1174</v>
      </c>
      <c r="D249" s="11" t="s">
        <v>1175</v>
      </c>
      <c r="E249" s="11" t="s">
        <v>194</v>
      </c>
      <c r="F249" s="11" t="n">
        <v>50</v>
      </c>
      <c r="G249" s="11"/>
      <c r="H249" s="12" t="n">
        <v>0.238</v>
      </c>
      <c r="I249" s="12" t="n">
        <v>0.2358</v>
      </c>
      <c r="J249" s="11" t="s">
        <v>135</v>
      </c>
      <c r="K249" s="13" t="n">
        <v>44.25</v>
      </c>
      <c r="L249" s="13"/>
      <c r="M249" s="11"/>
      <c r="N249" s="11"/>
      <c r="O249" s="12"/>
      <c r="P249" s="11"/>
      <c r="Q249" s="12"/>
      <c r="R249" s="11" t="s">
        <v>114</v>
      </c>
      <c r="S249" s="11" t="s">
        <v>205</v>
      </c>
      <c r="T249" s="11" t="s">
        <v>126</v>
      </c>
      <c r="U249" s="14" t="s">
        <v>1176</v>
      </c>
      <c r="V249" s="14" t="s">
        <v>1177</v>
      </c>
      <c r="W249" s="14" t="s">
        <v>1178</v>
      </c>
      <c r="X249" s="11" t="s">
        <v>79</v>
      </c>
      <c r="Y249" s="11" t="s">
        <v>1179</v>
      </c>
    </row>
    <row r="250" customFormat="false" ht="68.65" hidden="false" customHeight="false" outlineLevel="0" collapsed="false">
      <c r="A250" s="11" t="s">
        <v>1162</v>
      </c>
      <c r="B250" s="11" t="s">
        <v>1180</v>
      </c>
      <c r="C250" s="11" t="s">
        <v>90</v>
      </c>
      <c r="D250" s="11" t="s">
        <v>27</v>
      </c>
      <c r="E250" s="11" t="s">
        <v>194</v>
      </c>
      <c r="F250" s="11" t="n">
        <v>150</v>
      </c>
      <c r="G250" s="11"/>
      <c r="H250" s="12" t="n">
        <v>1759.84</v>
      </c>
      <c r="I250" s="12" t="n">
        <v>1753.36</v>
      </c>
      <c r="J250" s="11" t="s">
        <v>135</v>
      </c>
      <c r="K250" s="13" t="n">
        <v>55.25</v>
      </c>
      <c r="L250" s="13"/>
      <c r="M250" s="11"/>
      <c r="N250" s="11"/>
      <c r="O250" s="12"/>
      <c r="P250" s="11"/>
      <c r="Q250" s="12"/>
      <c r="R250" s="11" t="s">
        <v>114</v>
      </c>
      <c r="S250" s="11" t="s">
        <v>205</v>
      </c>
      <c r="T250" s="11" t="s">
        <v>126</v>
      </c>
      <c r="U250" s="14" t="s">
        <v>1181</v>
      </c>
      <c r="V250" s="14" t="s">
        <v>1182</v>
      </c>
      <c r="W250" s="14" t="s">
        <v>1183</v>
      </c>
      <c r="X250" s="11" t="s">
        <v>79</v>
      </c>
      <c r="Y250" s="11" t="s">
        <v>1184</v>
      </c>
    </row>
    <row r="251" customFormat="false" ht="57.45" hidden="false" customHeight="false" outlineLevel="0" collapsed="false">
      <c r="A251" s="11" t="s">
        <v>1185</v>
      </c>
      <c r="B251" s="11" t="s">
        <v>1186</v>
      </c>
      <c r="C251" s="11" t="s">
        <v>92</v>
      </c>
      <c r="D251" s="11" t="s">
        <v>30</v>
      </c>
      <c r="E251" s="11" t="s">
        <v>113</v>
      </c>
      <c r="F251" s="11" t="n">
        <v>75</v>
      </c>
      <c r="G251" s="11"/>
      <c r="H251" s="12" t="n">
        <v>68.787</v>
      </c>
      <c r="I251" s="12" t="n">
        <v>70.796</v>
      </c>
      <c r="J251" s="11" t="s">
        <v>156</v>
      </c>
      <c r="K251" s="13" t="n">
        <v>219.04</v>
      </c>
      <c r="L251" s="13"/>
      <c r="M251" s="11"/>
      <c r="N251" s="11"/>
      <c r="O251" s="12"/>
      <c r="P251" s="11"/>
      <c r="Q251" s="12"/>
      <c r="R251" s="11" t="s">
        <v>73</v>
      </c>
      <c r="S251" s="11" t="s">
        <v>205</v>
      </c>
      <c r="T251" s="11" t="s">
        <v>126</v>
      </c>
      <c r="U251" s="14" t="s">
        <v>1187</v>
      </c>
      <c r="V251" s="14" t="s">
        <v>1188</v>
      </c>
      <c r="W251" s="14" t="s">
        <v>1189</v>
      </c>
      <c r="X251" s="11" t="s">
        <v>79</v>
      </c>
      <c r="Y251" s="11" t="s">
        <v>1190</v>
      </c>
    </row>
    <row r="252" customFormat="false" ht="46.25" hidden="false" customHeight="false" outlineLevel="0" collapsed="false">
      <c r="A252" s="11" t="s">
        <v>1185</v>
      </c>
      <c r="B252" s="11" t="s">
        <v>1191</v>
      </c>
      <c r="C252" s="11" t="s">
        <v>1192</v>
      </c>
      <c r="D252" s="11" t="s">
        <v>1193</v>
      </c>
      <c r="E252" s="11" t="s">
        <v>194</v>
      </c>
      <c r="F252" s="11" t="n">
        <v>75</v>
      </c>
      <c r="G252" s="11"/>
      <c r="H252" s="12" t="n">
        <v>0.1067</v>
      </c>
      <c r="I252" s="12" t="n">
        <v>0.1034</v>
      </c>
      <c r="J252" s="11" t="s">
        <v>156</v>
      </c>
      <c r="K252" s="13" t="n">
        <v>231.95</v>
      </c>
      <c r="L252" s="13"/>
      <c r="M252" s="11"/>
      <c r="N252" s="11"/>
      <c r="O252" s="12"/>
      <c r="P252" s="11"/>
      <c r="Q252" s="12"/>
      <c r="R252" s="11" t="s">
        <v>73</v>
      </c>
      <c r="S252" s="11" t="s">
        <v>205</v>
      </c>
      <c r="T252" s="11" t="s">
        <v>126</v>
      </c>
      <c r="U252" s="14" t="s">
        <v>1194</v>
      </c>
      <c r="V252" s="14" t="s">
        <v>1195</v>
      </c>
      <c r="W252" s="14" t="s">
        <v>1196</v>
      </c>
      <c r="X252" s="11" t="s">
        <v>79</v>
      </c>
      <c r="Y252" s="11" t="s">
        <v>1197</v>
      </c>
    </row>
    <row r="253" customFormat="false" ht="57.45" hidden="false" customHeight="false" outlineLevel="0" collapsed="false">
      <c r="A253" s="11" t="s">
        <v>1185</v>
      </c>
      <c r="B253" s="11" t="s">
        <v>1198</v>
      </c>
      <c r="C253" s="11" t="s">
        <v>90</v>
      </c>
      <c r="D253" s="11" t="s">
        <v>27</v>
      </c>
      <c r="E253" s="11" t="s">
        <v>194</v>
      </c>
      <c r="F253" s="11" t="n">
        <v>150</v>
      </c>
      <c r="G253" s="11"/>
      <c r="H253" s="12" t="n">
        <v>1759.84</v>
      </c>
      <c r="I253" s="12" t="n">
        <v>1736.9</v>
      </c>
      <c r="J253" s="11" t="s">
        <v>135</v>
      </c>
      <c r="K253" s="13" t="n">
        <v>195.5</v>
      </c>
      <c r="L253" s="13"/>
      <c r="M253" s="11"/>
      <c r="N253" s="11"/>
      <c r="O253" s="12"/>
      <c r="P253" s="11"/>
      <c r="Q253" s="12"/>
      <c r="R253" s="11" t="s">
        <v>114</v>
      </c>
      <c r="S253" s="11" t="s">
        <v>205</v>
      </c>
      <c r="T253" s="11" t="s">
        <v>126</v>
      </c>
      <c r="U253" s="14" t="s">
        <v>1199</v>
      </c>
      <c r="V253" s="14" t="s">
        <v>1200</v>
      </c>
      <c r="W253" s="14" t="s">
        <v>1201</v>
      </c>
      <c r="X253" s="11" t="s">
        <v>79</v>
      </c>
      <c r="Y253" s="11" t="s">
        <v>1202</v>
      </c>
    </row>
    <row r="254" customFormat="false" ht="57.45" hidden="false" customHeight="false" outlineLevel="0" collapsed="false">
      <c r="A254" s="11" t="s">
        <v>1203</v>
      </c>
      <c r="B254" s="11" t="s">
        <v>1204</v>
      </c>
      <c r="C254" s="11" t="s">
        <v>86</v>
      </c>
      <c r="D254" s="11" t="s">
        <v>26</v>
      </c>
      <c r="E254" s="11" t="s">
        <v>194</v>
      </c>
      <c r="F254" s="11"/>
      <c r="G254" s="11"/>
      <c r="H254" s="12"/>
      <c r="I254" s="12"/>
      <c r="J254" s="11"/>
      <c r="K254" s="13"/>
      <c r="L254" s="13"/>
      <c r="M254" s="11"/>
      <c r="N254" s="11"/>
      <c r="O254" s="12"/>
      <c r="P254" s="11"/>
      <c r="Q254" s="12"/>
      <c r="R254" s="11" t="s">
        <v>325</v>
      </c>
      <c r="S254" s="11" t="s">
        <v>74</v>
      </c>
      <c r="T254" s="11" t="s">
        <v>75</v>
      </c>
      <c r="U254" s="14" t="s">
        <v>1205</v>
      </c>
      <c r="V254" s="14" t="s">
        <v>1206</v>
      </c>
      <c r="W254" s="14" t="s">
        <v>1207</v>
      </c>
      <c r="X254" s="11" t="s">
        <v>79</v>
      </c>
      <c r="Y254" s="11" t="s">
        <v>1208</v>
      </c>
    </row>
    <row r="255" customFormat="false" ht="23.85" hidden="false" customHeight="false" outlineLevel="0" collapsed="false">
      <c r="A255" s="11" t="s">
        <v>1203</v>
      </c>
      <c r="B255" s="11" t="s">
        <v>1209</v>
      </c>
      <c r="C255" s="11" t="s">
        <v>1210</v>
      </c>
      <c r="D255" s="11" t="s">
        <v>1211</v>
      </c>
      <c r="E255" s="11" t="s">
        <v>194</v>
      </c>
      <c r="F255" s="11" t="n">
        <v>75</v>
      </c>
      <c r="G255" s="11"/>
      <c r="H255" s="12" t="n">
        <v>0.19789</v>
      </c>
      <c r="I255" s="12" t="n">
        <v>0.19291</v>
      </c>
      <c r="J255" s="11" t="s">
        <v>156</v>
      </c>
      <c r="K255" s="13" t="n">
        <v>188.93</v>
      </c>
      <c r="L255" s="13"/>
      <c r="M255" s="11"/>
      <c r="N255" s="11"/>
      <c r="O255" s="12"/>
      <c r="P255" s="11"/>
      <c r="Q255" s="12"/>
      <c r="R255" s="11" t="s">
        <v>73</v>
      </c>
      <c r="S255" s="11" t="s">
        <v>205</v>
      </c>
      <c r="T255" s="11" t="s">
        <v>126</v>
      </c>
      <c r="U255" s="14" t="s">
        <v>1212</v>
      </c>
      <c r="V255" s="14" t="s">
        <v>1213</v>
      </c>
      <c r="W255" s="14" t="s">
        <v>1214</v>
      </c>
      <c r="X255" s="11" t="s">
        <v>79</v>
      </c>
      <c r="Y255" s="11" t="s">
        <v>1215</v>
      </c>
    </row>
    <row r="256" customFormat="false" ht="57.45" hidden="false" customHeight="false" outlineLevel="0" collapsed="false">
      <c r="A256" s="11" t="s">
        <v>1216</v>
      </c>
      <c r="B256" s="11" t="s">
        <v>1217</v>
      </c>
      <c r="C256" s="11" t="s">
        <v>86</v>
      </c>
      <c r="D256" s="11" t="s">
        <v>26</v>
      </c>
      <c r="E256" s="11" t="s">
        <v>113</v>
      </c>
      <c r="F256" s="11" t="n">
        <v>150</v>
      </c>
      <c r="G256" s="11"/>
      <c r="H256" s="12" t="n">
        <v>63229.9</v>
      </c>
      <c r="I256" s="12" t="n">
        <v>63998.4</v>
      </c>
      <c r="J256" s="11" t="s">
        <v>135</v>
      </c>
      <c r="K256" s="13" t="n">
        <v>182.32</v>
      </c>
      <c r="L256" s="13"/>
      <c r="M256" s="11"/>
      <c r="N256" s="11"/>
      <c r="O256" s="12"/>
      <c r="P256" s="11"/>
      <c r="Q256" s="12"/>
      <c r="R256" s="11" t="s">
        <v>114</v>
      </c>
      <c r="S256" s="11" t="s">
        <v>205</v>
      </c>
      <c r="T256" s="11" t="s">
        <v>126</v>
      </c>
      <c r="U256" s="14" t="s">
        <v>1218</v>
      </c>
      <c r="V256" s="14" t="s">
        <v>1219</v>
      </c>
      <c r="W256" s="14" t="s">
        <v>1220</v>
      </c>
      <c r="X256" s="11" t="s">
        <v>79</v>
      </c>
      <c r="Y256" s="11" t="s">
        <v>1221</v>
      </c>
    </row>
    <row r="257" customFormat="false" ht="46.25" hidden="false" customHeight="false" outlineLevel="0" collapsed="false">
      <c r="A257" s="11" t="s">
        <v>1222</v>
      </c>
      <c r="B257" s="11" t="s">
        <v>1223</v>
      </c>
      <c r="C257" s="11" t="s">
        <v>1224</v>
      </c>
      <c r="D257" s="11" t="s">
        <v>1225</v>
      </c>
      <c r="E257" s="11" t="s">
        <v>113</v>
      </c>
      <c r="F257" s="11" t="n">
        <v>25</v>
      </c>
      <c r="G257" s="11"/>
      <c r="H257" s="12" t="n">
        <v>0.008487</v>
      </c>
      <c r="I257" s="12" t="n">
        <v>0.009649</v>
      </c>
      <c r="J257" s="11" t="s">
        <v>135</v>
      </c>
      <c r="K257" s="13" t="n">
        <v>342.56</v>
      </c>
      <c r="L257" s="13"/>
      <c r="M257" s="11"/>
      <c r="N257" s="11"/>
      <c r="O257" s="12"/>
      <c r="P257" s="11"/>
      <c r="Q257" s="12"/>
      <c r="R257" s="11" t="s">
        <v>114</v>
      </c>
      <c r="S257" s="11" t="s">
        <v>205</v>
      </c>
      <c r="T257" s="11" t="s">
        <v>126</v>
      </c>
      <c r="U257" s="14" t="s">
        <v>1226</v>
      </c>
      <c r="V257" s="14" t="s">
        <v>1227</v>
      </c>
      <c r="W257" s="14" t="s">
        <v>1228</v>
      </c>
      <c r="X257" s="11" t="s">
        <v>79</v>
      </c>
      <c r="Y257" s="11" t="s">
        <v>1229</v>
      </c>
    </row>
    <row r="258" customFormat="false" ht="35.05" hidden="false" customHeight="false" outlineLevel="0" collapsed="false">
      <c r="A258" s="11" t="s">
        <v>1222</v>
      </c>
      <c r="B258" s="11" t="s">
        <v>1230</v>
      </c>
      <c r="C258" s="11" t="s">
        <v>86</v>
      </c>
      <c r="D258" s="11" t="s">
        <v>26</v>
      </c>
      <c r="E258" s="11" t="s">
        <v>113</v>
      </c>
      <c r="F258" s="11" t="n">
        <v>150</v>
      </c>
      <c r="G258" s="11"/>
      <c r="H258" s="12" t="n">
        <v>62775.4</v>
      </c>
      <c r="I258" s="12" t="n">
        <v>63781.6</v>
      </c>
      <c r="J258" s="11" t="s">
        <v>156</v>
      </c>
      <c r="K258" s="13" t="n">
        <v>240.4</v>
      </c>
      <c r="L258" s="13"/>
      <c r="M258" s="11"/>
      <c r="N258" s="11"/>
      <c r="O258" s="12"/>
      <c r="P258" s="11"/>
      <c r="Q258" s="12"/>
      <c r="R258" s="11" t="s">
        <v>73</v>
      </c>
      <c r="S258" s="11" t="s">
        <v>205</v>
      </c>
      <c r="T258" s="11" t="s">
        <v>126</v>
      </c>
      <c r="U258" s="14" t="s">
        <v>1231</v>
      </c>
      <c r="V258" s="14" t="s">
        <v>1232</v>
      </c>
      <c r="W258" s="14" t="s">
        <v>1233</v>
      </c>
      <c r="X258" s="11" t="s">
        <v>79</v>
      </c>
      <c r="Y258" s="11" t="s">
        <v>1234</v>
      </c>
    </row>
    <row r="259" customFormat="false" ht="57.45" hidden="false" customHeight="false" outlineLevel="0" collapsed="false">
      <c r="A259" s="11" t="s">
        <v>1235</v>
      </c>
      <c r="B259" s="11" t="s">
        <v>1236</v>
      </c>
      <c r="C259" s="11" t="s">
        <v>86</v>
      </c>
      <c r="D259" s="11" t="s">
        <v>26</v>
      </c>
      <c r="E259" s="11" t="s">
        <v>113</v>
      </c>
      <c r="F259" s="11"/>
      <c r="G259" s="11"/>
      <c r="H259" s="12"/>
      <c r="I259" s="12"/>
      <c r="J259" s="11"/>
      <c r="K259" s="13"/>
      <c r="L259" s="13"/>
      <c r="M259" s="11"/>
      <c r="N259" s="11"/>
      <c r="O259" s="12"/>
      <c r="P259" s="11"/>
      <c r="Q259" s="12"/>
      <c r="R259" s="11" t="s">
        <v>325</v>
      </c>
      <c r="S259" s="11" t="s">
        <v>74</v>
      </c>
      <c r="T259" s="11" t="s">
        <v>75</v>
      </c>
      <c r="U259" s="14" t="s">
        <v>1237</v>
      </c>
      <c r="V259" s="14" t="s">
        <v>1238</v>
      </c>
      <c r="W259" s="14" t="s">
        <v>1239</v>
      </c>
      <c r="X259" s="11" t="s">
        <v>79</v>
      </c>
      <c r="Y259" s="11" t="s">
        <v>1240</v>
      </c>
    </row>
    <row r="260" customFormat="false" ht="46.25" hidden="false" customHeight="false" outlineLevel="0" collapsed="false">
      <c r="A260" s="11" t="s">
        <v>1235</v>
      </c>
      <c r="B260" s="11" t="s">
        <v>1241</v>
      </c>
      <c r="C260" s="11" t="s">
        <v>86</v>
      </c>
      <c r="D260" s="11" t="s">
        <v>26</v>
      </c>
      <c r="E260" s="11" t="s">
        <v>113</v>
      </c>
      <c r="F260" s="11"/>
      <c r="G260" s="11"/>
      <c r="H260" s="12"/>
      <c r="I260" s="12"/>
      <c r="J260" s="11"/>
      <c r="K260" s="13"/>
      <c r="L260" s="13"/>
      <c r="M260" s="11"/>
      <c r="N260" s="11"/>
      <c r="O260" s="12"/>
      <c r="P260" s="11"/>
      <c r="Q260" s="12"/>
      <c r="R260" s="11" t="s">
        <v>325</v>
      </c>
      <c r="S260" s="11" t="s">
        <v>74</v>
      </c>
      <c r="T260" s="11" t="s">
        <v>75</v>
      </c>
      <c r="U260" s="14" t="s">
        <v>1242</v>
      </c>
      <c r="V260" s="14"/>
      <c r="W260" s="14" t="s">
        <v>1243</v>
      </c>
      <c r="X260" s="11" t="s">
        <v>79</v>
      </c>
      <c r="Y260" s="11" t="s">
        <v>1244</v>
      </c>
    </row>
    <row r="261" customFormat="false" ht="57.45" hidden="false" customHeight="false" outlineLevel="0" collapsed="false">
      <c r="A261" s="11" t="s">
        <v>1245</v>
      </c>
      <c r="B261" s="11" t="s">
        <v>1246</v>
      </c>
      <c r="C261" s="11" t="s">
        <v>86</v>
      </c>
      <c r="D261" s="11" t="s">
        <v>26</v>
      </c>
      <c r="E261" s="11" t="s">
        <v>194</v>
      </c>
      <c r="F261" s="11" t="n">
        <v>150</v>
      </c>
      <c r="G261" s="11"/>
      <c r="H261" s="12" t="n">
        <v>64948.66</v>
      </c>
      <c r="I261" s="12" t="n">
        <v>64896.8</v>
      </c>
      <c r="J261" s="11" t="s">
        <v>232</v>
      </c>
      <c r="K261" s="13" t="n">
        <v>11.92</v>
      </c>
      <c r="L261" s="13"/>
      <c r="M261" s="11"/>
      <c r="N261" s="11"/>
      <c r="O261" s="12"/>
      <c r="P261" s="11"/>
      <c r="Q261" s="12"/>
      <c r="R261" s="11" t="s">
        <v>114</v>
      </c>
      <c r="S261" s="11" t="s">
        <v>234</v>
      </c>
      <c r="T261" s="11" t="s">
        <v>126</v>
      </c>
      <c r="U261" s="14" t="s">
        <v>1247</v>
      </c>
      <c r="V261" s="14" t="s">
        <v>1248</v>
      </c>
      <c r="W261" s="14" t="s">
        <v>1249</v>
      </c>
      <c r="X261" s="11" t="s">
        <v>79</v>
      </c>
      <c r="Y261" s="11" t="s">
        <v>1250</v>
      </c>
    </row>
    <row r="262" customFormat="false" ht="57.45" hidden="false" customHeight="false" outlineLevel="0" collapsed="false">
      <c r="A262" s="11" t="s">
        <v>1251</v>
      </c>
      <c r="B262" s="11" t="s">
        <v>1252</v>
      </c>
      <c r="C262" s="11" t="s">
        <v>86</v>
      </c>
      <c r="D262" s="11" t="s">
        <v>26</v>
      </c>
      <c r="E262" s="11" t="s">
        <v>113</v>
      </c>
      <c r="F262" s="11" t="n">
        <v>150</v>
      </c>
      <c r="G262" s="11"/>
      <c r="H262" s="12"/>
      <c r="I262" s="12"/>
      <c r="J262" s="11"/>
      <c r="K262" s="13" t="n">
        <v>171.25</v>
      </c>
      <c r="L262" s="13"/>
      <c r="M262" s="11"/>
      <c r="N262" s="11"/>
      <c r="O262" s="12"/>
      <c r="P262" s="11"/>
      <c r="Q262" s="12"/>
      <c r="R262" s="11" t="s">
        <v>115</v>
      </c>
      <c r="S262" s="11" t="s">
        <v>205</v>
      </c>
      <c r="T262" s="11" t="s">
        <v>126</v>
      </c>
      <c r="U262" s="14" t="s">
        <v>1253</v>
      </c>
      <c r="V262" s="14" t="s">
        <v>1254</v>
      </c>
      <c r="W262" s="14" t="s">
        <v>1255</v>
      </c>
      <c r="X262" s="11" t="s">
        <v>120</v>
      </c>
      <c r="Y262" s="11" t="s">
        <v>1256</v>
      </c>
    </row>
    <row r="263" customFormat="false" ht="46.25" hidden="false" customHeight="false" outlineLevel="0" collapsed="false">
      <c r="A263" s="11" t="s">
        <v>1257</v>
      </c>
      <c r="B263" s="11" t="s">
        <v>1258</v>
      </c>
      <c r="C263" s="11" t="s">
        <v>349</v>
      </c>
      <c r="D263" s="11" t="s">
        <v>31</v>
      </c>
      <c r="E263" s="11" t="s">
        <v>113</v>
      </c>
      <c r="F263" s="11" t="n">
        <v>75</v>
      </c>
      <c r="G263" s="11"/>
      <c r="H263" s="12"/>
      <c r="I263" s="12"/>
      <c r="J263" s="11"/>
      <c r="K263" s="13" t="n">
        <v>147.51</v>
      </c>
      <c r="L263" s="13"/>
      <c r="M263" s="11"/>
      <c r="N263" s="11"/>
      <c r="O263" s="12"/>
      <c r="P263" s="11"/>
      <c r="Q263" s="12"/>
      <c r="R263" s="11" t="s">
        <v>115</v>
      </c>
      <c r="S263" s="11" t="s">
        <v>205</v>
      </c>
      <c r="T263" s="11" t="s">
        <v>126</v>
      </c>
      <c r="U263" s="14" t="s">
        <v>1259</v>
      </c>
      <c r="V263" s="14"/>
      <c r="W263" s="14" t="s">
        <v>1260</v>
      </c>
      <c r="X263" s="11" t="s">
        <v>120</v>
      </c>
      <c r="Y263" s="11" t="s">
        <v>1261</v>
      </c>
    </row>
    <row r="264" customFormat="false" ht="68.65" hidden="false" customHeight="false" outlineLevel="0" collapsed="false">
      <c r="A264" s="11" t="s">
        <v>1262</v>
      </c>
      <c r="B264" s="11" t="s">
        <v>1263</v>
      </c>
      <c r="C264" s="11" t="s">
        <v>86</v>
      </c>
      <c r="D264" s="11" t="s">
        <v>26</v>
      </c>
      <c r="E264" s="11" t="s">
        <v>113</v>
      </c>
      <c r="F264" s="11"/>
      <c r="G264" s="11"/>
      <c r="H264" s="12" t="n">
        <v>63244.7</v>
      </c>
      <c r="I264" s="12" t="n">
        <v>65024.1</v>
      </c>
      <c r="J264" s="11" t="s">
        <v>156</v>
      </c>
      <c r="K264" s="13" t="n">
        <v>204.89</v>
      </c>
      <c r="L264" s="13"/>
      <c r="M264" s="11"/>
      <c r="N264" s="11"/>
      <c r="O264" s="12"/>
      <c r="P264" s="11"/>
      <c r="Q264" s="12"/>
      <c r="R264" s="11" t="s">
        <v>73</v>
      </c>
      <c r="S264" s="11" t="s">
        <v>416</v>
      </c>
      <c r="T264" s="11" t="s">
        <v>126</v>
      </c>
      <c r="U264" s="14" t="s">
        <v>1264</v>
      </c>
      <c r="V264" s="14" t="s">
        <v>1265</v>
      </c>
      <c r="W264" s="14" t="s">
        <v>1266</v>
      </c>
      <c r="X264" s="11" t="s">
        <v>79</v>
      </c>
      <c r="Y264" s="11" t="s">
        <v>1267</v>
      </c>
    </row>
    <row r="265" customFormat="false" ht="57.45" hidden="false" customHeight="false" outlineLevel="0" collapsed="false">
      <c r="A265" s="11" t="s">
        <v>1262</v>
      </c>
      <c r="B265" s="11" t="s">
        <v>1268</v>
      </c>
      <c r="C265" s="11" t="s">
        <v>86</v>
      </c>
      <c r="D265" s="11" t="s">
        <v>26</v>
      </c>
      <c r="E265" s="11" t="s">
        <v>113</v>
      </c>
      <c r="F265" s="11"/>
      <c r="G265" s="11"/>
      <c r="H265" s="12" t="n">
        <v>63244.7</v>
      </c>
      <c r="I265" s="12" t="n">
        <v>65578.6</v>
      </c>
      <c r="J265" s="11" t="s">
        <v>232</v>
      </c>
      <c r="K265" s="13"/>
      <c r="L265" s="13"/>
      <c r="M265" s="11"/>
      <c r="N265" s="11"/>
      <c r="O265" s="12"/>
      <c r="P265" s="11"/>
      <c r="Q265" s="12"/>
      <c r="R265" s="11" t="s">
        <v>114</v>
      </c>
      <c r="S265" s="11" t="s">
        <v>416</v>
      </c>
      <c r="T265" s="11" t="s">
        <v>126</v>
      </c>
      <c r="U265" s="14" t="s">
        <v>1269</v>
      </c>
      <c r="V265" s="14" t="s">
        <v>1270</v>
      </c>
      <c r="W265" s="14" t="s">
        <v>1271</v>
      </c>
      <c r="X265" s="11" t="s">
        <v>120</v>
      </c>
      <c r="Y265" s="11" t="s">
        <v>1272</v>
      </c>
    </row>
    <row r="266" customFormat="false" ht="46.25" hidden="false" customHeight="false" outlineLevel="0" collapsed="false">
      <c r="A266" s="11" t="s">
        <v>1273</v>
      </c>
      <c r="B266" s="11" t="s">
        <v>1274</v>
      </c>
      <c r="C266" s="11" t="s">
        <v>107</v>
      </c>
      <c r="D266" s="11" t="s">
        <v>28</v>
      </c>
      <c r="E266" s="11" t="s">
        <v>113</v>
      </c>
      <c r="F266" s="11" t="n">
        <v>125</v>
      </c>
      <c r="G266" s="11"/>
      <c r="H266" s="12" t="n">
        <v>77.9</v>
      </c>
      <c r="I266" s="12" t="n">
        <v>77.99</v>
      </c>
      <c r="J266" s="11" t="s">
        <v>156</v>
      </c>
      <c r="K266" s="13" t="n">
        <v>14.22</v>
      </c>
      <c r="L266" s="13"/>
      <c r="M266" s="11"/>
      <c r="N266" s="11"/>
      <c r="O266" s="12"/>
      <c r="P266" s="11"/>
      <c r="Q266" s="12"/>
      <c r="R266" s="11" t="s">
        <v>73</v>
      </c>
      <c r="S266" s="11" t="s">
        <v>205</v>
      </c>
      <c r="T266" s="11" t="s">
        <v>126</v>
      </c>
      <c r="U266" s="14" t="s">
        <v>1275</v>
      </c>
      <c r="V266" s="14" t="s">
        <v>1276</v>
      </c>
      <c r="W266" s="14" t="s">
        <v>1277</v>
      </c>
      <c r="X266" s="11" t="s">
        <v>79</v>
      </c>
      <c r="Y266" s="11" t="s">
        <v>1278</v>
      </c>
    </row>
    <row r="267" customFormat="false" ht="35.05" hidden="false" customHeight="false" outlineLevel="0" collapsed="false">
      <c r="A267" s="11" t="s">
        <v>1279</v>
      </c>
      <c r="B267" s="11" t="s">
        <v>1280</v>
      </c>
      <c r="C267" s="11" t="s">
        <v>349</v>
      </c>
      <c r="D267" s="11" t="s">
        <v>31</v>
      </c>
      <c r="E267" s="11" t="s">
        <v>194</v>
      </c>
      <c r="F267" s="11" t="n">
        <v>75</v>
      </c>
      <c r="G267" s="11"/>
      <c r="H267" s="12" t="n">
        <v>543.18</v>
      </c>
      <c r="I267" s="12" t="n">
        <v>527.22</v>
      </c>
      <c r="J267" s="11" t="s">
        <v>156</v>
      </c>
      <c r="K267" s="13" t="n">
        <v>220.48</v>
      </c>
      <c r="L267" s="13"/>
      <c r="M267" s="11"/>
      <c r="N267" s="11"/>
      <c r="O267" s="12"/>
      <c r="P267" s="11"/>
      <c r="Q267" s="12"/>
      <c r="R267" s="11" t="s">
        <v>73</v>
      </c>
      <c r="S267" s="11" t="s">
        <v>205</v>
      </c>
      <c r="T267" s="11" t="s">
        <v>126</v>
      </c>
      <c r="U267" s="14" t="s">
        <v>1281</v>
      </c>
      <c r="V267" s="14" t="s">
        <v>1282</v>
      </c>
      <c r="W267" s="14" t="s">
        <v>1283</v>
      </c>
      <c r="X267" s="11" t="s">
        <v>79</v>
      </c>
      <c r="Y267" s="11" t="s">
        <v>1284</v>
      </c>
    </row>
    <row r="268" customFormat="false" ht="35.05" hidden="false" customHeight="false" outlineLevel="0" collapsed="false">
      <c r="A268" s="11" t="s">
        <v>1285</v>
      </c>
      <c r="B268" s="11" t="s">
        <v>1286</v>
      </c>
      <c r="C268" s="11" t="s">
        <v>86</v>
      </c>
      <c r="D268" s="11" t="s">
        <v>26</v>
      </c>
      <c r="E268" s="11" t="s">
        <v>194</v>
      </c>
      <c r="F268" s="11" t="n">
        <v>150</v>
      </c>
      <c r="G268" s="11"/>
      <c r="H268" s="12" t="n">
        <v>66137.7</v>
      </c>
      <c r="I268" s="12" t="n">
        <v>65552.1</v>
      </c>
      <c r="J268" s="11" t="s">
        <v>135</v>
      </c>
      <c r="K268" s="13" t="n">
        <v>132.8</v>
      </c>
      <c r="L268" s="13"/>
      <c r="M268" s="11"/>
      <c r="N268" s="11"/>
      <c r="O268" s="12"/>
      <c r="P268" s="11"/>
      <c r="Q268" s="12"/>
      <c r="R268" s="11" t="s">
        <v>114</v>
      </c>
      <c r="S268" s="11" t="s">
        <v>205</v>
      </c>
      <c r="T268" s="11" t="s">
        <v>126</v>
      </c>
      <c r="U268" s="14" t="s">
        <v>1287</v>
      </c>
      <c r="V268" s="14" t="s">
        <v>1288</v>
      </c>
      <c r="W268" s="14" t="s">
        <v>1289</v>
      </c>
      <c r="X268" s="11" t="s">
        <v>79</v>
      </c>
      <c r="Y268" s="11" t="s">
        <v>1290</v>
      </c>
    </row>
    <row r="269" customFormat="false" ht="46.25" hidden="false" customHeight="false" outlineLevel="0" collapsed="false">
      <c r="A269" s="11" t="s">
        <v>1285</v>
      </c>
      <c r="B269" s="11" t="s">
        <v>1291</v>
      </c>
      <c r="C269" s="11" t="s">
        <v>86</v>
      </c>
      <c r="D269" s="11" t="s">
        <v>26</v>
      </c>
      <c r="E269" s="11" t="s">
        <v>194</v>
      </c>
      <c r="F269" s="11" t="n">
        <v>150</v>
      </c>
      <c r="G269" s="11"/>
      <c r="H269" s="12" t="n">
        <v>66137.7</v>
      </c>
      <c r="I269" s="12" t="n">
        <v>65409.7</v>
      </c>
      <c r="J269" s="11" t="s">
        <v>156</v>
      </c>
      <c r="K269" s="13" t="n">
        <v>165.11</v>
      </c>
      <c r="L269" s="13"/>
      <c r="M269" s="11"/>
      <c r="N269" s="11"/>
      <c r="O269" s="12"/>
      <c r="P269" s="11"/>
      <c r="Q269" s="12"/>
      <c r="R269" s="11" t="s">
        <v>73</v>
      </c>
      <c r="S269" s="11" t="s">
        <v>205</v>
      </c>
      <c r="T269" s="11" t="s">
        <v>126</v>
      </c>
      <c r="U269" s="14" t="s">
        <v>1292</v>
      </c>
      <c r="V269" s="14" t="s">
        <v>1293</v>
      </c>
      <c r="W269" s="14" t="s">
        <v>1294</v>
      </c>
      <c r="X269" s="11" t="s">
        <v>79</v>
      </c>
      <c r="Y269" s="11" t="s">
        <v>1295</v>
      </c>
    </row>
    <row r="270" customFormat="false" ht="46.25" hidden="false" customHeight="false" outlineLevel="0" collapsed="false">
      <c r="A270" s="11" t="s">
        <v>1296</v>
      </c>
      <c r="B270" s="11" t="s">
        <v>1297</v>
      </c>
      <c r="C270" s="11" t="s">
        <v>86</v>
      </c>
      <c r="D270" s="11" t="s">
        <v>26</v>
      </c>
      <c r="E270" s="11" t="s">
        <v>113</v>
      </c>
      <c r="F270" s="11" t="n">
        <v>150</v>
      </c>
      <c r="G270" s="11"/>
      <c r="H270" s="12" t="n">
        <v>64790.5</v>
      </c>
      <c r="I270" s="12" t="n">
        <v>65716.4</v>
      </c>
      <c r="J270" s="11" t="s">
        <v>135</v>
      </c>
      <c r="K270" s="13" t="n">
        <v>214.37</v>
      </c>
      <c r="L270" s="13"/>
      <c r="M270" s="11"/>
      <c r="N270" s="11"/>
      <c r="O270" s="12"/>
      <c r="P270" s="11"/>
      <c r="Q270" s="12"/>
      <c r="R270" s="11" t="s">
        <v>114</v>
      </c>
      <c r="S270" s="11" t="s">
        <v>205</v>
      </c>
      <c r="T270" s="11" t="s">
        <v>126</v>
      </c>
      <c r="U270" s="14" t="s">
        <v>1298</v>
      </c>
      <c r="V270" s="14" t="s">
        <v>1299</v>
      </c>
      <c r="W270" s="14" t="s">
        <v>1300</v>
      </c>
      <c r="X270" s="11" t="s">
        <v>79</v>
      </c>
      <c r="Y270" s="11" t="s">
        <v>1301</v>
      </c>
    </row>
    <row r="271" customFormat="false" ht="35.05" hidden="false" customHeight="false" outlineLevel="0" collapsed="false">
      <c r="A271" s="11" t="s">
        <v>1296</v>
      </c>
      <c r="B271" s="11" t="s">
        <v>1302</v>
      </c>
      <c r="C271" s="11" t="s">
        <v>1303</v>
      </c>
      <c r="D271" s="11" t="s">
        <v>1304</v>
      </c>
      <c r="E271" s="11" t="s">
        <v>113</v>
      </c>
      <c r="F271" s="11" t="n">
        <v>100</v>
      </c>
      <c r="G271" s="11"/>
      <c r="H271" s="12" t="n">
        <v>4066.9</v>
      </c>
      <c r="I271" s="12" t="n">
        <v>4080.98</v>
      </c>
      <c r="J271" s="11" t="s">
        <v>135</v>
      </c>
      <c r="K271" s="13" t="n">
        <v>34.63</v>
      </c>
      <c r="L271" s="13"/>
      <c r="M271" s="11"/>
      <c r="N271" s="11"/>
      <c r="O271" s="12"/>
      <c r="P271" s="11"/>
      <c r="Q271" s="12"/>
      <c r="R271" s="11" t="s">
        <v>114</v>
      </c>
      <c r="S271" s="11" t="s">
        <v>205</v>
      </c>
      <c r="T271" s="11" t="s">
        <v>126</v>
      </c>
      <c r="U271" s="14" t="s">
        <v>1305</v>
      </c>
      <c r="V271" s="14" t="s">
        <v>1306</v>
      </c>
      <c r="W271" s="14" t="s">
        <v>1307</v>
      </c>
      <c r="X271" s="11" t="s">
        <v>79</v>
      </c>
      <c r="Y271" s="11" t="s">
        <v>1308</v>
      </c>
    </row>
    <row r="272" customFormat="false" ht="46.25" hidden="false" customHeight="false" outlineLevel="0" collapsed="false">
      <c r="A272" s="11" t="s">
        <v>1309</v>
      </c>
      <c r="B272" s="11" t="s">
        <v>1310</v>
      </c>
      <c r="C272" s="11" t="s">
        <v>1311</v>
      </c>
      <c r="D272" s="11" t="s">
        <v>1312</v>
      </c>
      <c r="E272" s="11" t="s">
        <v>113</v>
      </c>
      <c r="F272" s="11" t="n">
        <v>50</v>
      </c>
      <c r="G272" s="11"/>
      <c r="H272" s="12" t="n">
        <v>0.06447</v>
      </c>
      <c r="I272" s="12" t="n">
        <v>0.0668</v>
      </c>
      <c r="J272" s="11" t="s">
        <v>156</v>
      </c>
      <c r="K272" s="13" t="n">
        <v>179.96</v>
      </c>
      <c r="L272" s="13"/>
      <c r="M272" s="11"/>
      <c r="N272" s="11"/>
      <c r="O272" s="12"/>
      <c r="P272" s="11"/>
      <c r="Q272" s="12"/>
      <c r="R272" s="11" t="s">
        <v>73</v>
      </c>
      <c r="S272" s="11" t="s">
        <v>205</v>
      </c>
      <c r="T272" s="11" t="s">
        <v>126</v>
      </c>
      <c r="U272" s="14" t="s">
        <v>1313</v>
      </c>
      <c r="V272" s="14" t="s">
        <v>1314</v>
      </c>
      <c r="W272" s="14" t="s">
        <v>1315</v>
      </c>
      <c r="X272" s="11" t="s">
        <v>79</v>
      </c>
      <c r="Y272" s="11" t="s">
        <v>1316</v>
      </c>
    </row>
    <row r="273" customFormat="false" ht="68.65" hidden="false" customHeight="false" outlineLevel="0" collapsed="false">
      <c r="A273" s="11" t="s">
        <v>1309</v>
      </c>
      <c r="B273" s="11" t="s">
        <v>1317</v>
      </c>
      <c r="C273" s="11" t="s">
        <v>1318</v>
      </c>
      <c r="D273" s="11" t="s">
        <v>1319</v>
      </c>
      <c r="E273" s="11" t="s">
        <v>113</v>
      </c>
      <c r="F273" s="11" t="n">
        <v>20</v>
      </c>
      <c r="G273" s="11"/>
      <c r="H273" s="12" t="n">
        <v>0.3509</v>
      </c>
      <c r="I273" s="12" t="n">
        <v>0.3816</v>
      </c>
      <c r="J273" s="11" t="s">
        <v>135</v>
      </c>
      <c r="K273" s="13" t="n">
        <v>172.22</v>
      </c>
      <c r="L273" s="13"/>
      <c r="M273" s="11"/>
      <c r="N273" s="11"/>
      <c r="O273" s="12"/>
      <c r="P273" s="11"/>
      <c r="Q273" s="12"/>
      <c r="R273" s="11" t="s">
        <v>114</v>
      </c>
      <c r="S273" s="11" t="s">
        <v>234</v>
      </c>
      <c r="T273" s="11" t="s">
        <v>126</v>
      </c>
      <c r="U273" s="14" t="s">
        <v>1320</v>
      </c>
      <c r="V273" s="14" t="s">
        <v>1321</v>
      </c>
      <c r="W273" s="14" t="s">
        <v>1322</v>
      </c>
      <c r="X273" s="11" t="s">
        <v>79</v>
      </c>
      <c r="Y273" s="11" t="s">
        <v>1323</v>
      </c>
    </row>
    <row r="274" customFormat="false" ht="35.05" hidden="false" customHeight="false" outlineLevel="0" collapsed="false">
      <c r="A274" s="11" t="s">
        <v>1309</v>
      </c>
      <c r="B274" s="11" t="s">
        <v>1324</v>
      </c>
      <c r="C274" s="11" t="s">
        <v>1325</v>
      </c>
      <c r="D274" s="11" t="s">
        <v>1326</v>
      </c>
      <c r="E274" s="11" t="s">
        <v>113</v>
      </c>
      <c r="F274" s="11" t="n">
        <v>49</v>
      </c>
      <c r="G274" s="11"/>
      <c r="H274" s="12" t="n">
        <v>0.03375</v>
      </c>
      <c r="I274" s="12" t="n">
        <v>0.03504</v>
      </c>
      <c r="J274" s="11" t="s">
        <v>156</v>
      </c>
      <c r="K274" s="13" t="n">
        <v>187.28</v>
      </c>
      <c r="L274" s="13"/>
      <c r="M274" s="11"/>
      <c r="N274" s="11"/>
      <c r="O274" s="12"/>
      <c r="P274" s="11"/>
      <c r="Q274" s="12"/>
      <c r="R274" s="11" t="s">
        <v>73</v>
      </c>
      <c r="S274" s="11" t="s">
        <v>205</v>
      </c>
      <c r="T274" s="11" t="s">
        <v>126</v>
      </c>
      <c r="U274" s="14" t="s">
        <v>1327</v>
      </c>
      <c r="V274" s="14" t="s">
        <v>1328</v>
      </c>
      <c r="W274" s="14" t="s">
        <v>1329</v>
      </c>
      <c r="X274" s="11" t="s">
        <v>79</v>
      </c>
      <c r="Y274" s="11" t="s">
        <v>1330</v>
      </c>
    </row>
    <row r="275" customFormat="false" ht="23.85" hidden="false" customHeight="false" outlineLevel="0" collapsed="false">
      <c r="A275" s="11" t="s">
        <v>1331</v>
      </c>
      <c r="B275" s="11" t="s">
        <v>1332</v>
      </c>
      <c r="C275" s="11" t="s">
        <v>675</v>
      </c>
      <c r="D275" s="11" t="s">
        <v>37</v>
      </c>
      <c r="E275" s="11" t="s">
        <v>113</v>
      </c>
      <c r="F275" s="11" t="n">
        <v>75</v>
      </c>
      <c r="G275" s="11"/>
      <c r="H275" s="12" t="n">
        <v>565.35</v>
      </c>
      <c r="I275" s="12" t="n">
        <v>571.95</v>
      </c>
      <c r="J275" s="11" t="s">
        <v>135</v>
      </c>
      <c r="K275" s="13" t="n">
        <v>87.66</v>
      </c>
      <c r="L275" s="13"/>
      <c r="M275" s="11"/>
      <c r="N275" s="11"/>
      <c r="O275" s="12"/>
      <c r="P275" s="11"/>
      <c r="Q275" s="12"/>
      <c r="R275" s="11" t="s">
        <v>114</v>
      </c>
      <c r="S275" s="11" t="s">
        <v>205</v>
      </c>
      <c r="T275" s="11" t="s">
        <v>126</v>
      </c>
      <c r="U275" s="14" t="s">
        <v>1333</v>
      </c>
      <c r="V275" s="14" t="s">
        <v>1334</v>
      </c>
      <c r="W275" s="14" t="s">
        <v>1335</v>
      </c>
      <c r="X275" s="11" t="s">
        <v>79</v>
      </c>
      <c r="Y275" s="11" t="s">
        <v>1336</v>
      </c>
    </row>
    <row r="276" customFormat="false" ht="35.05" hidden="false" customHeight="false" outlineLevel="0" collapsed="false">
      <c r="A276" s="11" t="s">
        <v>1331</v>
      </c>
      <c r="B276" s="11" t="s">
        <v>1337</v>
      </c>
      <c r="C276" s="11" t="s">
        <v>86</v>
      </c>
      <c r="D276" s="11" t="s">
        <v>26</v>
      </c>
      <c r="E276" s="11" t="s">
        <v>113</v>
      </c>
      <c r="F276" s="11" t="n">
        <v>150</v>
      </c>
      <c r="G276" s="11"/>
      <c r="H276" s="12" t="n">
        <v>64489.7</v>
      </c>
      <c r="I276" s="12" t="n">
        <v>64791.9</v>
      </c>
      <c r="J276" s="11" t="s">
        <v>156</v>
      </c>
      <c r="K276" s="13" t="n">
        <v>70.28</v>
      </c>
      <c r="L276" s="13"/>
      <c r="M276" s="11"/>
      <c r="N276" s="11"/>
      <c r="O276" s="12"/>
      <c r="P276" s="11"/>
      <c r="Q276" s="12"/>
      <c r="R276" s="11" t="s">
        <v>73</v>
      </c>
      <c r="S276" s="11" t="s">
        <v>205</v>
      </c>
      <c r="T276" s="11" t="s">
        <v>126</v>
      </c>
      <c r="U276" s="14" t="s">
        <v>1338</v>
      </c>
      <c r="V276" s="14" t="s">
        <v>1339</v>
      </c>
      <c r="W276" s="14" t="s">
        <v>1340</v>
      </c>
      <c r="X276" s="11" t="s">
        <v>79</v>
      </c>
      <c r="Y276" s="11" t="s">
        <v>1341</v>
      </c>
    </row>
    <row r="277" customFormat="false" ht="46.25" hidden="false" customHeight="false" outlineLevel="0" collapsed="false">
      <c r="A277" s="11" t="s">
        <v>1331</v>
      </c>
      <c r="B277" s="11" t="s">
        <v>1337</v>
      </c>
      <c r="C277" s="11" t="s">
        <v>86</v>
      </c>
      <c r="D277" s="11" t="s">
        <v>26</v>
      </c>
      <c r="E277" s="11" t="s">
        <v>113</v>
      </c>
      <c r="F277" s="11" t="n">
        <v>150</v>
      </c>
      <c r="G277" s="11"/>
      <c r="H277" s="12" t="n">
        <v>64790.5</v>
      </c>
      <c r="I277" s="12" t="n">
        <v>65716.4</v>
      </c>
      <c r="J277" s="11" t="s">
        <v>135</v>
      </c>
      <c r="K277" s="13" t="n">
        <v>214.37</v>
      </c>
      <c r="L277" s="13"/>
      <c r="M277" s="11"/>
      <c r="N277" s="11"/>
      <c r="O277" s="12"/>
      <c r="P277" s="11"/>
      <c r="Q277" s="12"/>
      <c r="R277" s="11" t="s">
        <v>114</v>
      </c>
      <c r="S277" s="11" t="s">
        <v>205</v>
      </c>
      <c r="T277" s="11" t="s">
        <v>126</v>
      </c>
      <c r="U277" s="14" t="s">
        <v>1342</v>
      </c>
      <c r="V277" s="14" t="s">
        <v>1339</v>
      </c>
      <c r="W277" s="14" t="s">
        <v>1343</v>
      </c>
      <c r="X277" s="11" t="s">
        <v>79</v>
      </c>
      <c r="Y277" s="11" t="s">
        <v>1341</v>
      </c>
    </row>
    <row r="278" customFormat="false" ht="79.85" hidden="false" customHeight="false" outlineLevel="0" collapsed="false">
      <c r="A278" s="11" t="s">
        <v>1344</v>
      </c>
      <c r="B278" s="11" t="s">
        <v>1345</v>
      </c>
      <c r="C278" s="11" t="s">
        <v>675</v>
      </c>
      <c r="D278" s="11" t="s">
        <v>37</v>
      </c>
      <c r="E278" s="11" t="s">
        <v>113</v>
      </c>
      <c r="F278" s="11"/>
      <c r="G278" s="11"/>
      <c r="H278" s="12" t="n">
        <v>565.46</v>
      </c>
      <c r="I278" s="12" t="n">
        <v>577.32</v>
      </c>
      <c r="J278" s="11" t="s">
        <v>156</v>
      </c>
      <c r="K278" s="13"/>
      <c r="L278" s="13"/>
      <c r="M278" s="11"/>
      <c r="N278" s="11"/>
      <c r="O278" s="12"/>
      <c r="P278" s="11"/>
      <c r="Q278" s="12"/>
      <c r="R278" s="11" t="s">
        <v>73</v>
      </c>
      <c r="S278" s="11" t="s">
        <v>115</v>
      </c>
      <c r="T278" s="11" t="s">
        <v>126</v>
      </c>
      <c r="U278" s="14" t="s">
        <v>1346</v>
      </c>
      <c r="V278" s="14" t="s">
        <v>1347</v>
      </c>
      <c r="W278" s="14" t="s">
        <v>1348</v>
      </c>
      <c r="X278" s="11" t="s">
        <v>120</v>
      </c>
      <c r="Y278" s="11" t="s">
        <v>1349</v>
      </c>
    </row>
    <row r="279" customFormat="false" ht="35.05" hidden="false" customHeight="false" outlineLevel="0" collapsed="false">
      <c r="A279" s="11" t="s">
        <v>1344</v>
      </c>
      <c r="B279" s="11" t="s">
        <v>1350</v>
      </c>
      <c r="C279" s="11" t="s">
        <v>675</v>
      </c>
      <c r="D279" s="11" t="s">
        <v>37</v>
      </c>
      <c r="E279" s="11" t="s">
        <v>113</v>
      </c>
      <c r="F279" s="11" t="n">
        <v>75</v>
      </c>
      <c r="G279" s="11"/>
      <c r="H279" s="12" t="n">
        <v>565.35</v>
      </c>
      <c r="I279" s="12" t="n">
        <v>576.08</v>
      </c>
      <c r="J279" s="11" t="s">
        <v>156</v>
      </c>
      <c r="K279" s="13" t="n">
        <v>142.34</v>
      </c>
      <c r="L279" s="13"/>
      <c r="M279" s="11"/>
      <c r="N279" s="11"/>
      <c r="O279" s="12"/>
      <c r="P279" s="11"/>
      <c r="Q279" s="12"/>
      <c r="R279" s="11" t="s">
        <v>73</v>
      </c>
      <c r="S279" s="11" t="s">
        <v>205</v>
      </c>
      <c r="T279" s="11" t="s">
        <v>126</v>
      </c>
      <c r="U279" s="14" t="s">
        <v>1351</v>
      </c>
      <c r="V279" s="14"/>
      <c r="W279" s="14" t="s">
        <v>1352</v>
      </c>
      <c r="X279" s="11" t="s">
        <v>79</v>
      </c>
      <c r="Y279" s="11" t="s">
        <v>1353</v>
      </c>
    </row>
    <row r="280" customFormat="false" ht="79.85" hidden="false" customHeight="false" outlineLevel="0" collapsed="false">
      <c r="A280" s="11" t="s">
        <v>1344</v>
      </c>
      <c r="B280" s="11" t="s">
        <v>1354</v>
      </c>
      <c r="C280" s="11" t="s">
        <v>259</v>
      </c>
      <c r="D280" s="11" t="s">
        <v>32</v>
      </c>
      <c r="E280" s="11"/>
      <c r="F280" s="11"/>
      <c r="G280" s="11"/>
      <c r="H280" s="12" t="n">
        <v>1.1069</v>
      </c>
      <c r="I280" s="12" t="n">
        <v>1.1081</v>
      </c>
      <c r="J280" s="11" t="s">
        <v>156</v>
      </c>
      <c r="K280" s="13"/>
      <c r="L280" s="13"/>
      <c r="M280" s="11"/>
      <c r="N280" s="11"/>
      <c r="O280" s="12"/>
      <c r="P280" s="11"/>
      <c r="Q280" s="12"/>
      <c r="R280" s="11" t="s">
        <v>73</v>
      </c>
      <c r="S280" s="11" t="s">
        <v>234</v>
      </c>
      <c r="T280" s="11" t="s">
        <v>126</v>
      </c>
      <c r="U280" s="14" t="s">
        <v>1355</v>
      </c>
      <c r="V280" s="14" t="s">
        <v>1356</v>
      </c>
      <c r="W280" s="14" t="s">
        <v>1357</v>
      </c>
      <c r="X280" s="11" t="s">
        <v>120</v>
      </c>
      <c r="Y280" s="11" t="s">
        <v>1358</v>
      </c>
    </row>
    <row r="281" customFormat="false" ht="46.25" hidden="false" customHeight="false" outlineLevel="0" collapsed="false">
      <c r="A281" s="11" t="s">
        <v>1344</v>
      </c>
      <c r="B281" s="11" t="s">
        <v>1359</v>
      </c>
      <c r="C281" s="11" t="s">
        <v>349</v>
      </c>
      <c r="D281" s="11" t="s">
        <v>31</v>
      </c>
      <c r="E281" s="11" t="s">
        <v>194</v>
      </c>
      <c r="F281" s="11" t="n">
        <v>75</v>
      </c>
      <c r="G281" s="11"/>
      <c r="H281" s="12" t="n">
        <v>501.92</v>
      </c>
      <c r="I281" s="12" t="n">
        <v>482.14</v>
      </c>
      <c r="J281" s="11" t="s">
        <v>156</v>
      </c>
      <c r="K281" s="13" t="n">
        <v>295.56</v>
      </c>
      <c r="L281" s="13"/>
      <c r="M281" s="11"/>
      <c r="N281" s="11"/>
      <c r="O281" s="12"/>
      <c r="P281" s="11"/>
      <c r="Q281" s="12"/>
      <c r="R281" s="11" t="s">
        <v>73</v>
      </c>
      <c r="S281" s="11" t="s">
        <v>205</v>
      </c>
      <c r="T281" s="11" t="s">
        <v>126</v>
      </c>
      <c r="U281" s="14" t="s">
        <v>1360</v>
      </c>
      <c r="V281" s="14"/>
      <c r="W281" s="14" t="s">
        <v>1361</v>
      </c>
      <c r="X281" s="11" t="s">
        <v>79</v>
      </c>
      <c r="Y281" s="11" t="s">
        <v>1362</v>
      </c>
    </row>
    <row r="282" customFormat="false" ht="35.05" hidden="false" customHeight="false" outlineLevel="0" collapsed="false">
      <c r="A282" s="11" t="s">
        <v>1344</v>
      </c>
      <c r="B282" s="11" t="s">
        <v>1363</v>
      </c>
      <c r="C282" s="11" t="s">
        <v>86</v>
      </c>
      <c r="D282" s="11" t="s">
        <v>26</v>
      </c>
      <c r="E282" s="11" t="s">
        <v>194</v>
      </c>
      <c r="F282" s="11" t="n">
        <v>150</v>
      </c>
      <c r="G282" s="11"/>
      <c r="H282" s="12" t="n">
        <v>65213.3</v>
      </c>
      <c r="I282" s="12" t="n">
        <v>64551.1</v>
      </c>
      <c r="J282" s="11" t="s">
        <v>156</v>
      </c>
      <c r="K282" s="13" t="n">
        <v>152.31</v>
      </c>
      <c r="L282" s="13"/>
      <c r="M282" s="11"/>
      <c r="N282" s="11"/>
      <c r="O282" s="12"/>
      <c r="P282" s="11"/>
      <c r="Q282" s="12"/>
      <c r="R282" s="11" t="s">
        <v>73</v>
      </c>
      <c r="S282" s="11" t="s">
        <v>205</v>
      </c>
      <c r="T282" s="11" t="s">
        <v>126</v>
      </c>
      <c r="U282" s="14" t="s">
        <v>1364</v>
      </c>
      <c r="V282" s="14"/>
      <c r="W282" s="14" t="s">
        <v>1365</v>
      </c>
      <c r="X282" s="11" t="s">
        <v>79</v>
      </c>
      <c r="Y282" s="11" t="s">
        <v>1366</v>
      </c>
    </row>
    <row r="283" customFormat="false" ht="46.25" hidden="false" customHeight="false" outlineLevel="0" collapsed="false">
      <c r="A283" s="11" t="s">
        <v>1367</v>
      </c>
      <c r="B283" s="11" t="s">
        <v>1368</v>
      </c>
      <c r="C283" s="11" t="s">
        <v>107</v>
      </c>
      <c r="D283" s="11" t="s">
        <v>28</v>
      </c>
      <c r="E283" s="11" t="s">
        <v>113</v>
      </c>
      <c r="F283" s="11" t="n">
        <v>125</v>
      </c>
      <c r="G283" s="11"/>
      <c r="H283" s="12" t="n">
        <v>73.19</v>
      </c>
      <c r="I283" s="12" t="n">
        <v>74.1</v>
      </c>
      <c r="J283" s="11" t="s">
        <v>135</v>
      </c>
      <c r="K283" s="13" t="n">
        <v>156.83</v>
      </c>
      <c r="L283" s="13"/>
      <c r="M283" s="11"/>
      <c r="N283" s="11"/>
      <c r="O283" s="12"/>
      <c r="P283" s="11"/>
      <c r="Q283" s="12"/>
      <c r="R283" s="11" t="s">
        <v>114</v>
      </c>
      <c r="S283" s="11" t="s">
        <v>205</v>
      </c>
      <c r="T283" s="11" t="s">
        <v>126</v>
      </c>
      <c r="U283" s="14" t="s">
        <v>1369</v>
      </c>
      <c r="V283" s="14" t="s">
        <v>1370</v>
      </c>
      <c r="W283" s="14" t="s">
        <v>1371</v>
      </c>
      <c r="X283" s="11" t="s">
        <v>79</v>
      </c>
      <c r="Y283" s="11" t="s">
        <v>1372</v>
      </c>
    </row>
    <row r="284" customFormat="false" ht="102.2" hidden="false" customHeight="false" outlineLevel="0" collapsed="false">
      <c r="A284" s="11" t="s">
        <v>1367</v>
      </c>
      <c r="B284" s="11" t="s">
        <v>1373</v>
      </c>
      <c r="C284" s="11" t="s">
        <v>86</v>
      </c>
      <c r="D284" s="11" t="s">
        <v>26</v>
      </c>
      <c r="E284" s="11" t="s">
        <v>113</v>
      </c>
      <c r="F284" s="11" t="n">
        <v>150</v>
      </c>
      <c r="G284" s="11"/>
      <c r="H284" s="12" t="n">
        <v>63182.1</v>
      </c>
      <c r="I284" s="12" t="n">
        <v>63939</v>
      </c>
      <c r="J284" s="11" t="s">
        <v>156</v>
      </c>
      <c r="K284" s="13" t="n">
        <v>179.69</v>
      </c>
      <c r="L284" s="13"/>
      <c r="M284" s="11"/>
      <c r="N284" s="11"/>
      <c r="O284" s="12"/>
      <c r="P284" s="11"/>
      <c r="Q284" s="12"/>
      <c r="R284" s="11" t="s">
        <v>73</v>
      </c>
      <c r="S284" s="11" t="s">
        <v>205</v>
      </c>
      <c r="T284" s="11" t="s">
        <v>126</v>
      </c>
      <c r="U284" s="14" t="s">
        <v>1374</v>
      </c>
      <c r="V284" s="14" t="s">
        <v>1375</v>
      </c>
      <c r="W284" s="14" t="s">
        <v>1376</v>
      </c>
      <c r="X284" s="11" t="s">
        <v>79</v>
      </c>
      <c r="Y284" s="11" t="s">
        <v>1377</v>
      </c>
    </row>
    <row r="285" customFormat="false" ht="91" hidden="false" customHeight="false" outlineLevel="0" collapsed="false">
      <c r="A285" s="11" t="s">
        <v>1378</v>
      </c>
      <c r="B285" s="11" t="s">
        <v>1379</v>
      </c>
      <c r="C285" s="11" t="s">
        <v>86</v>
      </c>
      <c r="D285" s="11" t="s">
        <v>26</v>
      </c>
      <c r="E285" s="11"/>
      <c r="F285" s="11"/>
      <c r="G285" s="11"/>
      <c r="H285" s="12" t="n">
        <v>63182.1</v>
      </c>
      <c r="I285" s="12" t="n">
        <v>64652.4</v>
      </c>
      <c r="J285" s="11" t="s">
        <v>135</v>
      </c>
      <c r="K285" s="13"/>
      <c r="L285" s="13"/>
      <c r="M285" s="11"/>
      <c r="N285" s="11"/>
      <c r="O285" s="12"/>
      <c r="P285" s="11"/>
      <c r="Q285" s="12"/>
      <c r="R285" s="11" t="s">
        <v>114</v>
      </c>
      <c r="S285" s="11" t="s">
        <v>205</v>
      </c>
      <c r="T285" s="11" t="s">
        <v>126</v>
      </c>
      <c r="U285" s="14" t="s">
        <v>1380</v>
      </c>
      <c r="V285" s="14" t="s">
        <v>1381</v>
      </c>
      <c r="W285" s="14" t="s">
        <v>1382</v>
      </c>
      <c r="X285" s="11" t="s">
        <v>120</v>
      </c>
      <c r="Y285" s="11" t="s">
        <v>1383</v>
      </c>
    </row>
    <row r="286" customFormat="false" ht="46.25" hidden="false" customHeight="false" outlineLevel="0" collapsed="false">
      <c r="A286" s="11" t="s">
        <v>1384</v>
      </c>
      <c r="B286" s="11" t="s">
        <v>1385</v>
      </c>
      <c r="C286" s="11" t="s">
        <v>86</v>
      </c>
      <c r="D286" s="11" t="s">
        <v>26</v>
      </c>
      <c r="E286" s="11" t="s">
        <v>113</v>
      </c>
      <c r="F286" s="11" t="n">
        <v>150</v>
      </c>
      <c r="G286" s="11"/>
      <c r="H286" s="12" t="n">
        <v>63812.5</v>
      </c>
      <c r="I286" s="12" t="n">
        <v>64578.7</v>
      </c>
      <c r="J286" s="11" t="s">
        <v>135</v>
      </c>
      <c r="K286" s="13" t="n">
        <v>180.1</v>
      </c>
      <c r="L286" s="13"/>
      <c r="M286" s="11"/>
      <c r="N286" s="11"/>
      <c r="O286" s="12"/>
      <c r="P286" s="11"/>
      <c r="Q286" s="12"/>
      <c r="R286" s="11" t="s">
        <v>114</v>
      </c>
      <c r="S286" s="11" t="s">
        <v>205</v>
      </c>
      <c r="T286" s="11" t="s">
        <v>126</v>
      </c>
      <c r="U286" s="14" t="s">
        <v>1386</v>
      </c>
      <c r="V286" s="14" t="s">
        <v>1387</v>
      </c>
      <c r="W286" s="14" t="s">
        <v>1388</v>
      </c>
      <c r="X286" s="11" t="s">
        <v>79</v>
      </c>
      <c r="Y286" s="11" t="s">
        <v>1389</v>
      </c>
    </row>
    <row r="287" customFormat="false" ht="46.25" hidden="false" customHeight="false" outlineLevel="0" collapsed="false">
      <c r="A287" s="11" t="s">
        <v>1384</v>
      </c>
      <c r="B287" s="11" t="s">
        <v>1390</v>
      </c>
      <c r="C287" s="11" t="s">
        <v>86</v>
      </c>
      <c r="D287" s="11" t="s">
        <v>26</v>
      </c>
      <c r="E287" s="11" t="s">
        <v>113</v>
      </c>
      <c r="F287" s="11" t="n">
        <v>150</v>
      </c>
      <c r="G287" s="11"/>
      <c r="H287" s="12" t="n">
        <v>63812.5</v>
      </c>
      <c r="I287" s="12" t="n">
        <v>64800</v>
      </c>
      <c r="J287" s="11" t="s">
        <v>156</v>
      </c>
      <c r="K287" s="13" t="n">
        <v>232.12</v>
      </c>
      <c r="L287" s="13"/>
      <c r="M287" s="11"/>
      <c r="N287" s="11"/>
      <c r="O287" s="12"/>
      <c r="P287" s="11"/>
      <c r="Q287" s="12"/>
      <c r="R287" s="11" t="s">
        <v>73</v>
      </c>
      <c r="S287" s="11" t="s">
        <v>205</v>
      </c>
      <c r="T287" s="11" t="s">
        <v>126</v>
      </c>
      <c r="U287" s="14" t="s">
        <v>1391</v>
      </c>
      <c r="V287" s="14" t="s">
        <v>1392</v>
      </c>
      <c r="W287" s="14" t="s">
        <v>1393</v>
      </c>
      <c r="X287" s="11" t="s">
        <v>79</v>
      </c>
      <c r="Y287" s="11" t="s">
        <v>1394</v>
      </c>
    </row>
    <row r="288" customFormat="false" ht="57.45" hidden="false" customHeight="false" outlineLevel="0" collapsed="false">
      <c r="A288" s="11" t="s">
        <v>1395</v>
      </c>
      <c r="B288" s="11" t="s">
        <v>1396</v>
      </c>
      <c r="C288" s="11" t="s">
        <v>86</v>
      </c>
      <c r="D288" s="11" t="s">
        <v>26</v>
      </c>
      <c r="E288" s="11" t="s">
        <v>194</v>
      </c>
      <c r="F288" s="11"/>
      <c r="G288" s="11"/>
      <c r="H288" s="12"/>
      <c r="I288" s="12"/>
      <c r="J288" s="11"/>
      <c r="K288" s="13" t="n">
        <v>188.47</v>
      </c>
      <c r="L288" s="13"/>
      <c r="M288" s="11"/>
      <c r="N288" s="11"/>
      <c r="O288" s="12"/>
      <c r="P288" s="11"/>
      <c r="Q288" s="12"/>
      <c r="R288" s="11" t="s">
        <v>73</v>
      </c>
      <c r="S288" s="11" t="s">
        <v>416</v>
      </c>
      <c r="T288" s="11" t="s">
        <v>126</v>
      </c>
      <c r="U288" s="14" t="s">
        <v>1397</v>
      </c>
      <c r="V288" s="14" t="s">
        <v>1398</v>
      </c>
      <c r="W288" s="14" t="s">
        <v>1399</v>
      </c>
      <c r="X288" s="11" t="s">
        <v>79</v>
      </c>
      <c r="Y288" s="11" t="s">
        <v>1400</v>
      </c>
    </row>
    <row r="289" customFormat="false" ht="68.65" hidden="false" customHeight="false" outlineLevel="0" collapsed="false">
      <c r="A289" s="11" t="s">
        <v>1395</v>
      </c>
      <c r="B289" s="11" t="s">
        <v>1401</v>
      </c>
      <c r="C289" s="11" t="s">
        <v>1402</v>
      </c>
      <c r="D289" s="11" t="s">
        <v>1403</v>
      </c>
      <c r="E289" s="11" t="s">
        <v>113</v>
      </c>
      <c r="F289" s="11" t="n">
        <v>50</v>
      </c>
      <c r="G289" s="11"/>
      <c r="H289" s="12"/>
      <c r="I289" s="12"/>
      <c r="J289" s="11"/>
      <c r="K289" s="13" t="n">
        <v>67.07</v>
      </c>
      <c r="L289" s="13"/>
      <c r="M289" s="11"/>
      <c r="N289" s="11"/>
      <c r="O289" s="12"/>
      <c r="P289" s="11"/>
      <c r="Q289" s="12"/>
      <c r="R289" s="11" t="s">
        <v>73</v>
      </c>
      <c r="S289" s="11" t="s">
        <v>205</v>
      </c>
      <c r="T289" s="11" t="s">
        <v>126</v>
      </c>
      <c r="U289" s="14" t="s">
        <v>1404</v>
      </c>
      <c r="V289" s="14" t="s">
        <v>1405</v>
      </c>
      <c r="W289" s="14" t="s">
        <v>1406</v>
      </c>
      <c r="X289" s="11" t="s">
        <v>120</v>
      </c>
      <c r="Y289" s="11" t="s">
        <v>1407</v>
      </c>
    </row>
    <row r="290" customFormat="false" ht="79.85" hidden="false" customHeight="false" outlineLevel="0" collapsed="false">
      <c r="A290" s="11" t="s">
        <v>1408</v>
      </c>
      <c r="B290" s="11" t="s">
        <v>1409</v>
      </c>
      <c r="C290" s="11" t="s">
        <v>123</v>
      </c>
      <c r="D290" s="11" t="s">
        <v>124</v>
      </c>
      <c r="E290" s="11" t="s">
        <v>194</v>
      </c>
      <c r="F290" s="11" t="n">
        <v>75</v>
      </c>
      <c r="G290" s="11"/>
      <c r="H290" s="12" t="n">
        <v>4.24</v>
      </c>
      <c r="I290" s="12" t="n">
        <v>4.088</v>
      </c>
      <c r="J290" s="11" t="s">
        <v>135</v>
      </c>
      <c r="K290" s="13" t="n">
        <v>267.66</v>
      </c>
      <c r="L290" s="13"/>
      <c r="M290" s="11"/>
      <c r="N290" s="11"/>
      <c r="O290" s="12"/>
      <c r="P290" s="11"/>
      <c r="Q290" s="12"/>
      <c r="R290" s="11" t="s">
        <v>114</v>
      </c>
      <c r="S290" s="11" t="s">
        <v>205</v>
      </c>
      <c r="T290" s="11" t="s">
        <v>126</v>
      </c>
      <c r="U290" s="14" t="s">
        <v>1410</v>
      </c>
      <c r="V290" s="14" t="s">
        <v>1411</v>
      </c>
      <c r="W290" s="14" t="s">
        <v>1412</v>
      </c>
      <c r="X290" s="11" t="s">
        <v>79</v>
      </c>
      <c r="Y290" s="11" t="s">
        <v>1413</v>
      </c>
    </row>
    <row r="291" customFormat="false" ht="91" hidden="false" customHeight="false" outlineLevel="0" collapsed="false">
      <c r="A291" s="11" t="s">
        <v>1414</v>
      </c>
      <c r="B291" s="11" t="s">
        <v>1415</v>
      </c>
      <c r="C291" s="11" t="s">
        <v>86</v>
      </c>
      <c r="D291" s="11" t="s">
        <v>26</v>
      </c>
      <c r="E291" s="11" t="s">
        <v>113</v>
      </c>
      <c r="F291" s="11"/>
      <c r="G291" s="11"/>
      <c r="H291" s="12"/>
      <c r="I291" s="12"/>
      <c r="J291" s="11"/>
      <c r="K291" s="13" t="n">
        <v>219.96</v>
      </c>
      <c r="L291" s="13"/>
      <c r="M291" s="11"/>
      <c r="N291" s="11"/>
      <c r="O291" s="12"/>
      <c r="P291" s="11"/>
      <c r="Q291" s="12"/>
      <c r="R291" s="11" t="s">
        <v>114</v>
      </c>
      <c r="S291" s="11" t="s">
        <v>416</v>
      </c>
      <c r="T291" s="11" t="s">
        <v>126</v>
      </c>
      <c r="U291" s="14" t="s">
        <v>1416</v>
      </c>
      <c r="V291" s="14" t="s">
        <v>1417</v>
      </c>
      <c r="W291" s="14" t="s">
        <v>1418</v>
      </c>
      <c r="X291" s="11" t="s">
        <v>79</v>
      </c>
      <c r="Y291" s="11" t="s">
        <v>1419</v>
      </c>
    </row>
    <row r="292" customFormat="false" ht="35.05" hidden="false" customHeight="false" outlineLevel="0" collapsed="false">
      <c r="A292" s="11" t="s">
        <v>1414</v>
      </c>
      <c r="B292" s="11" t="s">
        <v>1420</v>
      </c>
      <c r="C292" s="11" t="s">
        <v>349</v>
      </c>
      <c r="D292" s="11" t="s">
        <v>31</v>
      </c>
      <c r="E292" s="11" t="s">
        <v>113</v>
      </c>
      <c r="F292" s="11"/>
      <c r="G292" s="11"/>
      <c r="H292" s="12"/>
      <c r="I292" s="12"/>
      <c r="J292" s="11"/>
      <c r="K292" s="13" t="n">
        <v>168.99</v>
      </c>
      <c r="L292" s="13"/>
      <c r="M292" s="11"/>
      <c r="N292" s="11"/>
      <c r="O292" s="12"/>
      <c r="P292" s="11"/>
      <c r="Q292" s="12"/>
      <c r="R292" s="11" t="s">
        <v>73</v>
      </c>
      <c r="S292" s="11" t="s">
        <v>416</v>
      </c>
      <c r="T292" s="11" t="s">
        <v>126</v>
      </c>
      <c r="U292" s="14" t="s">
        <v>1421</v>
      </c>
      <c r="V292" s="14" t="s">
        <v>1422</v>
      </c>
      <c r="W292" s="14" t="s">
        <v>1423</v>
      </c>
      <c r="X292" s="11" t="s">
        <v>79</v>
      </c>
      <c r="Y292" s="11" t="s">
        <v>1424</v>
      </c>
    </row>
    <row r="293" customFormat="false" ht="35.05" hidden="false" customHeight="false" outlineLevel="0" collapsed="false">
      <c r="A293" s="11" t="s">
        <v>1425</v>
      </c>
      <c r="B293" s="11" t="s">
        <v>1426</v>
      </c>
      <c r="C293" s="11" t="s">
        <v>90</v>
      </c>
      <c r="D293" s="11" t="s">
        <v>27</v>
      </c>
      <c r="E293" s="11" t="s">
        <v>113</v>
      </c>
      <c r="F293" s="11"/>
      <c r="G293" s="11"/>
      <c r="H293" s="12"/>
      <c r="I293" s="12"/>
      <c r="J293" s="11"/>
      <c r="K293" s="13" t="n">
        <v>329.17</v>
      </c>
      <c r="L293" s="13"/>
      <c r="M293" s="11"/>
      <c r="N293" s="11"/>
      <c r="O293" s="12"/>
      <c r="P293" s="11"/>
      <c r="Q293" s="12"/>
      <c r="R293" s="11" t="s">
        <v>73</v>
      </c>
      <c r="S293" s="11" t="s">
        <v>416</v>
      </c>
      <c r="T293" s="11" t="s">
        <v>126</v>
      </c>
      <c r="U293" s="14" t="s">
        <v>1427</v>
      </c>
      <c r="V293" s="14" t="s">
        <v>1428</v>
      </c>
      <c r="W293" s="14" t="s">
        <v>1429</v>
      </c>
      <c r="X293" s="11" t="s">
        <v>79</v>
      </c>
      <c r="Y293" s="11" t="s">
        <v>1430</v>
      </c>
    </row>
    <row r="294" customFormat="false" ht="91" hidden="false" customHeight="false" outlineLevel="0" collapsed="false">
      <c r="A294" s="11" t="s">
        <v>1425</v>
      </c>
      <c r="B294" s="11" t="s">
        <v>1431</v>
      </c>
      <c r="C294" s="11" t="s">
        <v>86</v>
      </c>
      <c r="D294" s="11" t="s">
        <v>26</v>
      </c>
      <c r="E294" s="11" t="s">
        <v>113</v>
      </c>
      <c r="F294" s="11" t="n">
        <v>500</v>
      </c>
      <c r="G294" s="11"/>
      <c r="H294" s="12" t="n">
        <v>62512.3</v>
      </c>
      <c r="I294" s="12" t="n">
        <v>63220</v>
      </c>
      <c r="J294" s="11" t="s">
        <v>135</v>
      </c>
      <c r="K294" s="13" t="n">
        <v>516.91</v>
      </c>
      <c r="L294" s="13"/>
      <c r="M294" s="11"/>
      <c r="N294" s="11"/>
      <c r="O294" s="12"/>
      <c r="P294" s="11"/>
      <c r="Q294" s="12"/>
      <c r="R294" s="11" t="s">
        <v>114</v>
      </c>
      <c r="S294" s="11" t="s">
        <v>234</v>
      </c>
      <c r="T294" s="11" t="s">
        <v>126</v>
      </c>
      <c r="U294" s="14" t="s">
        <v>1432</v>
      </c>
      <c r="V294" s="14" t="s">
        <v>1433</v>
      </c>
      <c r="W294" s="14" t="s">
        <v>1434</v>
      </c>
      <c r="X294" s="11" t="s">
        <v>79</v>
      </c>
      <c r="Y294" s="11" t="s">
        <v>1435</v>
      </c>
    </row>
    <row r="295" customFormat="false" ht="79.85" hidden="false" customHeight="false" outlineLevel="0" collapsed="false">
      <c r="A295" s="11" t="s">
        <v>1425</v>
      </c>
      <c r="B295" s="11" t="s">
        <v>1436</v>
      </c>
      <c r="C295" s="11" t="s">
        <v>92</v>
      </c>
      <c r="D295" s="11" t="s">
        <v>30</v>
      </c>
      <c r="E295" s="11" t="s">
        <v>113</v>
      </c>
      <c r="F295" s="11"/>
      <c r="G295" s="11"/>
      <c r="H295" s="12"/>
      <c r="I295" s="12"/>
      <c r="J295" s="11"/>
      <c r="K295" s="13" t="n">
        <v>109.69</v>
      </c>
      <c r="L295" s="13"/>
      <c r="M295" s="11"/>
      <c r="N295" s="11"/>
      <c r="O295" s="12"/>
      <c r="P295" s="11"/>
      <c r="Q295" s="12"/>
      <c r="R295" s="11" t="s">
        <v>73</v>
      </c>
      <c r="S295" s="11" t="s">
        <v>416</v>
      </c>
      <c r="T295" s="11" t="s">
        <v>126</v>
      </c>
      <c r="U295" s="14" t="s">
        <v>1437</v>
      </c>
      <c r="V295" s="14" t="s">
        <v>1438</v>
      </c>
      <c r="W295" s="14" t="s">
        <v>1439</v>
      </c>
      <c r="X295" s="11" t="s">
        <v>79</v>
      </c>
      <c r="Y295" s="11" t="s">
        <v>1440</v>
      </c>
    </row>
    <row r="296" customFormat="false" ht="57.45" hidden="false" customHeight="false" outlineLevel="0" collapsed="false">
      <c r="A296" s="11" t="s">
        <v>1425</v>
      </c>
      <c r="B296" s="11" t="s">
        <v>1441</v>
      </c>
      <c r="C296" s="11" t="s">
        <v>349</v>
      </c>
      <c r="D296" s="11" t="s">
        <v>31</v>
      </c>
      <c r="E296" s="11" t="s">
        <v>113</v>
      </c>
      <c r="F296" s="11"/>
      <c r="G296" s="11"/>
      <c r="H296" s="12"/>
      <c r="I296" s="12"/>
      <c r="J296" s="11"/>
      <c r="K296" s="13" t="n">
        <v>91.49</v>
      </c>
      <c r="L296" s="13"/>
      <c r="M296" s="11"/>
      <c r="N296" s="11"/>
      <c r="O296" s="12"/>
      <c r="P296" s="11"/>
      <c r="Q296" s="12"/>
      <c r="R296" s="11" t="s">
        <v>114</v>
      </c>
      <c r="S296" s="11" t="s">
        <v>416</v>
      </c>
      <c r="T296" s="11" t="s">
        <v>126</v>
      </c>
      <c r="U296" s="14" t="s">
        <v>1442</v>
      </c>
      <c r="V296" s="14" t="s">
        <v>1443</v>
      </c>
      <c r="W296" s="14" t="s">
        <v>1444</v>
      </c>
      <c r="X296" s="11" t="s">
        <v>79</v>
      </c>
      <c r="Y296" s="11" t="s">
        <v>1445</v>
      </c>
    </row>
    <row r="297" customFormat="false" ht="68.65" hidden="false" customHeight="false" outlineLevel="0" collapsed="false">
      <c r="A297" s="11" t="s">
        <v>1425</v>
      </c>
      <c r="B297" s="11" t="s">
        <v>1446</v>
      </c>
      <c r="C297" s="11" t="s">
        <v>1447</v>
      </c>
      <c r="D297" s="11" t="s">
        <v>1448</v>
      </c>
      <c r="E297" s="11" t="s">
        <v>113</v>
      </c>
      <c r="F297" s="11"/>
      <c r="G297" s="11"/>
      <c r="H297" s="12" t="n">
        <v>107.82</v>
      </c>
      <c r="I297" s="12" t="n">
        <v>112.01</v>
      </c>
      <c r="J297" s="11" t="s">
        <v>232</v>
      </c>
      <c r="K297" s="13" t="n">
        <v>89.38</v>
      </c>
      <c r="L297" s="13"/>
      <c r="M297" s="11"/>
      <c r="N297" s="11"/>
      <c r="O297" s="12"/>
      <c r="P297" s="11"/>
      <c r="Q297" s="12"/>
      <c r="R297" s="11" t="s">
        <v>114</v>
      </c>
      <c r="S297" s="11" t="s">
        <v>416</v>
      </c>
      <c r="T297" s="11" t="s">
        <v>126</v>
      </c>
      <c r="U297" s="14" t="s">
        <v>1449</v>
      </c>
      <c r="V297" s="14" t="s">
        <v>1450</v>
      </c>
      <c r="W297" s="14" t="s">
        <v>1451</v>
      </c>
      <c r="X297" s="11" t="s">
        <v>79</v>
      </c>
      <c r="Y297" s="11" t="s">
        <v>1452</v>
      </c>
    </row>
    <row r="298" customFormat="false" ht="57.45" hidden="false" customHeight="false" outlineLevel="0" collapsed="false">
      <c r="A298" s="11" t="s">
        <v>1425</v>
      </c>
      <c r="B298" s="11" t="s">
        <v>1446</v>
      </c>
      <c r="C298" s="11" t="s">
        <v>349</v>
      </c>
      <c r="D298" s="11" t="s">
        <v>31</v>
      </c>
      <c r="E298" s="11" t="s">
        <v>113</v>
      </c>
      <c r="F298" s="11"/>
      <c r="G298" s="11"/>
      <c r="H298" s="12"/>
      <c r="I298" s="12"/>
      <c r="J298" s="11"/>
      <c r="K298" s="13" t="n">
        <v>91.49</v>
      </c>
      <c r="L298" s="13"/>
      <c r="M298" s="11"/>
      <c r="N298" s="11"/>
      <c r="O298" s="12"/>
      <c r="P298" s="11"/>
      <c r="Q298" s="12"/>
      <c r="R298" s="11" t="s">
        <v>114</v>
      </c>
      <c r="S298" s="11" t="s">
        <v>416</v>
      </c>
      <c r="T298" s="11" t="s">
        <v>126</v>
      </c>
      <c r="U298" s="14" t="s">
        <v>1453</v>
      </c>
      <c r="V298" s="14" t="s">
        <v>1450</v>
      </c>
      <c r="W298" s="14" t="s">
        <v>1454</v>
      </c>
      <c r="X298" s="11" t="s">
        <v>79</v>
      </c>
      <c r="Y298" s="11" t="s">
        <v>1452</v>
      </c>
    </row>
    <row r="299" customFormat="false" ht="57.45" hidden="false" customHeight="false" outlineLevel="0" collapsed="false">
      <c r="A299" s="11" t="s">
        <v>1425</v>
      </c>
      <c r="B299" s="11" t="s">
        <v>1446</v>
      </c>
      <c r="C299" s="11" t="s">
        <v>92</v>
      </c>
      <c r="D299" s="11" t="s">
        <v>30</v>
      </c>
      <c r="E299" s="11" t="s">
        <v>113</v>
      </c>
      <c r="F299" s="11"/>
      <c r="G299" s="11"/>
      <c r="H299" s="12"/>
      <c r="I299" s="12"/>
      <c r="J299" s="11"/>
      <c r="K299" s="13" t="n">
        <v>109.69</v>
      </c>
      <c r="L299" s="13"/>
      <c r="M299" s="11"/>
      <c r="N299" s="11"/>
      <c r="O299" s="12"/>
      <c r="P299" s="11"/>
      <c r="Q299" s="12"/>
      <c r="R299" s="11" t="s">
        <v>73</v>
      </c>
      <c r="S299" s="11" t="s">
        <v>416</v>
      </c>
      <c r="T299" s="11" t="s">
        <v>126</v>
      </c>
      <c r="U299" s="14" t="s">
        <v>1455</v>
      </c>
      <c r="V299" s="14" t="s">
        <v>1450</v>
      </c>
      <c r="W299" s="14" t="s">
        <v>1456</v>
      </c>
      <c r="X299" s="11" t="s">
        <v>79</v>
      </c>
      <c r="Y299" s="11" t="s">
        <v>1452</v>
      </c>
    </row>
    <row r="300" customFormat="false" ht="57.45" hidden="false" customHeight="false" outlineLevel="0" collapsed="false">
      <c r="A300" s="11" t="s">
        <v>1425</v>
      </c>
      <c r="B300" s="11" t="s">
        <v>1446</v>
      </c>
      <c r="C300" s="11" t="s">
        <v>90</v>
      </c>
      <c r="D300" s="11" t="s">
        <v>27</v>
      </c>
      <c r="E300" s="11" t="s">
        <v>113</v>
      </c>
      <c r="F300" s="11"/>
      <c r="G300" s="11"/>
      <c r="H300" s="12"/>
      <c r="I300" s="12"/>
      <c r="J300" s="11"/>
      <c r="K300" s="13" t="n">
        <v>329.17</v>
      </c>
      <c r="L300" s="13"/>
      <c r="M300" s="11"/>
      <c r="N300" s="11"/>
      <c r="O300" s="12"/>
      <c r="P300" s="11"/>
      <c r="Q300" s="12"/>
      <c r="R300" s="11" t="s">
        <v>115</v>
      </c>
      <c r="S300" s="11" t="s">
        <v>416</v>
      </c>
      <c r="T300" s="11" t="s">
        <v>126</v>
      </c>
      <c r="U300" s="14" t="s">
        <v>1457</v>
      </c>
      <c r="V300" s="14" t="s">
        <v>1450</v>
      </c>
      <c r="W300" s="14" t="s">
        <v>1458</v>
      </c>
      <c r="X300" s="11" t="s">
        <v>79</v>
      </c>
      <c r="Y300" s="11" t="s">
        <v>1452</v>
      </c>
    </row>
    <row r="301" customFormat="false" ht="57.45" hidden="false" customHeight="false" outlineLevel="0" collapsed="false">
      <c r="A301" s="11" t="s">
        <v>1425</v>
      </c>
      <c r="B301" s="11" t="s">
        <v>1446</v>
      </c>
      <c r="C301" s="11" t="s">
        <v>349</v>
      </c>
      <c r="D301" s="11" t="s">
        <v>31</v>
      </c>
      <c r="E301" s="11" t="s">
        <v>113</v>
      </c>
      <c r="F301" s="11"/>
      <c r="G301" s="11"/>
      <c r="H301" s="12"/>
      <c r="I301" s="12"/>
      <c r="J301" s="11"/>
      <c r="K301" s="13" t="n">
        <v>168.99</v>
      </c>
      <c r="L301" s="13"/>
      <c r="M301" s="11"/>
      <c r="N301" s="11"/>
      <c r="O301" s="12"/>
      <c r="P301" s="11"/>
      <c r="Q301" s="12"/>
      <c r="R301" s="11" t="s">
        <v>115</v>
      </c>
      <c r="S301" s="11" t="s">
        <v>416</v>
      </c>
      <c r="T301" s="11" t="s">
        <v>126</v>
      </c>
      <c r="U301" s="14" t="s">
        <v>1459</v>
      </c>
      <c r="V301" s="14" t="s">
        <v>1450</v>
      </c>
      <c r="W301" s="14" t="s">
        <v>1460</v>
      </c>
      <c r="X301" s="11" t="s">
        <v>79</v>
      </c>
      <c r="Y301" s="11" t="s">
        <v>1452</v>
      </c>
    </row>
    <row r="302" customFormat="false" ht="57.45" hidden="false" customHeight="false" outlineLevel="0" collapsed="false">
      <c r="A302" s="11" t="s">
        <v>1425</v>
      </c>
      <c r="B302" s="11" t="s">
        <v>1446</v>
      </c>
      <c r="C302" s="11" t="s">
        <v>86</v>
      </c>
      <c r="D302" s="11" t="s">
        <v>26</v>
      </c>
      <c r="E302" s="11" t="s">
        <v>113</v>
      </c>
      <c r="F302" s="11"/>
      <c r="G302" s="11"/>
      <c r="H302" s="12"/>
      <c r="I302" s="12"/>
      <c r="J302" s="11"/>
      <c r="K302" s="13" t="n">
        <v>255.75</v>
      </c>
      <c r="L302" s="13"/>
      <c r="M302" s="11"/>
      <c r="N302" s="11"/>
      <c r="O302" s="12"/>
      <c r="P302" s="11"/>
      <c r="Q302" s="12"/>
      <c r="R302" s="11" t="s">
        <v>115</v>
      </c>
      <c r="S302" s="11" t="s">
        <v>416</v>
      </c>
      <c r="T302" s="11" t="s">
        <v>126</v>
      </c>
      <c r="U302" s="14" t="s">
        <v>1459</v>
      </c>
      <c r="V302" s="14" t="s">
        <v>1450</v>
      </c>
      <c r="W302" s="14" t="s">
        <v>1461</v>
      </c>
      <c r="X302" s="11" t="s">
        <v>79</v>
      </c>
      <c r="Y302" s="11" t="s">
        <v>1452</v>
      </c>
    </row>
    <row r="303" customFormat="false" ht="68.65" hidden="false" customHeight="false" outlineLevel="0" collapsed="false">
      <c r="A303" s="11" t="s">
        <v>1425</v>
      </c>
      <c r="B303" s="11" t="s">
        <v>1462</v>
      </c>
      <c r="C303" s="11" t="s">
        <v>1447</v>
      </c>
      <c r="D303" s="11" t="s">
        <v>1448</v>
      </c>
      <c r="E303" s="11" t="s">
        <v>113</v>
      </c>
      <c r="F303" s="11"/>
      <c r="G303" s="11"/>
      <c r="H303" s="12" t="n">
        <v>107.83</v>
      </c>
      <c r="I303" s="12" t="n">
        <v>115</v>
      </c>
      <c r="J303" s="11" t="s">
        <v>156</v>
      </c>
      <c r="K303" s="13" t="n">
        <v>153.02</v>
      </c>
      <c r="L303" s="13"/>
      <c r="M303" s="11"/>
      <c r="N303" s="11"/>
      <c r="O303" s="12"/>
      <c r="P303" s="11"/>
      <c r="Q303" s="12"/>
      <c r="R303" s="11" t="s">
        <v>73</v>
      </c>
      <c r="S303" s="11" t="s">
        <v>416</v>
      </c>
      <c r="T303" s="11" t="s">
        <v>126</v>
      </c>
      <c r="U303" s="14" t="s">
        <v>1463</v>
      </c>
      <c r="V303" s="14" t="s">
        <v>1464</v>
      </c>
      <c r="W303" s="14" t="s">
        <v>1465</v>
      </c>
      <c r="X303" s="11" t="s">
        <v>79</v>
      </c>
      <c r="Y303" s="11" t="s">
        <v>1466</v>
      </c>
    </row>
    <row r="304" customFormat="false" ht="35.05" hidden="false" customHeight="false" outlineLevel="0" collapsed="false">
      <c r="A304" s="11" t="s">
        <v>1467</v>
      </c>
      <c r="B304" s="11" t="s">
        <v>1468</v>
      </c>
      <c r="C304" s="11" t="s">
        <v>1447</v>
      </c>
      <c r="D304" s="11" t="s">
        <v>1448</v>
      </c>
      <c r="E304" s="11" t="s">
        <v>113</v>
      </c>
      <c r="F304" s="11"/>
      <c r="G304" s="11"/>
      <c r="H304" s="12" t="n">
        <v>107.82</v>
      </c>
      <c r="I304" s="12" t="n">
        <v>121.91</v>
      </c>
      <c r="J304" s="11" t="s">
        <v>232</v>
      </c>
      <c r="K304" s="13" t="n">
        <v>300.55</v>
      </c>
      <c r="L304" s="13"/>
      <c r="M304" s="11"/>
      <c r="N304" s="11"/>
      <c r="O304" s="12"/>
      <c r="P304" s="11"/>
      <c r="Q304" s="12"/>
      <c r="R304" s="11" t="s">
        <v>114</v>
      </c>
      <c r="S304" s="11" t="s">
        <v>416</v>
      </c>
      <c r="T304" s="11" t="s">
        <v>126</v>
      </c>
      <c r="U304" s="14" t="s">
        <v>1469</v>
      </c>
      <c r="V304" s="14" t="s">
        <v>1470</v>
      </c>
      <c r="W304" s="14" t="s">
        <v>1471</v>
      </c>
      <c r="X304" s="11" t="s">
        <v>79</v>
      </c>
      <c r="Y304" s="11" t="s">
        <v>1472</v>
      </c>
    </row>
    <row r="305" customFormat="false" ht="46.25" hidden="false" customHeight="false" outlineLevel="0" collapsed="false">
      <c r="A305" s="11" t="s">
        <v>1467</v>
      </c>
      <c r="B305" s="11" t="s">
        <v>1473</v>
      </c>
      <c r="C305" s="11" t="s">
        <v>1447</v>
      </c>
      <c r="D305" s="11" t="s">
        <v>1448</v>
      </c>
      <c r="E305" s="11" t="s">
        <v>113</v>
      </c>
      <c r="F305" s="11"/>
      <c r="G305" s="11"/>
      <c r="H305" s="12" t="n">
        <v>107.82</v>
      </c>
      <c r="I305" s="12" t="n">
        <v>126.67</v>
      </c>
      <c r="J305" s="11" t="s">
        <v>232</v>
      </c>
      <c r="K305" s="13" t="n">
        <v>402.08</v>
      </c>
      <c r="L305" s="13"/>
      <c r="M305" s="11"/>
      <c r="N305" s="11"/>
      <c r="O305" s="12"/>
      <c r="P305" s="11"/>
      <c r="Q305" s="12"/>
      <c r="R305" s="11" t="s">
        <v>114</v>
      </c>
      <c r="S305" s="11" t="s">
        <v>416</v>
      </c>
      <c r="T305" s="11" t="s">
        <v>126</v>
      </c>
      <c r="U305" s="14" t="s">
        <v>1474</v>
      </c>
      <c r="V305" s="14" t="s">
        <v>1475</v>
      </c>
      <c r="W305" s="14" t="s">
        <v>1476</v>
      </c>
      <c r="X305" s="11" t="s">
        <v>79</v>
      </c>
      <c r="Y305" s="11" t="s">
        <v>1477</v>
      </c>
    </row>
    <row r="306" customFormat="false" ht="57.45" hidden="false" customHeight="false" outlineLevel="0" collapsed="false">
      <c r="A306" s="11" t="s">
        <v>1478</v>
      </c>
      <c r="B306" s="11" t="s">
        <v>1479</v>
      </c>
      <c r="C306" s="11" t="s">
        <v>90</v>
      </c>
      <c r="D306" s="11" t="s">
        <v>27</v>
      </c>
      <c r="E306" s="11" t="s">
        <v>113</v>
      </c>
      <c r="F306" s="11"/>
      <c r="G306" s="11"/>
      <c r="H306" s="12"/>
      <c r="I306" s="12"/>
      <c r="J306" s="11"/>
      <c r="K306" s="13" t="n">
        <v>114.52</v>
      </c>
      <c r="L306" s="13"/>
      <c r="M306" s="11"/>
      <c r="N306" s="11"/>
      <c r="O306" s="12"/>
      <c r="P306" s="11"/>
      <c r="Q306" s="12"/>
      <c r="R306" s="11" t="s">
        <v>115</v>
      </c>
      <c r="S306" s="11" t="s">
        <v>416</v>
      </c>
      <c r="T306" s="11" t="s">
        <v>126</v>
      </c>
      <c r="U306" s="14" t="s">
        <v>1480</v>
      </c>
      <c r="V306" s="14" t="s">
        <v>1481</v>
      </c>
      <c r="W306" s="14" t="s">
        <v>1482</v>
      </c>
      <c r="X306" s="11" t="s">
        <v>79</v>
      </c>
      <c r="Y306" s="11" t="s">
        <v>1483</v>
      </c>
    </row>
    <row r="307" customFormat="false" ht="57.45" hidden="false" customHeight="false" outlineLevel="0" collapsed="false">
      <c r="A307" s="11" t="s">
        <v>1478</v>
      </c>
      <c r="B307" s="11" t="s">
        <v>1484</v>
      </c>
      <c r="C307" s="11" t="s">
        <v>86</v>
      </c>
      <c r="D307" s="11" t="s">
        <v>26</v>
      </c>
      <c r="E307" s="11" t="s">
        <v>113</v>
      </c>
      <c r="F307" s="11" t="n">
        <v>500</v>
      </c>
      <c r="G307" s="11"/>
      <c r="H307" s="12"/>
      <c r="I307" s="12"/>
      <c r="J307" s="11"/>
      <c r="K307" s="13" t="n">
        <v>501.92</v>
      </c>
      <c r="L307" s="13"/>
      <c r="M307" s="11"/>
      <c r="N307" s="11"/>
      <c r="O307" s="12"/>
      <c r="P307" s="11"/>
      <c r="Q307" s="12"/>
      <c r="R307" s="11" t="s">
        <v>115</v>
      </c>
      <c r="S307" s="11" t="s">
        <v>234</v>
      </c>
      <c r="T307" s="11" t="s">
        <v>126</v>
      </c>
      <c r="U307" s="14" t="s">
        <v>1485</v>
      </c>
      <c r="V307" s="14" t="s">
        <v>1486</v>
      </c>
      <c r="W307" s="14" t="s">
        <v>1487</v>
      </c>
      <c r="X307" s="11" t="s">
        <v>120</v>
      </c>
      <c r="Y307" s="11" t="s">
        <v>1488</v>
      </c>
    </row>
    <row r="308" customFormat="false" ht="35.05" hidden="false" customHeight="false" outlineLevel="0" collapsed="false">
      <c r="A308" s="11" t="s">
        <v>1478</v>
      </c>
      <c r="B308" s="11" t="s">
        <v>1489</v>
      </c>
      <c r="C308" s="11" t="s">
        <v>90</v>
      </c>
      <c r="D308" s="11" t="s">
        <v>27</v>
      </c>
      <c r="E308" s="11" t="s">
        <v>113</v>
      </c>
      <c r="F308" s="11"/>
      <c r="G308" s="11"/>
      <c r="H308" s="12" t="n">
        <v>1871.53</v>
      </c>
      <c r="I308" s="12" t="n">
        <v>1890.27</v>
      </c>
      <c r="J308" s="11" t="s">
        <v>232</v>
      </c>
      <c r="K308" s="13" t="n">
        <v>200.26</v>
      </c>
      <c r="L308" s="13"/>
      <c r="M308" s="11"/>
      <c r="N308" s="11"/>
      <c r="O308" s="12"/>
      <c r="P308" s="11"/>
      <c r="Q308" s="12"/>
      <c r="R308" s="11" t="s">
        <v>114</v>
      </c>
      <c r="S308" s="11" t="s">
        <v>416</v>
      </c>
      <c r="T308" s="11" t="s">
        <v>126</v>
      </c>
      <c r="U308" s="14" t="s">
        <v>1490</v>
      </c>
      <c r="V308" s="14" t="s">
        <v>1491</v>
      </c>
      <c r="W308" s="14" t="s">
        <v>1492</v>
      </c>
      <c r="X308" s="11" t="s">
        <v>79</v>
      </c>
      <c r="Y308" s="11" t="s">
        <v>1493</v>
      </c>
    </row>
    <row r="309" customFormat="false" ht="68.65" hidden="false" customHeight="false" outlineLevel="0" collapsed="false">
      <c r="A309" s="11" t="s">
        <v>1494</v>
      </c>
      <c r="B309" s="11" t="s">
        <v>1495</v>
      </c>
      <c r="C309" s="11" t="s">
        <v>86</v>
      </c>
      <c r="D309" s="11" t="s">
        <v>26</v>
      </c>
      <c r="E309" s="11" t="s">
        <v>194</v>
      </c>
      <c r="F309" s="11"/>
      <c r="G309" s="11"/>
      <c r="H309" s="12" t="n">
        <v>64823</v>
      </c>
      <c r="I309" s="12" t="n">
        <v>64774.6</v>
      </c>
      <c r="J309" s="11" t="s">
        <v>232</v>
      </c>
      <c r="K309" s="13" t="n">
        <v>14.93</v>
      </c>
      <c r="L309" s="13"/>
      <c r="M309" s="11"/>
      <c r="N309" s="11"/>
      <c r="O309" s="12"/>
      <c r="P309" s="11"/>
      <c r="Q309" s="12"/>
      <c r="R309" s="11" t="s">
        <v>114</v>
      </c>
      <c r="S309" s="11" t="s">
        <v>416</v>
      </c>
      <c r="T309" s="11" t="s">
        <v>126</v>
      </c>
      <c r="U309" s="14" t="s">
        <v>1496</v>
      </c>
      <c r="V309" s="14" t="s">
        <v>1497</v>
      </c>
      <c r="W309" s="14" t="s">
        <v>1498</v>
      </c>
      <c r="X309" s="11" t="s">
        <v>79</v>
      </c>
      <c r="Y309" s="11" t="s">
        <v>1499</v>
      </c>
    </row>
    <row r="310" customFormat="false" ht="68.65" hidden="false" customHeight="false" outlineLevel="0" collapsed="false">
      <c r="A310" s="11" t="s">
        <v>1494</v>
      </c>
      <c r="B310" s="11" t="s">
        <v>1500</v>
      </c>
      <c r="C310" s="11" t="s">
        <v>90</v>
      </c>
      <c r="D310" s="11" t="s">
        <v>27</v>
      </c>
      <c r="E310" s="11" t="s">
        <v>194</v>
      </c>
      <c r="F310" s="11" t="n">
        <v>300</v>
      </c>
      <c r="G310" s="11"/>
      <c r="H310" s="12"/>
      <c r="I310" s="12"/>
      <c r="J310" s="11"/>
      <c r="K310" s="13" t="n">
        <v>235.1</v>
      </c>
      <c r="L310" s="13"/>
      <c r="M310" s="11"/>
      <c r="N310" s="11"/>
      <c r="O310" s="12"/>
      <c r="P310" s="11"/>
      <c r="Q310" s="12"/>
      <c r="R310" s="11" t="s">
        <v>73</v>
      </c>
      <c r="S310" s="11" t="s">
        <v>234</v>
      </c>
      <c r="T310" s="11" t="s">
        <v>126</v>
      </c>
      <c r="U310" s="14" t="s">
        <v>1501</v>
      </c>
      <c r="V310" s="14" t="s">
        <v>1502</v>
      </c>
      <c r="W310" s="14" t="s">
        <v>1503</v>
      </c>
      <c r="X310" s="11" t="s">
        <v>79</v>
      </c>
      <c r="Y310" s="11" t="s">
        <v>1504</v>
      </c>
    </row>
    <row r="311" customFormat="false" ht="68.65" hidden="false" customHeight="false" outlineLevel="0" collapsed="false">
      <c r="A311" s="11" t="s">
        <v>1505</v>
      </c>
      <c r="B311" s="11" t="s">
        <v>1506</v>
      </c>
      <c r="C311" s="11" t="s">
        <v>86</v>
      </c>
      <c r="D311" s="11" t="s">
        <v>26</v>
      </c>
      <c r="E311" s="11" t="s">
        <v>194</v>
      </c>
      <c r="F311" s="11"/>
      <c r="G311" s="11"/>
      <c r="H311" s="12"/>
      <c r="I311" s="12"/>
      <c r="J311" s="11"/>
      <c r="K311" s="13"/>
      <c r="L311" s="13"/>
      <c r="M311" s="11"/>
      <c r="N311" s="11"/>
      <c r="O311" s="12"/>
      <c r="P311" s="11"/>
      <c r="Q311" s="12"/>
      <c r="R311" s="11" t="s">
        <v>114</v>
      </c>
      <c r="S311" s="11" t="s">
        <v>74</v>
      </c>
      <c r="T311" s="11" t="s">
        <v>75</v>
      </c>
      <c r="U311" s="14" t="s">
        <v>1507</v>
      </c>
      <c r="V311" s="14" t="s">
        <v>1508</v>
      </c>
      <c r="W311" s="14" t="s">
        <v>1509</v>
      </c>
      <c r="X311" s="11" t="s">
        <v>79</v>
      </c>
      <c r="Y311" s="11" t="s">
        <v>1510</v>
      </c>
    </row>
    <row r="312" customFormat="false" ht="35.05" hidden="false" customHeight="false" outlineLevel="0" collapsed="false">
      <c r="A312" s="11" t="s">
        <v>1511</v>
      </c>
      <c r="B312" s="11" t="s">
        <v>1512</v>
      </c>
      <c r="C312" s="11" t="s">
        <v>90</v>
      </c>
      <c r="D312" s="11" t="s">
        <v>27</v>
      </c>
      <c r="E312" s="11" t="s">
        <v>194</v>
      </c>
      <c r="F312" s="11" t="n">
        <v>300</v>
      </c>
      <c r="G312" s="11"/>
      <c r="H312" s="12" t="n">
        <v>1922.78</v>
      </c>
      <c r="I312" s="12" t="n">
        <v>1907.31</v>
      </c>
      <c r="J312" s="11" t="s">
        <v>156</v>
      </c>
      <c r="K312" s="13" t="n">
        <v>241.45</v>
      </c>
      <c r="L312" s="13"/>
      <c r="M312" s="11"/>
      <c r="N312" s="11"/>
      <c r="O312" s="12"/>
      <c r="P312" s="11"/>
      <c r="Q312" s="12"/>
      <c r="R312" s="11" t="s">
        <v>73</v>
      </c>
      <c r="S312" s="11" t="s">
        <v>234</v>
      </c>
      <c r="T312" s="11" t="s">
        <v>126</v>
      </c>
      <c r="U312" s="14" t="s">
        <v>1513</v>
      </c>
      <c r="V312" s="14" t="s">
        <v>1514</v>
      </c>
      <c r="W312" s="14" t="s">
        <v>1515</v>
      </c>
      <c r="X312" s="11" t="s">
        <v>79</v>
      </c>
      <c r="Y312" s="11" t="s">
        <v>1516</v>
      </c>
    </row>
    <row r="313" customFormat="false" ht="46.25" hidden="false" customHeight="false" outlineLevel="0" collapsed="false">
      <c r="A313" s="11" t="s">
        <v>1511</v>
      </c>
      <c r="B313" s="11" t="s">
        <v>1517</v>
      </c>
      <c r="C313" s="11" t="s">
        <v>86</v>
      </c>
      <c r="D313" s="11" t="s">
        <v>26</v>
      </c>
      <c r="E313" s="11" t="s">
        <v>194</v>
      </c>
      <c r="F313" s="11" t="n">
        <v>150</v>
      </c>
      <c r="G313" s="11"/>
      <c r="H313" s="12" t="n">
        <v>65024.1</v>
      </c>
      <c r="I313" s="12" t="n">
        <v>64504.5</v>
      </c>
      <c r="J313" s="11" t="s">
        <v>156</v>
      </c>
      <c r="K313" s="13" t="n">
        <v>119.86</v>
      </c>
      <c r="L313" s="13"/>
      <c r="M313" s="11"/>
      <c r="N313" s="11"/>
      <c r="O313" s="12"/>
      <c r="P313" s="11"/>
      <c r="Q313" s="12"/>
      <c r="R313" s="11" t="s">
        <v>73</v>
      </c>
      <c r="S313" s="11" t="s">
        <v>205</v>
      </c>
      <c r="T313" s="11" t="s">
        <v>126</v>
      </c>
      <c r="U313" s="14" t="s">
        <v>1518</v>
      </c>
      <c r="V313" s="14" t="s">
        <v>1519</v>
      </c>
      <c r="W313" s="14" t="s">
        <v>1520</v>
      </c>
      <c r="X313" s="11" t="s">
        <v>79</v>
      </c>
      <c r="Y313" s="11" t="s">
        <v>1521</v>
      </c>
    </row>
    <row r="314" customFormat="false" ht="35.05" hidden="false" customHeight="false" outlineLevel="0" collapsed="false">
      <c r="A314" s="11" t="s">
        <v>1511</v>
      </c>
      <c r="B314" s="11" t="s">
        <v>268</v>
      </c>
      <c r="C314" s="11" t="s">
        <v>1522</v>
      </c>
      <c r="D314" s="11" t="s">
        <v>1523</v>
      </c>
      <c r="E314" s="11" t="s">
        <v>194</v>
      </c>
      <c r="F314" s="11"/>
      <c r="G314" s="11"/>
      <c r="H314" s="12" t="n">
        <v>0.01457</v>
      </c>
      <c r="I314" s="12" t="n">
        <v>0.01443</v>
      </c>
      <c r="J314" s="11" t="s">
        <v>156</v>
      </c>
      <c r="K314" s="13" t="n">
        <v>48.04</v>
      </c>
      <c r="L314" s="13"/>
      <c r="M314" s="11"/>
      <c r="N314" s="11"/>
      <c r="O314" s="12"/>
      <c r="P314" s="11"/>
      <c r="Q314" s="12"/>
      <c r="R314" s="11" t="s">
        <v>73</v>
      </c>
      <c r="S314" s="11" t="s">
        <v>416</v>
      </c>
      <c r="T314" s="11" t="s">
        <v>126</v>
      </c>
      <c r="U314" s="14" t="s">
        <v>1524</v>
      </c>
      <c r="V314" s="14" t="s">
        <v>1525</v>
      </c>
      <c r="W314" s="14" t="s">
        <v>1526</v>
      </c>
      <c r="X314" s="11" t="s">
        <v>79</v>
      </c>
      <c r="Y314" s="11" t="s">
        <v>1527</v>
      </c>
    </row>
    <row r="315" customFormat="false" ht="35.05" hidden="false" customHeight="false" outlineLevel="0" collapsed="false">
      <c r="A315" s="11" t="s">
        <v>1528</v>
      </c>
      <c r="B315" s="11" t="s">
        <v>1529</v>
      </c>
      <c r="C315" s="11" t="s">
        <v>90</v>
      </c>
      <c r="D315" s="11" t="s">
        <v>27</v>
      </c>
      <c r="E315" s="11" t="s">
        <v>113</v>
      </c>
      <c r="F315" s="11"/>
      <c r="G315" s="11"/>
      <c r="H315" s="12" t="n">
        <v>1872.74</v>
      </c>
      <c r="I315" s="12" t="n">
        <v>1890.16</v>
      </c>
      <c r="J315" s="11" t="s">
        <v>156</v>
      </c>
      <c r="K315" s="13" t="n">
        <v>186.03</v>
      </c>
      <c r="L315" s="13"/>
      <c r="M315" s="11"/>
      <c r="N315" s="11"/>
      <c r="O315" s="12"/>
      <c r="P315" s="11"/>
      <c r="Q315" s="12"/>
      <c r="R315" s="11" t="s">
        <v>73</v>
      </c>
      <c r="S315" s="11" t="s">
        <v>416</v>
      </c>
      <c r="T315" s="11" t="s">
        <v>126</v>
      </c>
      <c r="U315" s="14" t="s">
        <v>1530</v>
      </c>
      <c r="V315" s="14" t="s">
        <v>1531</v>
      </c>
      <c r="W315" s="14" t="s">
        <v>1532</v>
      </c>
      <c r="X315" s="11" t="s">
        <v>79</v>
      </c>
      <c r="Y315" s="11" t="s">
        <v>1533</v>
      </c>
    </row>
    <row r="316" customFormat="false" ht="46.25" hidden="false" customHeight="false" outlineLevel="0" collapsed="false">
      <c r="A316" s="11" t="s">
        <v>1528</v>
      </c>
      <c r="B316" s="11" t="s">
        <v>1534</v>
      </c>
      <c r="C316" s="11" t="s">
        <v>107</v>
      </c>
      <c r="D316" s="11" t="s">
        <v>28</v>
      </c>
      <c r="E316" s="11" t="s">
        <v>194</v>
      </c>
      <c r="F316" s="11" t="n">
        <v>100</v>
      </c>
      <c r="G316" s="11"/>
      <c r="H316" s="12" t="n">
        <v>77.23</v>
      </c>
      <c r="I316" s="12" t="n">
        <v>75.23</v>
      </c>
      <c r="J316" s="11" t="s">
        <v>156</v>
      </c>
      <c r="K316" s="13" t="n">
        <v>262.87</v>
      </c>
      <c r="L316" s="13"/>
      <c r="M316" s="11"/>
      <c r="N316" s="11"/>
      <c r="O316" s="12"/>
      <c r="P316" s="11"/>
      <c r="Q316" s="12"/>
      <c r="R316" s="11" t="s">
        <v>73</v>
      </c>
      <c r="S316" s="11" t="s">
        <v>234</v>
      </c>
      <c r="T316" s="11" t="s">
        <v>126</v>
      </c>
      <c r="U316" s="14" t="s">
        <v>1535</v>
      </c>
      <c r="V316" s="14" t="s">
        <v>1536</v>
      </c>
      <c r="W316" s="14" t="s">
        <v>1537</v>
      </c>
      <c r="X316" s="11" t="s">
        <v>79</v>
      </c>
      <c r="Y316" s="11" t="s">
        <v>1538</v>
      </c>
    </row>
    <row r="317" customFormat="false" ht="147" hidden="false" customHeight="false" outlineLevel="0" collapsed="false">
      <c r="A317" s="11" t="s">
        <v>1528</v>
      </c>
      <c r="B317" s="11" t="s">
        <v>1539</v>
      </c>
      <c r="C317" s="11" t="s">
        <v>86</v>
      </c>
      <c r="D317" s="11" t="s">
        <v>26</v>
      </c>
      <c r="E317" s="11" t="s">
        <v>113</v>
      </c>
      <c r="F317" s="11"/>
      <c r="G317" s="11"/>
      <c r="H317" s="12" t="n">
        <v>63500</v>
      </c>
      <c r="I317" s="12"/>
      <c r="J317" s="11"/>
      <c r="K317" s="13" t="n">
        <v>0</v>
      </c>
      <c r="L317" s="13"/>
      <c r="M317" s="11"/>
      <c r="N317" s="11"/>
      <c r="O317" s="12"/>
      <c r="P317" s="11"/>
      <c r="Q317" s="12"/>
      <c r="R317" s="11" t="s">
        <v>114</v>
      </c>
      <c r="S317" s="11" t="s">
        <v>234</v>
      </c>
      <c r="T317" s="11" t="s">
        <v>126</v>
      </c>
      <c r="U317" s="14" t="s">
        <v>1540</v>
      </c>
      <c r="V317" s="14" t="s">
        <v>1541</v>
      </c>
      <c r="W317" s="14" t="s">
        <v>1542</v>
      </c>
      <c r="X317" s="11" t="s">
        <v>120</v>
      </c>
      <c r="Y317" s="11" t="s">
        <v>1543</v>
      </c>
    </row>
    <row r="318" customFormat="false" ht="102.2" hidden="false" customHeight="false" outlineLevel="0" collapsed="false">
      <c r="A318" s="11" t="s">
        <v>1544</v>
      </c>
      <c r="B318" s="11" t="s">
        <v>1545</v>
      </c>
      <c r="C318" s="11" t="s">
        <v>86</v>
      </c>
      <c r="D318" s="11" t="s">
        <v>26</v>
      </c>
      <c r="E318" s="11" t="s">
        <v>113</v>
      </c>
      <c r="F318" s="11"/>
      <c r="G318" s="11"/>
      <c r="H318" s="12"/>
      <c r="I318" s="12"/>
      <c r="J318" s="11"/>
      <c r="K318" s="13" t="n">
        <v>91.1</v>
      </c>
      <c r="L318" s="13"/>
      <c r="M318" s="11"/>
      <c r="N318" s="11"/>
      <c r="O318" s="12"/>
      <c r="P318" s="11"/>
      <c r="Q318" s="12"/>
      <c r="R318" s="11" t="s">
        <v>114</v>
      </c>
      <c r="S318" s="11" t="s">
        <v>416</v>
      </c>
      <c r="T318" s="11" t="s">
        <v>126</v>
      </c>
      <c r="U318" s="14" t="s">
        <v>1546</v>
      </c>
      <c r="V318" s="14" t="s">
        <v>1547</v>
      </c>
      <c r="W318" s="14" t="s">
        <v>1548</v>
      </c>
      <c r="X318" s="11" t="s">
        <v>79</v>
      </c>
      <c r="Y318" s="11" t="s">
        <v>1549</v>
      </c>
    </row>
    <row r="319" customFormat="false" ht="35.05" hidden="false" customHeight="false" outlineLevel="0" collapsed="false">
      <c r="A319" s="11" t="s">
        <v>1550</v>
      </c>
      <c r="B319" s="11" t="s">
        <v>1551</v>
      </c>
      <c r="C319" s="11" t="s">
        <v>92</v>
      </c>
      <c r="D319" s="11" t="s">
        <v>30</v>
      </c>
      <c r="E319" s="11" t="s">
        <v>194</v>
      </c>
      <c r="F319" s="11"/>
      <c r="G319" s="11"/>
      <c r="H319" s="12" t="n">
        <v>58.35</v>
      </c>
      <c r="I319" s="12" t="n">
        <v>56.503</v>
      </c>
      <c r="J319" s="11" t="s">
        <v>156</v>
      </c>
      <c r="K319" s="13" t="n">
        <v>158.26</v>
      </c>
      <c r="L319" s="13"/>
      <c r="M319" s="11"/>
      <c r="N319" s="11"/>
      <c r="O319" s="12"/>
      <c r="P319" s="11"/>
      <c r="Q319" s="12"/>
      <c r="R319" s="11" t="s">
        <v>73</v>
      </c>
      <c r="S319" s="11" t="s">
        <v>416</v>
      </c>
      <c r="T319" s="11" t="s">
        <v>126</v>
      </c>
      <c r="U319" s="14" t="s">
        <v>1552</v>
      </c>
      <c r="V319" s="14" t="s">
        <v>1553</v>
      </c>
      <c r="W319" s="14" t="s">
        <v>1554</v>
      </c>
      <c r="X319" s="11" t="s">
        <v>79</v>
      </c>
      <c r="Y319" s="11" t="s">
        <v>1555</v>
      </c>
    </row>
    <row r="320" customFormat="false" ht="57.45" hidden="false" customHeight="false" outlineLevel="0" collapsed="false">
      <c r="A320" s="11" t="s">
        <v>1556</v>
      </c>
      <c r="B320" s="11" t="s">
        <v>1557</v>
      </c>
      <c r="C320" s="11" t="s">
        <v>349</v>
      </c>
      <c r="D320" s="11" t="s">
        <v>31</v>
      </c>
      <c r="E320" s="11" t="s">
        <v>113</v>
      </c>
      <c r="F320" s="11"/>
      <c r="G320" s="11"/>
      <c r="H320" s="12"/>
      <c r="I320" s="12"/>
      <c r="J320" s="11"/>
      <c r="K320" s="13" t="n">
        <v>103.9</v>
      </c>
      <c r="L320" s="13"/>
      <c r="M320" s="11"/>
      <c r="N320" s="11"/>
      <c r="O320" s="12"/>
      <c r="P320" s="11"/>
      <c r="Q320" s="12"/>
      <c r="R320" s="11" t="s">
        <v>73</v>
      </c>
      <c r="S320" s="11" t="s">
        <v>416</v>
      </c>
      <c r="T320" s="11" t="s">
        <v>126</v>
      </c>
      <c r="U320" s="14" t="s">
        <v>1558</v>
      </c>
      <c r="V320" s="14" t="s">
        <v>1282</v>
      </c>
      <c r="W320" s="14" t="s">
        <v>1559</v>
      </c>
      <c r="X320" s="11" t="s">
        <v>79</v>
      </c>
      <c r="Y320" s="11" t="s">
        <v>1560</v>
      </c>
    </row>
    <row r="321" customFormat="false" ht="68.65" hidden="false" customHeight="false" outlineLevel="0" collapsed="false">
      <c r="A321" s="11" t="s">
        <v>1556</v>
      </c>
      <c r="B321" s="11" t="s">
        <v>1561</v>
      </c>
      <c r="C321" s="11" t="s">
        <v>349</v>
      </c>
      <c r="D321" s="11" t="s">
        <v>31</v>
      </c>
      <c r="E321" s="11" t="s">
        <v>113</v>
      </c>
      <c r="F321" s="11"/>
      <c r="G321" s="11"/>
      <c r="H321" s="12"/>
      <c r="I321" s="12" t="n">
        <v>498.44</v>
      </c>
      <c r="J321" s="11" t="s">
        <v>156</v>
      </c>
      <c r="K321" s="13"/>
      <c r="L321" s="13"/>
      <c r="M321" s="11"/>
      <c r="N321" s="11"/>
      <c r="O321" s="12"/>
      <c r="P321" s="11"/>
      <c r="Q321" s="12"/>
      <c r="R321" s="11" t="s">
        <v>73</v>
      </c>
      <c r="S321" s="11" t="s">
        <v>416</v>
      </c>
      <c r="T321" s="11" t="s">
        <v>235</v>
      </c>
      <c r="U321" s="14" t="s">
        <v>1562</v>
      </c>
      <c r="V321" s="14" t="s">
        <v>1563</v>
      </c>
      <c r="W321" s="14" t="s">
        <v>1564</v>
      </c>
      <c r="X321" s="11" t="s">
        <v>79</v>
      </c>
      <c r="Y321" s="11" t="s">
        <v>1565</v>
      </c>
    </row>
    <row r="322" customFormat="false" ht="46.25" hidden="false" customHeight="false" outlineLevel="0" collapsed="false">
      <c r="A322" s="11" t="s">
        <v>1566</v>
      </c>
      <c r="B322" s="11" t="s">
        <v>1567</v>
      </c>
      <c r="C322" s="11" t="s">
        <v>107</v>
      </c>
      <c r="D322" s="11" t="s">
        <v>28</v>
      </c>
      <c r="E322" s="11" t="s">
        <v>113</v>
      </c>
      <c r="F322" s="11"/>
      <c r="G322" s="11"/>
      <c r="H322" s="12"/>
      <c r="I322" s="12"/>
      <c r="J322" s="11"/>
      <c r="K322" s="13" t="n">
        <v>123.88</v>
      </c>
      <c r="L322" s="13"/>
      <c r="M322" s="11"/>
      <c r="N322" s="11"/>
      <c r="O322" s="12"/>
      <c r="P322" s="11"/>
      <c r="Q322" s="12"/>
      <c r="R322" s="11" t="s">
        <v>73</v>
      </c>
      <c r="S322" s="11" t="s">
        <v>416</v>
      </c>
      <c r="T322" s="11" t="s">
        <v>126</v>
      </c>
      <c r="U322" s="14" t="s">
        <v>1568</v>
      </c>
      <c r="V322" s="14" t="s">
        <v>1569</v>
      </c>
      <c r="W322" s="14" t="s">
        <v>1570</v>
      </c>
      <c r="X322" s="11" t="s">
        <v>79</v>
      </c>
      <c r="Y322" s="11" t="s">
        <v>1571</v>
      </c>
    </row>
    <row r="323" customFormat="false" ht="46.25" hidden="false" customHeight="false" outlineLevel="0" collapsed="false">
      <c r="A323" s="11" t="s">
        <v>1566</v>
      </c>
      <c r="B323" s="11" t="s">
        <v>1572</v>
      </c>
      <c r="C323" s="11" t="s">
        <v>86</v>
      </c>
      <c r="D323" s="11" t="s">
        <v>26</v>
      </c>
      <c r="E323" s="11" t="s">
        <v>113</v>
      </c>
      <c r="F323" s="11"/>
      <c r="G323" s="11"/>
      <c r="H323" s="12" t="n">
        <v>63797.1</v>
      </c>
      <c r="I323" s="12" t="n">
        <v>64144.9</v>
      </c>
      <c r="J323" s="11" t="s">
        <v>156</v>
      </c>
      <c r="K323" s="13" t="n">
        <v>109.01</v>
      </c>
      <c r="L323" s="13"/>
      <c r="M323" s="11"/>
      <c r="N323" s="11"/>
      <c r="O323" s="12"/>
      <c r="P323" s="11"/>
      <c r="Q323" s="12"/>
      <c r="R323" s="11" t="s">
        <v>73</v>
      </c>
      <c r="S323" s="11" t="s">
        <v>416</v>
      </c>
      <c r="T323" s="11" t="s">
        <v>126</v>
      </c>
      <c r="U323" s="14" t="s">
        <v>1573</v>
      </c>
      <c r="V323" s="14"/>
      <c r="W323" s="14" t="s">
        <v>1574</v>
      </c>
      <c r="X323" s="11" t="s">
        <v>79</v>
      </c>
      <c r="Y323" s="11" t="s">
        <v>1575</v>
      </c>
    </row>
    <row r="324" customFormat="false" ht="46.25" hidden="false" customHeight="false" outlineLevel="0" collapsed="false">
      <c r="A324" s="11" t="s">
        <v>1566</v>
      </c>
      <c r="B324" s="11" t="s">
        <v>1576</v>
      </c>
      <c r="C324" s="11" t="s">
        <v>415</v>
      </c>
      <c r="D324" s="11" t="s">
        <v>33</v>
      </c>
      <c r="E324" s="11" t="s">
        <v>194</v>
      </c>
      <c r="F324" s="11"/>
      <c r="G324" s="11"/>
      <c r="H324" s="12" t="n">
        <v>0.3552</v>
      </c>
      <c r="I324" s="12" t="n">
        <v>0.3493</v>
      </c>
      <c r="J324" s="11" t="s">
        <v>156</v>
      </c>
      <c r="K324" s="13" t="n">
        <v>83.05</v>
      </c>
      <c r="L324" s="13"/>
      <c r="M324" s="11"/>
      <c r="N324" s="11"/>
      <c r="O324" s="12"/>
      <c r="P324" s="11"/>
      <c r="Q324" s="12"/>
      <c r="R324" s="11" t="s">
        <v>73</v>
      </c>
      <c r="S324" s="11" t="s">
        <v>416</v>
      </c>
      <c r="T324" s="11" t="s">
        <v>126</v>
      </c>
      <c r="U324" s="14" t="s">
        <v>1577</v>
      </c>
      <c r="V324" s="14" t="s">
        <v>1578</v>
      </c>
      <c r="W324" s="14" t="s">
        <v>1579</v>
      </c>
      <c r="X324" s="11" t="s">
        <v>79</v>
      </c>
      <c r="Y324" s="11" t="s">
        <v>1580</v>
      </c>
    </row>
    <row r="325" customFormat="false" ht="79.85" hidden="false" customHeight="false" outlineLevel="0" collapsed="false">
      <c r="A325" s="11" t="s">
        <v>1581</v>
      </c>
      <c r="B325" s="11" t="s">
        <v>1582</v>
      </c>
      <c r="C325" s="11" t="s">
        <v>86</v>
      </c>
      <c r="D325" s="11" t="s">
        <v>26</v>
      </c>
      <c r="E325" s="11" t="s">
        <v>113</v>
      </c>
      <c r="F325" s="11"/>
      <c r="G325" s="11"/>
      <c r="H325" s="12"/>
      <c r="I325" s="12"/>
      <c r="J325" s="11"/>
      <c r="K325" s="13" t="n">
        <v>9.43</v>
      </c>
      <c r="L325" s="13"/>
      <c r="M325" s="11"/>
      <c r="N325" s="11"/>
      <c r="O325" s="12"/>
      <c r="P325" s="11"/>
      <c r="Q325" s="12"/>
      <c r="R325" s="11" t="s">
        <v>114</v>
      </c>
      <c r="S325" s="11" t="s">
        <v>115</v>
      </c>
      <c r="T325" s="11" t="s">
        <v>126</v>
      </c>
      <c r="U325" s="14" t="s">
        <v>1583</v>
      </c>
      <c r="V325" s="14" t="s">
        <v>1584</v>
      </c>
      <c r="W325" s="14" t="s">
        <v>1585</v>
      </c>
      <c r="X325" s="11" t="s">
        <v>120</v>
      </c>
      <c r="Y325" s="11" t="s">
        <v>1586</v>
      </c>
    </row>
    <row r="326" customFormat="false" ht="68.65" hidden="false" customHeight="false" outlineLevel="0" collapsed="false">
      <c r="A326" s="11" t="s">
        <v>1581</v>
      </c>
      <c r="B326" s="11" t="s">
        <v>1587</v>
      </c>
      <c r="C326" s="11" t="s">
        <v>92</v>
      </c>
      <c r="D326" s="11" t="s">
        <v>30</v>
      </c>
      <c r="E326" s="11" t="s">
        <v>113</v>
      </c>
      <c r="F326" s="11"/>
      <c r="G326" s="11"/>
      <c r="H326" s="12" t="n">
        <v>56.23</v>
      </c>
      <c r="I326" s="12"/>
      <c r="J326" s="11"/>
      <c r="K326" s="13" t="n">
        <v>27.77</v>
      </c>
      <c r="L326" s="13"/>
      <c r="M326" s="11"/>
      <c r="N326" s="11"/>
      <c r="O326" s="12"/>
      <c r="P326" s="11"/>
      <c r="Q326" s="12"/>
      <c r="R326" s="11" t="s">
        <v>114</v>
      </c>
      <c r="S326" s="11" t="s">
        <v>115</v>
      </c>
      <c r="T326" s="11" t="s">
        <v>126</v>
      </c>
      <c r="U326" s="14" t="s">
        <v>1588</v>
      </c>
      <c r="V326" s="14" t="s">
        <v>1589</v>
      </c>
      <c r="W326" s="14" t="s">
        <v>1590</v>
      </c>
      <c r="X326" s="11" t="s">
        <v>79</v>
      </c>
      <c r="Y326" s="11" t="s">
        <v>1591</v>
      </c>
    </row>
    <row r="327" customFormat="false" ht="46.25" hidden="false" customHeight="false" outlineLevel="0" collapsed="false">
      <c r="A327" s="11" t="s">
        <v>1592</v>
      </c>
      <c r="B327" s="11" t="s">
        <v>1593</v>
      </c>
      <c r="C327" s="11" t="s">
        <v>86</v>
      </c>
      <c r="D327" s="11" t="s">
        <v>26</v>
      </c>
      <c r="E327" s="11" t="s">
        <v>113</v>
      </c>
      <c r="F327" s="11" t="n">
        <v>150</v>
      </c>
      <c r="G327" s="11"/>
      <c r="H327" s="12" t="n">
        <v>69111.2</v>
      </c>
      <c r="I327" s="12" t="n">
        <v>69907.6</v>
      </c>
      <c r="J327" s="11" t="s">
        <v>156</v>
      </c>
      <c r="K327" s="13" t="n">
        <v>172.83</v>
      </c>
      <c r="L327" s="13"/>
      <c r="M327" s="11"/>
      <c r="N327" s="11"/>
      <c r="O327" s="12"/>
      <c r="P327" s="11"/>
      <c r="Q327" s="12"/>
      <c r="R327" s="11" t="s">
        <v>73</v>
      </c>
      <c r="S327" s="11" t="s">
        <v>205</v>
      </c>
      <c r="T327" s="11" t="s">
        <v>126</v>
      </c>
      <c r="U327" s="14" t="s">
        <v>1594</v>
      </c>
      <c r="V327" s="14" t="s">
        <v>1595</v>
      </c>
      <c r="W327" s="14" t="s">
        <v>1596</v>
      </c>
      <c r="X327" s="11" t="s">
        <v>79</v>
      </c>
      <c r="Y327" s="11" t="s">
        <v>1597</v>
      </c>
    </row>
    <row r="328" customFormat="false" ht="68.65" hidden="false" customHeight="false" outlineLevel="0" collapsed="false">
      <c r="A328" s="11" t="s">
        <v>1592</v>
      </c>
      <c r="B328" s="11" t="s">
        <v>1598</v>
      </c>
      <c r="C328" s="11" t="s">
        <v>86</v>
      </c>
      <c r="D328" s="11" t="s">
        <v>26</v>
      </c>
      <c r="E328" s="11" t="s">
        <v>113</v>
      </c>
      <c r="F328" s="11"/>
      <c r="G328" s="11"/>
      <c r="H328" s="12" t="n">
        <v>69220.4</v>
      </c>
      <c r="I328" s="12" t="n">
        <v>70999.5</v>
      </c>
      <c r="J328" s="11" t="s">
        <v>156</v>
      </c>
      <c r="K328" s="13"/>
      <c r="L328" s="13"/>
      <c r="M328" s="11"/>
      <c r="N328" s="11"/>
      <c r="O328" s="12"/>
      <c r="P328" s="11"/>
      <c r="Q328" s="12"/>
      <c r="R328" s="11" t="s">
        <v>73</v>
      </c>
      <c r="S328" s="11" t="s">
        <v>234</v>
      </c>
      <c r="T328" s="11" t="s">
        <v>126</v>
      </c>
      <c r="U328" s="14" t="s">
        <v>1599</v>
      </c>
      <c r="V328" s="14" t="s">
        <v>1600</v>
      </c>
      <c r="W328" s="14" t="s">
        <v>1601</v>
      </c>
      <c r="X328" s="11" t="s">
        <v>120</v>
      </c>
      <c r="Y328" s="11" t="s">
        <v>1602</v>
      </c>
    </row>
    <row r="329" customFormat="false" ht="23.85" hidden="false" customHeight="false" outlineLevel="0" collapsed="false">
      <c r="A329" s="11" t="s">
        <v>1592</v>
      </c>
      <c r="B329" s="11" t="s">
        <v>1603</v>
      </c>
      <c r="C329" s="11" t="s">
        <v>86</v>
      </c>
      <c r="D329" s="11" t="s">
        <v>26</v>
      </c>
      <c r="E329" s="11" t="s">
        <v>113</v>
      </c>
      <c r="F329" s="11"/>
      <c r="G329" s="11"/>
      <c r="H329" s="12"/>
      <c r="I329" s="12"/>
      <c r="J329" s="11"/>
      <c r="K329" s="13"/>
      <c r="L329" s="13"/>
      <c r="M329" s="11" t="s">
        <v>1604</v>
      </c>
      <c r="N329" s="11"/>
      <c r="O329" s="12"/>
      <c r="P329" s="11"/>
      <c r="Q329" s="12"/>
      <c r="R329" s="11" t="s">
        <v>114</v>
      </c>
      <c r="S329" s="11" t="s">
        <v>115</v>
      </c>
      <c r="T329" s="11" t="s">
        <v>1091</v>
      </c>
      <c r="U329" s="14" t="s">
        <v>1605</v>
      </c>
      <c r="V329" s="14" t="s">
        <v>1606</v>
      </c>
      <c r="W329" s="14" t="s">
        <v>1607</v>
      </c>
      <c r="X329" s="11" t="s">
        <v>79</v>
      </c>
      <c r="Y329" s="11" t="s">
        <v>1608</v>
      </c>
    </row>
    <row r="330" customFormat="false" ht="23.85" hidden="false" customHeight="false" outlineLevel="0" collapsed="false">
      <c r="A330" s="11" t="s">
        <v>1592</v>
      </c>
      <c r="B330" s="11" t="s">
        <v>1603</v>
      </c>
      <c r="C330" s="11" t="s">
        <v>92</v>
      </c>
      <c r="D330" s="11" t="s">
        <v>30</v>
      </c>
      <c r="E330" s="11" t="s">
        <v>113</v>
      </c>
      <c r="F330" s="11"/>
      <c r="G330" s="11"/>
      <c r="H330" s="12"/>
      <c r="I330" s="12"/>
      <c r="J330" s="11"/>
      <c r="K330" s="13"/>
      <c r="L330" s="13"/>
      <c r="M330" s="11" t="s">
        <v>1609</v>
      </c>
      <c r="N330" s="11"/>
      <c r="O330" s="12"/>
      <c r="P330" s="11"/>
      <c r="Q330" s="12"/>
      <c r="R330" s="11" t="s">
        <v>114</v>
      </c>
      <c r="S330" s="11" t="s">
        <v>115</v>
      </c>
      <c r="T330" s="11" t="s">
        <v>1091</v>
      </c>
      <c r="U330" s="14" t="s">
        <v>1605</v>
      </c>
      <c r="V330" s="14" t="s">
        <v>1606</v>
      </c>
      <c r="W330" s="14" t="s">
        <v>1607</v>
      </c>
      <c r="X330" s="11" t="s">
        <v>79</v>
      </c>
      <c r="Y330" s="11" t="s">
        <v>1608</v>
      </c>
    </row>
    <row r="331" customFormat="false" ht="23.85" hidden="false" customHeight="false" outlineLevel="0" collapsed="false">
      <c r="A331" s="11" t="s">
        <v>1592</v>
      </c>
      <c r="B331" s="11" t="s">
        <v>1603</v>
      </c>
      <c r="C331" s="11" t="s">
        <v>90</v>
      </c>
      <c r="D331" s="11" t="s">
        <v>27</v>
      </c>
      <c r="E331" s="11" t="s">
        <v>113</v>
      </c>
      <c r="F331" s="11"/>
      <c r="G331" s="11"/>
      <c r="H331" s="12"/>
      <c r="I331" s="12"/>
      <c r="J331" s="11"/>
      <c r="K331" s="13"/>
      <c r="L331" s="13"/>
      <c r="M331" s="11" t="s">
        <v>1610</v>
      </c>
      <c r="N331" s="11"/>
      <c r="O331" s="12"/>
      <c r="P331" s="11"/>
      <c r="Q331" s="12"/>
      <c r="R331" s="11" t="s">
        <v>114</v>
      </c>
      <c r="S331" s="11" t="s">
        <v>115</v>
      </c>
      <c r="T331" s="11" t="s">
        <v>1091</v>
      </c>
      <c r="U331" s="14" t="s">
        <v>1605</v>
      </c>
      <c r="V331" s="14" t="s">
        <v>1606</v>
      </c>
      <c r="W331" s="14" t="s">
        <v>1607</v>
      </c>
      <c r="X331" s="11" t="s">
        <v>79</v>
      </c>
      <c r="Y331" s="11" t="s">
        <v>1608</v>
      </c>
    </row>
    <row r="332" customFormat="false" ht="23.85" hidden="false" customHeight="false" outlineLevel="0" collapsed="false">
      <c r="A332" s="11" t="s">
        <v>1592</v>
      </c>
      <c r="B332" s="11" t="s">
        <v>1603</v>
      </c>
      <c r="C332" s="11" t="s">
        <v>107</v>
      </c>
      <c r="D332" s="11" t="s">
        <v>28</v>
      </c>
      <c r="E332" s="11" t="s">
        <v>113</v>
      </c>
      <c r="F332" s="11"/>
      <c r="G332" s="11"/>
      <c r="H332" s="12"/>
      <c r="I332" s="12"/>
      <c r="J332" s="11"/>
      <c r="K332" s="13"/>
      <c r="L332" s="13"/>
      <c r="M332" s="11" t="s">
        <v>1611</v>
      </c>
      <c r="N332" s="11"/>
      <c r="O332" s="12"/>
      <c r="P332" s="11"/>
      <c r="Q332" s="12"/>
      <c r="R332" s="11" t="s">
        <v>114</v>
      </c>
      <c r="S332" s="11" t="s">
        <v>115</v>
      </c>
      <c r="T332" s="11" t="s">
        <v>1091</v>
      </c>
      <c r="U332" s="14" t="s">
        <v>1605</v>
      </c>
      <c r="V332" s="14" t="s">
        <v>1606</v>
      </c>
      <c r="W332" s="14" t="s">
        <v>1607</v>
      </c>
      <c r="X332" s="11" t="s">
        <v>79</v>
      </c>
      <c r="Y332" s="11" t="s">
        <v>1608</v>
      </c>
    </row>
    <row r="333" customFormat="false" ht="23.85" hidden="false" customHeight="false" outlineLevel="0" collapsed="false">
      <c r="A333" s="11" t="s">
        <v>1592</v>
      </c>
      <c r="B333" s="11" t="s">
        <v>1603</v>
      </c>
      <c r="C333" s="11" t="s">
        <v>1612</v>
      </c>
      <c r="D333" s="11" t="s">
        <v>1613</v>
      </c>
      <c r="E333" s="11" t="s">
        <v>113</v>
      </c>
      <c r="F333" s="11"/>
      <c r="G333" s="11"/>
      <c r="H333" s="12"/>
      <c r="I333" s="12"/>
      <c r="J333" s="11"/>
      <c r="K333" s="13"/>
      <c r="L333" s="13"/>
      <c r="M333" s="11" t="s">
        <v>1614</v>
      </c>
      <c r="N333" s="11"/>
      <c r="O333" s="12"/>
      <c r="P333" s="11"/>
      <c r="Q333" s="12"/>
      <c r="R333" s="11" t="s">
        <v>114</v>
      </c>
      <c r="S333" s="11" t="s">
        <v>115</v>
      </c>
      <c r="T333" s="11" t="s">
        <v>1091</v>
      </c>
      <c r="U333" s="14" t="s">
        <v>1605</v>
      </c>
      <c r="V333" s="14" t="s">
        <v>1606</v>
      </c>
      <c r="W333" s="14" t="s">
        <v>1607</v>
      </c>
      <c r="X333" s="11" t="s">
        <v>79</v>
      </c>
      <c r="Y333" s="11" t="s">
        <v>1608</v>
      </c>
    </row>
    <row r="334" customFormat="false" ht="23.85" hidden="false" customHeight="false" outlineLevel="0" collapsed="false">
      <c r="A334" s="11" t="s">
        <v>1592</v>
      </c>
      <c r="B334" s="11" t="s">
        <v>1603</v>
      </c>
      <c r="C334" s="11" t="s">
        <v>1615</v>
      </c>
      <c r="D334" s="11" t="s">
        <v>1616</v>
      </c>
      <c r="E334" s="11" t="s">
        <v>113</v>
      </c>
      <c r="F334" s="11"/>
      <c r="G334" s="11"/>
      <c r="H334" s="12"/>
      <c r="I334" s="12"/>
      <c r="J334" s="11"/>
      <c r="K334" s="13"/>
      <c r="L334" s="13"/>
      <c r="M334" s="11" t="s">
        <v>1617</v>
      </c>
      <c r="N334" s="11"/>
      <c r="O334" s="12"/>
      <c r="P334" s="11"/>
      <c r="Q334" s="12"/>
      <c r="R334" s="11" t="s">
        <v>114</v>
      </c>
      <c r="S334" s="11" t="s">
        <v>115</v>
      </c>
      <c r="T334" s="11" t="s">
        <v>1091</v>
      </c>
      <c r="U334" s="14" t="s">
        <v>1605</v>
      </c>
      <c r="V334" s="14" t="s">
        <v>1606</v>
      </c>
      <c r="W334" s="14" t="s">
        <v>1607</v>
      </c>
      <c r="X334" s="11" t="s">
        <v>79</v>
      </c>
      <c r="Y334" s="11" t="s">
        <v>1608</v>
      </c>
    </row>
    <row r="335" customFormat="false" ht="23.85" hidden="false" customHeight="false" outlineLevel="0" collapsed="false">
      <c r="A335" s="11" t="s">
        <v>1592</v>
      </c>
      <c r="B335" s="11" t="s">
        <v>1603</v>
      </c>
      <c r="C335" s="11" t="s">
        <v>386</v>
      </c>
      <c r="D335" s="11" t="s">
        <v>29</v>
      </c>
      <c r="E335" s="11" t="s">
        <v>113</v>
      </c>
      <c r="F335" s="11"/>
      <c r="G335" s="11"/>
      <c r="H335" s="12"/>
      <c r="I335" s="12"/>
      <c r="J335" s="11"/>
      <c r="K335" s="13"/>
      <c r="L335" s="13"/>
      <c r="M335" s="11" t="s">
        <v>1618</v>
      </c>
      <c r="N335" s="11"/>
      <c r="O335" s="12"/>
      <c r="P335" s="11"/>
      <c r="Q335" s="12"/>
      <c r="R335" s="11" t="s">
        <v>114</v>
      </c>
      <c r="S335" s="11" t="s">
        <v>115</v>
      </c>
      <c r="T335" s="11" t="s">
        <v>1091</v>
      </c>
      <c r="U335" s="14" t="s">
        <v>1605</v>
      </c>
      <c r="V335" s="14" t="s">
        <v>1606</v>
      </c>
      <c r="W335" s="14" t="s">
        <v>1607</v>
      </c>
      <c r="X335" s="11" t="s">
        <v>79</v>
      </c>
      <c r="Y335" s="11" t="s">
        <v>1608</v>
      </c>
    </row>
    <row r="336" customFormat="false" ht="79.85" hidden="false" customHeight="false" outlineLevel="0" collapsed="false">
      <c r="A336" s="11" t="s">
        <v>1619</v>
      </c>
      <c r="B336" s="11" t="s">
        <v>1620</v>
      </c>
      <c r="C336" s="11" t="s">
        <v>86</v>
      </c>
      <c r="D336" s="11" t="s">
        <v>26</v>
      </c>
      <c r="E336" s="11" t="s">
        <v>113</v>
      </c>
      <c r="F336" s="11"/>
      <c r="G336" s="11"/>
      <c r="H336" s="12"/>
      <c r="I336" s="12"/>
      <c r="J336" s="11"/>
      <c r="K336" s="13" t="n">
        <v>20.95</v>
      </c>
      <c r="L336" s="13"/>
      <c r="M336" s="11"/>
      <c r="N336" s="11"/>
      <c r="O336" s="12"/>
      <c r="P336" s="11"/>
      <c r="Q336" s="12"/>
      <c r="R336" s="11" t="s">
        <v>114</v>
      </c>
      <c r="S336" s="11" t="s">
        <v>115</v>
      </c>
      <c r="T336" s="11" t="s">
        <v>126</v>
      </c>
      <c r="U336" s="14" t="s">
        <v>1621</v>
      </c>
      <c r="V336" s="14" t="s">
        <v>1622</v>
      </c>
      <c r="W336" s="14" t="s">
        <v>1623</v>
      </c>
      <c r="X336" s="11" t="s">
        <v>120</v>
      </c>
      <c r="Y336" s="11" t="s">
        <v>1624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4" min="3" style="0" width="9"/>
    <col collapsed="false" customWidth="true" hidden="false" outlineLevel="0" max="5" min="5" style="0" width="22"/>
    <col collapsed="false" customWidth="true" hidden="false" outlineLevel="0" max="6" min="6" style="0" width="10"/>
    <col collapsed="false" customWidth="true" hidden="false" outlineLevel="0" max="7" min="7" style="0" width="9"/>
    <col collapsed="false" customWidth="true" hidden="false" outlineLevel="0" max="8" min="8" style="0" width="18"/>
    <col collapsed="false" customWidth="true" hidden="false" outlineLevel="0" max="9" min="9" style="0" width="10"/>
    <col collapsed="false" customWidth="true" hidden="false" outlineLevel="0" max="10" min="10" style="0" width="30"/>
    <col collapsed="false" customWidth="true" hidden="false" outlineLevel="0" max="11" min="11" style="0" width="40"/>
    <col collapsed="false" customWidth="true" hidden="false" outlineLevel="0" max="12" min="12" style="0" width="46"/>
    <col collapsed="false" customWidth="true" hidden="false" outlineLevel="0" max="13" min="13" style="0" width="52"/>
    <col collapsed="false" customWidth="true" hidden="false" outlineLevel="0" max="14" min="14" style="0" width="60"/>
    <col collapsed="false" customWidth="true" hidden="false" outlineLevel="0" max="15" min="15" style="0" width="46"/>
    <col collapsed="false" customWidth="true" hidden="false" outlineLevel="0" max="16" min="16" style="0" width="22"/>
    <col collapsed="false" customWidth="true" hidden="false" outlineLevel="0" max="17" min="17" style="0" width="10"/>
    <col collapsed="false" customWidth="true" hidden="false" outlineLevel="0" max="18" min="18" style="0" width="34"/>
    <col collapsed="false" customWidth="true" hidden="false" outlineLevel="0" max="19" min="19" style="0" width="40"/>
    <col collapsed="false" customWidth="true" hidden="false" outlineLevel="0" max="21" min="20" style="0" width="34"/>
  </cols>
  <sheetData>
    <row r="1" customFormat="false" ht="30" hidden="false" customHeight="true" outlineLevel="0" collapsed="false">
      <c r="A1" s="10" t="s">
        <v>1625</v>
      </c>
      <c r="B1" s="10" t="s">
        <v>49</v>
      </c>
      <c r="C1" s="10" t="s">
        <v>50</v>
      </c>
      <c r="D1" s="10" t="s">
        <v>1626</v>
      </c>
      <c r="E1" s="10" t="s">
        <v>63</v>
      </c>
      <c r="F1" s="10" t="s">
        <v>62</v>
      </c>
      <c r="G1" s="10" t="s">
        <v>1627</v>
      </c>
      <c r="H1" s="10" t="s">
        <v>1628</v>
      </c>
      <c r="I1" s="10" t="s">
        <v>1629</v>
      </c>
      <c r="J1" s="10" t="s">
        <v>1630</v>
      </c>
      <c r="K1" s="10" t="s">
        <v>1631</v>
      </c>
      <c r="L1" s="10" t="s">
        <v>1632</v>
      </c>
      <c r="M1" s="10" t="s">
        <v>1633</v>
      </c>
      <c r="N1" s="10" t="s">
        <v>1634</v>
      </c>
      <c r="O1" s="10" t="s">
        <v>65</v>
      </c>
      <c r="P1" s="10" t="s">
        <v>1635</v>
      </c>
      <c r="Q1" s="10" t="s">
        <v>67</v>
      </c>
      <c r="R1" s="10" t="s">
        <v>1636</v>
      </c>
      <c r="S1" s="10" t="s">
        <v>66</v>
      </c>
      <c r="T1" s="10" t="s">
        <v>1637</v>
      </c>
      <c r="U1" s="10" t="s">
        <v>68</v>
      </c>
    </row>
    <row r="2" customFormat="false" ht="42" hidden="false" customHeight="true" outlineLevel="0" collapsed="false">
      <c r="A2" s="11" t="n">
        <v>1</v>
      </c>
      <c r="B2" s="11" t="s">
        <v>69</v>
      </c>
      <c r="C2" s="11" t="s">
        <v>70</v>
      </c>
      <c r="D2" s="11" t="s">
        <v>1638</v>
      </c>
      <c r="E2" s="11" t="s">
        <v>75</v>
      </c>
      <c r="F2" s="11" t="s">
        <v>74</v>
      </c>
      <c r="G2" s="11" t="n">
        <v>24</v>
      </c>
      <c r="H2" s="11" t="s">
        <v>1639</v>
      </c>
      <c r="I2" s="11"/>
      <c r="J2" s="14"/>
      <c r="K2" s="14"/>
      <c r="L2" s="14"/>
      <c r="M2" s="14" t="s">
        <v>1640</v>
      </c>
      <c r="N2" s="14" t="s">
        <v>1641</v>
      </c>
      <c r="O2" s="14" t="s">
        <v>77</v>
      </c>
      <c r="P2" s="11" t="s">
        <v>1642</v>
      </c>
      <c r="Q2" s="11" t="s">
        <v>79</v>
      </c>
      <c r="R2" s="14" t="s">
        <v>1643</v>
      </c>
      <c r="S2" s="11" t="s">
        <v>78</v>
      </c>
      <c r="T2" s="11"/>
      <c r="U2" s="11" t="s">
        <v>80</v>
      </c>
    </row>
    <row r="3" customFormat="false" ht="42" hidden="false" customHeight="true" outlineLevel="0" collapsed="false">
      <c r="A3" s="11" t="n">
        <v>2</v>
      </c>
      <c r="B3" s="11" t="s">
        <v>111</v>
      </c>
      <c r="C3" s="11" t="s">
        <v>112</v>
      </c>
      <c r="D3" s="11" t="s">
        <v>1638</v>
      </c>
      <c r="E3" s="11" t="s">
        <v>116</v>
      </c>
      <c r="F3" s="11" t="s">
        <v>115</v>
      </c>
      <c r="G3" s="11" t="n">
        <v>1</v>
      </c>
      <c r="H3" s="11" t="s">
        <v>86</v>
      </c>
      <c r="I3" s="11"/>
      <c r="J3" s="14"/>
      <c r="K3" s="14"/>
      <c r="L3" s="14"/>
      <c r="M3" s="14" t="s">
        <v>1644</v>
      </c>
      <c r="N3" s="14" t="s">
        <v>1645</v>
      </c>
      <c r="O3" s="14" t="s">
        <v>118</v>
      </c>
      <c r="P3" s="11"/>
      <c r="Q3" s="11" t="s">
        <v>120</v>
      </c>
      <c r="R3" s="14" t="s">
        <v>1646</v>
      </c>
      <c r="S3" s="11" t="s">
        <v>119</v>
      </c>
      <c r="T3" s="11"/>
      <c r="U3" s="11" t="s">
        <v>121</v>
      </c>
    </row>
    <row r="4" customFormat="false" ht="42" hidden="false" customHeight="true" outlineLevel="0" collapsed="false">
      <c r="A4" s="11" t="n">
        <v>3</v>
      </c>
      <c r="B4" s="11" t="s">
        <v>111</v>
      </c>
      <c r="C4" s="11" t="s">
        <v>122</v>
      </c>
      <c r="D4" s="11" t="s">
        <v>1638</v>
      </c>
      <c r="E4" s="11" t="s">
        <v>126</v>
      </c>
      <c r="F4" s="11" t="s">
        <v>125</v>
      </c>
      <c r="G4" s="11" t="n">
        <v>1</v>
      </c>
      <c r="H4" s="11" t="s">
        <v>123</v>
      </c>
      <c r="I4" s="11"/>
      <c r="J4" s="14"/>
      <c r="K4" s="14"/>
      <c r="L4" s="14"/>
      <c r="M4" s="14" t="s">
        <v>1647</v>
      </c>
      <c r="N4" s="14" t="s">
        <v>1648</v>
      </c>
      <c r="O4" s="14" t="s">
        <v>128</v>
      </c>
      <c r="P4" s="11"/>
      <c r="Q4" s="11" t="s">
        <v>120</v>
      </c>
      <c r="R4" s="14" t="s">
        <v>1649</v>
      </c>
      <c r="S4" s="11" t="s">
        <v>129</v>
      </c>
      <c r="T4" s="11"/>
      <c r="U4" s="11" t="s">
        <v>130</v>
      </c>
    </row>
    <row r="5" customFormat="false" ht="42" hidden="false" customHeight="true" outlineLevel="0" collapsed="false">
      <c r="A5" s="11" t="n">
        <v>4</v>
      </c>
      <c r="B5" s="11" t="s">
        <v>111</v>
      </c>
      <c r="C5" s="11" t="s">
        <v>1650</v>
      </c>
      <c r="D5" s="11" t="s">
        <v>1638</v>
      </c>
      <c r="E5" s="11" t="s">
        <v>235</v>
      </c>
      <c r="F5" s="11" t="s">
        <v>125</v>
      </c>
      <c r="G5" s="11" t="n">
        <v>0</v>
      </c>
      <c r="H5" s="11"/>
      <c r="I5" s="11" t="s">
        <v>1651</v>
      </c>
      <c r="J5" s="14" t="s">
        <v>1652</v>
      </c>
      <c r="K5" s="14" t="s">
        <v>1653</v>
      </c>
      <c r="L5" s="14" t="s">
        <v>1654</v>
      </c>
      <c r="M5" s="14" t="s">
        <v>1655</v>
      </c>
      <c r="N5" s="14" t="s">
        <v>1656</v>
      </c>
      <c r="O5" s="14" t="s">
        <v>1657</v>
      </c>
      <c r="P5" s="11" t="s">
        <v>1658</v>
      </c>
      <c r="Q5" s="11" t="s">
        <v>79</v>
      </c>
      <c r="R5" s="14" t="s">
        <v>1659</v>
      </c>
      <c r="S5" s="11" t="s">
        <v>1660</v>
      </c>
      <c r="T5" s="11"/>
      <c r="U5" s="11" t="s">
        <v>1661</v>
      </c>
    </row>
    <row r="6" customFormat="false" ht="42" hidden="false" customHeight="true" outlineLevel="0" collapsed="false">
      <c r="A6" s="11" t="n">
        <v>5</v>
      </c>
      <c r="B6" s="11" t="s">
        <v>131</v>
      </c>
      <c r="C6" s="11" t="s">
        <v>1662</v>
      </c>
      <c r="D6" s="11" t="s">
        <v>1638</v>
      </c>
      <c r="E6" s="11" t="s">
        <v>235</v>
      </c>
      <c r="F6" s="11" t="s">
        <v>125</v>
      </c>
      <c r="G6" s="11" t="n">
        <v>0</v>
      </c>
      <c r="H6" s="11"/>
      <c r="I6" s="11" t="s">
        <v>1663</v>
      </c>
      <c r="J6" s="14" t="s">
        <v>1664</v>
      </c>
      <c r="K6" s="14" t="s">
        <v>1665</v>
      </c>
      <c r="L6" s="14" t="s">
        <v>1666</v>
      </c>
      <c r="M6" s="14" t="s">
        <v>1667</v>
      </c>
      <c r="N6" s="14" t="s">
        <v>1668</v>
      </c>
      <c r="O6" s="14" t="s">
        <v>1669</v>
      </c>
      <c r="P6" s="11" t="s">
        <v>1670</v>
      </c>
      <c r="Q6" s="11" t="s">
        <v>79</v>
      </c>
      <c r="R6" s="14" t="s">
        <v>1671</v>
      </c>
      <c r="S6" s="11" t="s">
        <v>1672</v>
      </c>
      <c r="T6" s="11"/>
      <c r="U6" s="11" t="s">
        <v>1673</v>
      </c>
    </row>
    <row r="7" customFormat="false" ht="42" hidden="false" customHeight="true" outlineLevel="0" collapsed="false">
      <c r="A7" s="11" t="n">
        <v>6</v>
      </c>
      <c r="B7" s="11" t="s">
        <v>131</v>
      </c>
      <c r="C7" s="11" t="s">
        <v>1662</v>
      </c>
      <c r="D7" s="11" t="s">
        <v>1638</v>
      </c>
      <c r="E7" s="11" t="s">
        <v>235</v>
      </c>
      <c r="F7" s="11" t="s">
        <v>125</v>
      </c>
      <c r="G7" s="11" t="n">
        <v>0</v>
      </c>
      <c r="H7" s="11"/>
      <c r="I7" s="11" t="s">
        <v>1674</v>
      </c>
      <c r="J7" s="14" t="s">
        <v>1675</v>
      </c>
      <c r="K7" s="14" t="s">
        <v>1676</v>
      </c>
      <c r="L7" s="14" t="s">
        <v>1677</v>
      </c>
      <c r="M7" s="14" t="s">
        <v>1678</v>
      </c>
      <c r="N7" s="14" t="s">
        <v>1679</v>
      </c>
      <c r="O7" s="14" t="s">
        <v>1669</v>
      </c>
      <c r="P7" s="11" t="s">
        <v>1680</v>
      </c>
      <c r="Q7" s="11" t="s">
        <v>79</v>
      </c>
      <c r="R7" s="14" t="s">
        <v>1681</v>
      </c>
      <c r="S7" s="11" t="s">
        <v>1682</v>
      </c>
      <c r="T7" s="11"/>
      <c r="U7" s="11" t="s">
        <v>1673</v>
      </c>
    </row>
    <row r="8" customFormat="false" ht="42" hidden="false" customHeight="true" outlineLevel="0" collapsed="false">
      <c r="A8" s="11" t="n">
        <v>7</v>
      </c>
      <c r="B8" s="11" t="s">
        <v>131</v>
      </c>
      <c r="C8" s="11" t="s">
        <v>1662</v>
      </c>
      <c r="D8" s="11" t="s">
        <v>1638</v>
      </c>
      <c r="E8" s="11" t="s">
        <v>235</v>
      </c>
      <c r="F8" s="11" t="s">
        <v>125</v>
      </c>
      <c r="G8" s="11" t="n">
        <v>0</v>
      </c>
      <c r="H8" s="11"/>
      <c r="I8" s="11" t="s">
        <v>1663</v>
      </c>
      <c r="J8" s="14" t="s">
        <v>1683</v>
      </c>
      <c r="K8" s="14" t="s">
        <v>1684</v>
      </c>
      <c r="L8" s="14" t="s">
        <v>1685</v>
      </c>
      <c r="M8" s="14" t="s">
        <v>1686</v>
      </c>
      <c r="N8" s="14" t="s">
        <v>1687</v>
      </c>
      <c r="O8" s="14" t="s">
        <v>1669</v>
      </c>
      <c r="P8" s="11" t="s">
        <v>1688</v>
      </c>
      <c r="Q8" s="11" t="s">
        <v>79</v>
      </c>
      <c r="R8" s="14" t="s">
        <v>1689</v>
      </c>
      <c r="S8" s="11" t="s">
        <v>1690</v>
      </c>
      <c r="T8" s="11"/>
      <c r="U8" s="11" t="s">
        <v>1673</v>
      </c>
    </row>
    <row r="9" customFormat="false" ht="42" hidden="false" customHeight="true" outlineLevel="0" collapsed="false">
      <c r="A9" s="11" t="n">
        <v>8</v>
      </c>
      <c r="B9" s="11" t="s">
        <v>131</v>
      </c>
      <c r="C9" s="11" t="s">
        <v>1662</v>
      </c>
      <c r="D9" s="11" t="s">
        <v>1638</v>
      </c>
      <c r="E9" s="11" t="s">
        <v>235</v>
      </c>
      <c r="F9" s="11" t="s">
        <v>125</v>
      </c>
      <c r="G9" s="11" t="n">
        <v>0</v>
      </c>
      <c r="H9" s="11"/>
      <c r="I9" s="11" t="s">
        <v>1663</v>
      </c>
      <c r="J9" s="14" t="s">
        <v>1691</v>
      </c>
      <c r="K9" s="14" t="s">
        <v>1692</v>
      </c>
      <c r="L9" s="14" t="s">
        <v>1693</v>
      </c>
      <c r="M9" s="14" t="s">
        <v>1694</v>
      </c>
      <c r="N9" s="14" t="s">
        <v>1695</v>
      </c>
      <c r="O9" s="14" t="s">
        <v>1669</v>
      </c>
      <c r="P9" s="11" t="s">
        <v>1696</v>
      </c>
      <c r="Q9" s="11" t="s">
        <v>79</v>
      </c>
      <c r="R9" s="14" t="s">
        <v>1681</v>
      </c>
      <c r="S9" s="11" t="s">
        <v>1697</v>
      </c>
      <c r="T9" s="11"/>
      <c r="U9" s="11" t="s">
        <v>1673</v>
      </c>
    </row>
    <row r="10" customFormat="false" ht="42" hidden="false" customHeight="true" outlineLevel="0" collapsed="false">
      <c r="A10" s="11" t="n">
        <v>9</v>
      </c>
      <c r="B10" s="11" t="s">
        <v>131</v>
      </c>
      <c r="C10" s="11" t="s">
        <v>132</v>
      </c>
      <c r="D10" s="11" t="s">
        <v>1638</v>
      </c>
      <c r="E10" s="11" t="s">
        <v>126</v>
      </c>
      <c r="F10" s="11" t="s">
        <v>125</v>
      </c>
      <c r="G10" s="11" t="n">
        <v>1</v>
      </c>
      <c r="H10" s="11" t="s">
        <v>133</v>
      </c>
      <c r="I10" s="11"/>
      <c r="J10" s="14"/>
      <c r="K10" s="14"/>
      <c r="L10" s="14"/>
      <c r="M10" s="14" t="s">
        <v>1698</v>
      </c>
      <c r="N10" s="14" t="s">
        <v>1699</v>
      </c>
      <c r="O10" s="14" t="s">
        <v>137</v>
      </c>
      <c r="P10" s="11"/>
      <c r="Q10" s="11" t="s">
        <v>79</v>
      </c>
      <c r="R10" s="14"/>
      <c r="S10" s="11" t="s">
        <v>138</v>
      </c>
      <c r="T10" s="11"/>
      <c r="U10" s="11" t="s">
        <v>139</v>
      </c>
    </row>
    <row r="11" customFormat="false" ht="42" hidden="false" customHeight="true" outlineLevel="0" collapsed="false">
      <c r="A11" s="11" t="n">
        <v>10</v>
      </c>
      <c r="B11" s="11" t="s">
        <v>131</v>
      </c>
      <c r="C11" s="11" t="s">
        <v>140</v>
      </c>
      <c r="D11" s="11" t="s">
        <v>1638</v>
      </c>
      <c r="E11" s="11" t="s">
        <v>126</v>
      </c>
      <c r="F11" s="11" t="s">
        <v>125</v>
      </c>
      <c r="G11" s="11" t="n">
        <v>1</v>
      </c>
      <c r="H11" s="11" t="s">
        <v>133</v>
      </c>
      <c r="I11" s="11"/>
      <c r="J11" s="14"/>
      <c r="K11" s="14"/>
      <c r="L11" s="14"/>
      <c r="M11" s="14" t="s">
        <v>1700</v>
      </c>
      <c r="N11" s="14" t="s">
        <v>1699</v>
      </c>
      <c r="O11" s="14" t="s">
        <v>142</v>
      </c>
      <c r="P11" s="11"/>
      <c r="Q11" s="11" t="s">
        <v>79</v>
      </c>
      <c r="R11" s="14" t="s">
        <v>1701</v>
      </c>
      <c r="S11" s="11" t="s">
        <v>143</v>
      </c>
      <c r="T11" s="11" t="s">
        <v>138</v>
      </c>
      <c r="U11" s="11" t="s">
        <v>144</v>
      </c>
    </row>
    <row r="12" customFormat="false" ht="42" hidden="false" customHeight="true" outlineLevel="0" collapsed="false">
      <c r="A12" s="11" t="n">
        <v>11</v>
      </c>
      <c r="B12" s="11" t="s">
        <v>131</v>
      </c>
      <c r="C12" s="11" t="s">
        <v>140</v>
      </c>
      <c r="D12" s="11" t="s">
        <v>1638</v>
      </c>
      <c r="E12" s="11" t="s">
        <v>126</v>
      </c>
      <c r="F12" s="11" t="s">
        <v>125</v>
      </c>
      <c r="G12" s="11" t="n">
        <v>1</v>
      </c>
      <c r="H12" s="11" t="s">
        <v>145</v>
      </c>
      <c r="I12" s="11"/>
      <c r="J12" s="14"/>
      <c r="K12" s="14"/>
      <c r="L12" s="14"/>
      <c r="M12" s="14" t="s">
        <v>1702</v>
      </c>
      <c r="N12" s="14" t="s">
        <v>1703</v>
      </c>
      <c r="O12" s="14" t="s">
        <v>142</v>
      </c>
      <c r="P12" s="11"/>
      <c r="Q12" s="11" t="s">
        <v>79</v>
      </c>
      <c r="R12" s="14"/>
      <c r="S12" s="11" t="s">
        <v>148</v>
      </c>
      <c r="T12" s="11"/>
      <c r="U12" s="11" t="s">
        <v>144</v>
      </c>
    </row>
    <row r="13" customFormat="false" ht="42" hidden="false" customHeight="true" outlineLevel="0" collapsed="false">
      <c r="A13" s="11" t="n">
        <v>12</v>
      </c>
      <c r="B13" s="11" t="s">
        <v>131</v>
      </c>
      <c r="C13" s="11" t="s">
        <v>140</v>
      </c>
      <c r="D13" s="11" t="s">
        <v>1638</v>
      </c>
      <c r="E13" s="11" t="s">
        <v>126</v>
      </c>
      <c r="F13" s="11" t="s">
        <v>125</v>
      </c>
      <c r="G13" s="11" t="n">
        <v>1</v>
      </c>
      <c r="H13" s="11" t="s">
        <v>149</v>
      </c>
      <c r="I13" s="11"/>
      <c r="J13" s="14"/>
      <c r="K13" s="14"/>
      <c r="L13" s="14"/>
      <c r="M13" s="14" t="s">
        <v>1704</v>
      </c>
      <c r="N13" s="14" t="s">
        <v>1705</v>
      </c>
      <c r="O13" s="14" t="s">
        <v>142</v>
      </c>
      <c r="P13" s="11"/>
      <c r="Q13" s="11" t="s">
        <v>79</v>
      </c>
      <c r="R13" s="14"/>
      <c r="S13" s="11" t="s">
        <v>151</v>
      </c>
      <c r="T13" s="11"/>
      <c r="U13" s="11" t="s">
        <v>144</v>
      </c>
    </row>
    <row r="14" customFormat="false" ht="42" hidden="false" customHeight="true" outlineLevel="0" collapsed="false">
      <c r="A14" s="11" t="n">
        <v>13</v>
      </c>
      <c r="B14" s="11" t="s">
        <v>131</v>
      </c>
      <c r="C14" s="11" t="s">
        <v>140</v>
      </c>
      <c r="D14" s="11" t="s">
        <v>1638</v>
      </c>
      <c r="E14" s="11" t="s">
        <v>126</v>
      </c>
      <c r="F14" s="11" t="s">
        <v>125</v>
      </c>
      <c r="G14" s="11" t="n">
        <v>1</v>
      </c>
      <c r="H14" s="11" t="s">
        <v>152</v>
      </c>
      <c r="I14" s="11"/>
      <c r="J14" s="14"/>
      <c r="K14" s="14"/>
      <c r="L14" s="14"/>
      <c r="M14" s="14" t="s">
        <v>1706</v>
      </c>
      <c r="N14" s="14" t="s">
        <v>1707</v>
      </c>
      <c r="O14" s="14" t="s">
        <v>142</v>
      </c>
      <c r="P14" s="11"/>
      <c r="Q14" s="11" t="s">
        <v>79</v>
      </c>
      <c r="R14" s="14"/>
      <c r="S14" s="11" t="s">
        <v>153</v>
      </c>
      <c r="T14" s="11"/>
      <c r="U14" s="11" t="s">
        <v>144</v>
      </c>
    </row>
    <row r="15" customFormat="false" ht="42" hidden="false" customHeight="true" outlineLevel="0" collapsed="false">
      <c r="A15" s="11" t="n">
        <v>14</v>
      </c>
      <c r="B15" s="11" t="s">
        <v>131</v>
      </c>
      <c r="C15" s="11" t="s">
        <v>140</v>
      </c>
      <c r="D15" s="11" t="s">
        <v>1638</v>
      </c>
      <c r="E15" s="11" t="s">
        <v>126</v>
      </c>
      <c r="F15" s="11" t="s">
        <v>125</v>
      </c>
      <c r="G15" s="11" t="n">
        <v>1</v>
      </c>
      <c r="H15" s="11" t="s">
        <v>86</v>
      </c>
      <c r="I15" s="11"/>
      <c r="J15" s="14"/>
      <c r="K15" s="14"/>
      <c r="L15" s="14"/>
      <c r="M15" s="14" t="s">
        <v>1708</v>
      </c>
      <c r="N15" s="14" t="s">
        <v>1709</v>
      </c>
      <c r="O15" s="14" t="s">
        <v>142</v>
      </c>
      <c r="P15" s="11"/>
      <c r="Q15" s="11" t="s">
        <v>79</v>
      </c>
      <c r="R15" s="14"/>
      <c r="S15" s="11" t="s">
        <v>155</v>
      </c>
      <c r="T15" s="11"/>
      <c r="U15" s="11" t="s">
        <v>144</v>
      </c>
    </row>
    <row r="16" customFormat="false" ht="42" hidden="false" customHeight="true" outlineLevel="0" collapsed="false">
      <c r="A16" s="11" t="n">
        <v>15</v>
      </c>
      <c r="B16" s="11" t="s">
        <v>131</v>
      </c>
      <c r="C16" s="11" t="s">
        <v>140</v>
      </c>
      <c r="D16" s="11" t="s">
        <v>1638</v>
      </c>
      <c r="E16" s="11" t="s">
        <v>126</v>
      </c>
      <c r="F16" s="11" t="s">
        <v>125</v>
      </c>
      <c r="G16" s="11" t="n">
        <v>1</v>
      </c>
      <c r="H16" s="11" t="s">
        <v>123</v>
      </c>
      <c r="I16" s="11"/>
      <c r="J16" s="14"/>
      <c r="K16" s="14"/>
      <c r="L16" s="14"/>
      <c r="M16" s="14" t="s">
        <v>1710</v>
      </c>
      <c r="N16" s="14" t="s">
        <v>1711</v>
      </c>
      <c r="O16" s="14" t="s">
        <v>142</v>
      </c>
      <c r="P16" s="11"/>
      <c r="Q16" s="11" t="s">
        <v>79</v>
      </c>
      <c r="R16" s="14"/>
      <c r="S16" s="11" t="s">
        <v>158</v>
      </c>
      <c r="T16" s="11"/>
      <c r="U16" s="11" t="s">
        <v>144</v>
      </c>
    </row>
    <row r="17" customFormat="false" ht="42" hidden="false" customHeight="true" outlineLevel="0" collapsed="false">
      <c r="A17" s="11" t="n">
        <v>16</v>
      </c>
      <c r="B17" s="11" t="s">
        <v>131</v>
      </c>
      <c r="C17" s="11" t="s">
        <v>159</v>
      </c>
      <c r="D17" s="11" t="s">
        <v>1638</v>
      </c>
      <c r="E17" s="11" t="s">
        <v>126</v>
      </c>
      <c r="F17" s="11" t="s">
        <v>125</v>
      </c>
      <c r="G17" s="11" t="n">
        <v>1</v>
      </c>
      <c r="H17" s="11" t="s">
        <v>160</v>
      </c>
      <c r="I17" s="11"/>
      <c r="J17" s="14"/>
      <c r="K17" s="14"/>
      <c r="L17" s="14"/>
      <c r="M17" s="14" t="s">
        <v>1712</v>
      </c>
      <c r="N17" s="14" t="s">
        <v>1713</v>
      </c>
      <c r="O17" s="14" t="s">
        <v>163</v>
      </c>
      <c r="P17" s="11"/>
      <c r="Q17" s="11" t="s">
        <v>79</v>
      </c>
      <c r="R17" s="14"/>
      <c r="S17" s="11" t="s">
        <v>164</v>
      </c>
      <c r="T17" s="11"/>
      <c r="U17" s="11" t="s">
        <v>165</v>
      </c>
    </row>
    <row r="18" customFormat="false" ht="42" hidden="false" customHeight="true" outlineLevel="0" collapsed="false">
      <c r="A18" s="11" t="n">
        <v>17</v>
      </c>
      <c r="B18" s="11" t="s">
        <v>131</v>
      </c>
      <c r="C18" s="11" t="s">
        <v>166</v>
      </c>
      <c r="D18" s="11" t="s">
        <v>1638</v>
      </c>
      <c r="E18" s="11" t="s">
        <v>126</v>
      </c>
      <c r="F18" s="11" t="s">
        <v>125</v>
      </c>
      <c r="G18" s="11" t="n">
        <v>1</v>
      </c>
      <c r="H18" s="11" t="s">
        <v>86</v>
      </c>
      <c r="I18" s="11"/>
      <c r="J18" s="14"/>
      <c r="K18" s="14"/>
      <c r="L18" s="14"/>
      <c r="M18" s="14" t="s">
        <v>1714</v>
      </c>
      <c r="N18" s="14" t="s">
        <v>1715</v>
      </c>
      <c r="O18" s="14" t="s">
        <v>168</v>
      </c>
      <c r="P18" s="11"/>
      <c r="Q18" s="11" t="s">
        <v>79</v>
      </c>
      <c r="R18" s="14"/>
      <c r="S18" s="11" t="s">
        <v>169</v>
      </c>
      <c r="T18" s="11"/>
      <c r="U18" s="11" t="s">
        <v>170</v>
      </c>
    </row>
    <row r="19" customFormat="false" ht="42" hidden="false" customHeight="true" outlineLevel="0" collapsed="false">
      <c r="A19" s="11" t="n">
        <v>18</v>
      </c>
      <c r="B19" s="11" t="s">
        <v>171</v>
      </c>
      <c r="C19" s="11" t="s">
        <v>172</v>
      </c>
      <c r="D19" s="11" t="s">
        <v>1638</v>
      </c>
      <c r="E19" s="11" t="s">
        <v>126</v>
      </c>
      <c r="F19" s="11" t="s">
        <v>125</v>
      </c>
      <c r="G19" s="11" t="n">
        <v>1</v>
      </c>
      <c r="H19" s="11" t="s">
        <v>90</v>
      </c>
      <c r="I19" s="11"/>
      <c r="J19" s="14"/>
      <c r="K19" s="14"/>
      <c r="L19" s="14"/>
      <c r="M19" s="14" t="s">
        <v>1716</v>
      </c>
      <c r="N19" s="14" t="s">
        <v>1717</v>
      </c>
      <c r="O19" s="14" t="s">
        <v>174</v>
      </c>
      <c r="P19" s="11"/>
      <c r="Q19" s="11" t="s">
        <v>79</v>
      </c>
      <c r="R19" s="14"/>
      <c r="S19" s="11" t="s">
        <v>175</v>
      </c>
      <c r="T19" s="11"/>
      <c r="U19" s="11" t="s">
        <v>176</v>
      </c>
    </row>
    <row r="20" customFormat="false" ht="42" hidden="false" customHeight="true" outlineLevel="0" collapsed="false">
      <c r="A20" s="11" t="n">
        <v>19</v>
      </c>
      <c r="B20" s="11" t="s">
        <v>171</v>
      </c>
      <c r="C20" s="11" t="s">
        <v>177</v>
      </c>
      <c r="D20" s="11" t="s">
        <v>1638</v>
      </c>
      <c r="E20" s="11" t="s">
        <v>126</v>
      </c>
      <c r="F20" s="11" t="s">
        <v>125</v>
      </c>
      <c r="G20" s="11" t="n">
        <v>1</v>
      </c>
      <c r="H20" s="11" t="s">
        <v>145</v>
      </c>
      <c r="I20" s="11"/>
      <c r="J20" s="14"/>
      <c r="K20" s="14"/>
      <c r="L20" s="14"/>
      <c r="M20" s="14" t="s">
        <v>1718</v>
      </c>
      <c r="N20" s="14" t="s">
        <v>1719</v>
      </c>
      <c r="O20" s="14" t="s">
        <v>179</v>
      </c>
      <c r="P20" s="11"/>
      <c r="Q20" s="11" t="s">
        <v>79</v>
      </c>
      <c r="R20" s="14"/>
      <c r="S20" s="11" t="s">
        <v>180</v>
      </c>
      <c r="T20" s="11"/>
      <c r="U20" s="11" t="s">
        <v>181</v>
      </c>
    </row>
    <row r="21" customFormat="false" ht="42" hidden="false" customHeight="true" outlineLevel="0" collapsed="false">
      <c r="A21" s="11" t="n">
        <v>20</v>
      </c>
      <c r="B21" s="11" t="s">
        <v>171</v>
      </c>
      <c r="C21" s="11" t="s">
        <v>182</v>
      </c>
      <c r="D21" s="11" t="s">
        <v>1638</v>
      </c>
      <c r="E21" s="11" t="s">
        <v>126</v>
      </c>
      <c r="F21" s="11" t="s">
        <v>125</v>
      </c>
      <c r="G21" s="11" t="n">
        <v>1</v>
      </c>
      <c r="H21" s="11" t="s">
        <v>152</v>
      </c>
      <c r="I21" s="11"/>
      <c r="J21" s="14"/>
      <c r="K21" s="14"/>
      <c r="L21" s="14"/>
      <c r="M21" s="14" t="s">
        <v>1720</v>
      </c>
      <c r="N21" s="14" t="s">
        <v>1721</v>
      </c>
      <c r="O21" s="14" t="s">
        <v>184</v>
      </c>
      <c r="P21" s="11"/>
      <c r="Q21" s="11" t="s">
        <v>79</v>
      </c>
      <c r="R21" s="14"/>
      <c r="S21" s="11" t="s">
        <v>185</v>
      </c>
      <c r="T21" s="11"/>
      <c r="U21" s="11" t="s">
        <v>186</v>
      </c>
    </row>
    <row r="22" customFormat="false" ht="42" hidden="false" customHeight="true" outlineLevel="0" collapsed="false">
      <c r="A22" s="11" t="n">
        <v>21</v>
      </c>
      <c r="B22" s="11" t="s">
        <v>171</v>
      </c>
      <c r="C22" s="11" t="s">
        <v>187</v>
      </c>
      <c r="D22" s="11" t="s">
        <v>1638</v>
      </c>
      <c r="E22" s="11" t="s">
        <v>126</v>
      </c>
      <c r="F22" s="11" t="s">
        <v>125</v>
      </c>
      <c r="G22" s="11" t="n">
        <v>1</v>
      </c>
      <c r="H22" s="11" t="s">
        <v>149</v>
      </c>
      <c r="I22" s="11"/>
      <c r="J22" s="14"/>
      <c r="K22" s="14"/>
      <c r="L22" s="14"/>
      <c r="M22" s="14" t="s">
        <v>1722</v>
      </c>
      <c r="N22" s="14" t="s">
        <v>1723</v>
      </c>
      <c r="O22" s="14" t="s">
        <v>189</v>
      </c>
      <c r="P22" s="11"/>
      <c r="Q22" s="11" t="s">
        <v>79</v>
      </c>
      <c r="R22" s="14"/>
      <c r="S22" s="11" t="s">
        <v>190</v>
      </c>
      <c r="T22" s="11"/>
      <c r="U22" s="11" t="s">
        <v>191</v>
      </c>
    </row>
    <row r="23" customFormat="false" ht="42" hidden="false" customHeight="true" outlineLevel="0" collapsed="false">
      <c r="A23" s="11" t="n">
        <v>22</v>
      </c>
      <c r="B23" s="11" t="s">
        <v>192</v>
      </c>
      <c r="C23" s="11" t="s">
        <v>193</v>
      </c>
      <c r="D23" s="11" t="s">
        <v>1638</v>
      </c>
      <c r="E23" s="11" t="s">
        <v>126</v>
      </c>
      <c r="F23" s="11" t="s">
        <v>125</v>
      </c>
      <c r="G23" s="11" t="n">
        <v>1</v>
      </c>
      <c r="H23" s="11" t="s">
        <v>86</v>
      </c>
      <c r="I23" s="11"/>
      <c r="J23" s="14"/>
      <c r="K23" s="14"/>
      <c r="L23" s="14"/>
      <c r="M23" s="14" t="s">
        <v>1724</v>
      </c>
      <c r="N23" s="14" t="s">
        <v>1725</v>
      </c>
      <c r="O23" s="14" t="s">
        <v>196</v>
      </c>
      <c r="P23" s="11"/>
      <c r="Q23" s="11" t="s">
        <v>79</v>
      </c>
      <c r="R23" s="14"/>
      <c r="S23" s="11" t="s">
        <v>197</v>
      </c>
      <c r="T23" s="11"/>
      <c r="U23" s="11" t="s">
        <v>198</v>
      </c>
    </row>
    <row r="24" customFormat="false" ht="42" hidden="false" customHeight="true" outlineLevel="0" collapsed="false">
      <c r="A24" s="11" t="n">
        <v>23</v>
      </c>
      <c r="B24" s="11" t="s">
        <v>192</v>
      </c>
      <c r="C24" s="11" t="s">
        <v>199</v>
      </c>
      <c r="D24" s="11" t="s">
        <v>1638</v>
      </c>
      <c r="E24" s="11" t="s">
        <v>126</v>
      </c>
      <c r="F24" s="11" t="s">
        <v>125</v>
      </c>
      <c r="G24" s="11" t="n">
        <v>1</v>
      </c>
      <c r="H24" s="11" t="s">
        <v>152</v>
      </c>
      <c r="I24" s="11"/>
      <c r="J24" s="14"/>
      <c r="K24" s="14"/>
      <c r="L24" s="14"/>
      <c r="M24" s="14" t="s">
        <v>1726</v>
      </c>
      <c r="N24" s="14" t="s">
        <v>1727</v>
      </c>
      <c r="O24" s="14" t="s">
        <v>201</v>
      </c>
      <c r="P24" s="11"/>
      <c r="Q24" s="11" t="s">
        <v>79</v>
      </c>
      <c r="R24" s="14"/>
      <c r="S24" s="11" t="s">
        <v>202</v>
      </c>
      <c r="T24" s="11"/>
      <c r="U24" s="11" t="s">
        <v>203</v>
      </c>
    </row>
    <row r="25" customFormat="false" ht="42" hidden="false" customHeight="true" outlineLevel="0" collapsed="false">
      <c r="A25" s="11" t="n">
        <v>24</v>
      </c>
      <c r="B25" s="11" t="s">
        <v>192</v>
      </c>
      <c r="C25" s="11" t="s">
        <v>204</v>
      </c>
      <c r="D25" s="11" t="s">
        <v>1638</v>
      </c>
      <c r="E25" s="11" t="s">
        <v>126</v>
      </c>
      <c r="F25" s="11" t="s">
        <v>205</v>
      </c>
      <c r="G25" s="11" t="n">
        <v>1</v>
      </c>
      <c r="H25" s="11" t="s">
        <v>86</v>
      </c>
      <c r="I25" s="11"/>
      <c r="J25" s="14"/>
      <c r="K25" s="14"/>
      <c r="L25" s="14"/>
      <c r="M25" s="14" t="s">
        <v>1728</v>
      </c>
      <c r="N25" s="14" t="s">
        <v>1729</v>
      </c>
      <c r="O25" s="14" t="s">
        <v>207</v>
      </c>
      <c r="P25" s="11"/>
      <c r="Q25" s="11" t="s">
        <v>120</v>
      </c>
      <c r="R25" s="14" t="s">
        <v>1730</v>
      </c>
      <c r="S25" s="11" t="s">
        <v>208</v>
      </c>
      <c r="T25" s="11"/>
      <c r="U25" s="11" t="s">
        <v>209</v>
      </c>
    </row>
    <row r="26" customFormat="false" ht="42" hidden="false" customHeight="true" outlineLevel="0" collapsed="false">
      <c r="A26" s="11" t="n">
        <v>25</v>
      </c>
      <c r="B26" s="11" t="s">
        <v>192</v>
      </c>
      <c r="C26" s="11" t="s">
        <v>210</v>
      </c>
      <c r="D26" s="11" t="s">
        <v>1638</v>
      </c>
      <c r="E26" s="11" t="s">
        <v>126</v>
      </c>
      <c r="F26" s="11" t="s">
        <v>125</v>
      </c>
      <c r="G26" s="11" t="n">
        <v>1</v>
      </c>
      <c r="H26" s="11" t="s">
        <v>152</v>
      </c>
      <c r="I26" s="11"/>
      <c r="J26" s="14"/>
      <c r="K26" s="14"/>
      <c r="L26" s="14"/>
      <c r="M26" s="14" t="s">
        <v>1731</v>
      </c>
      <c r="N26" s="14" t="s">
        <v>1732</v>
      </c>
      <c r="O26" s="14" t="s">
        <v>212</v>
      </c>
      <c r="P26" s="11"/>
      <c r="Q26" s="11" t="s">
        <v>79</v>
      </c>
      <c r="R26" s="14"/>
      <c r="S26" s="11" t="s">
        <v>213</v>
      </c>
      <c r="T26" s="11"/>
      <c r="U26" s="11" t="s">
        <v>214</v>
      </c>
    </row>
    <row r="27" customFormat="false" ht="42" hidden="false" customHeight="true" outlineLevel="0" collapsed="false">
      <c r="A27" s="11" t="n">
        <v>26</v>
      </c>
      <c r="B27" s="11" t="s">
        <v>192</v>
      </c>
      <c r="C27" s="11" t="s">
        <v>215</v>
      </c>
      <c r="D27" s="11" t="s">
        <v>1638</v>
      </c>
      <c r="E27" s="11" t="s">
        <v>126</v>
      </c>
      <c r="F27" s="11" t="s">
        <v>125</v>
      </c>
      <c r="G27" s="11" t="n">
        <v>1</v>
      </c>
      <c r="H27" s="11" t="s">
        <v>86</v>
      </c>
      <c r="I27" s="11"/>
      <c r="J27" s="14"/>
      <c r="K27" s="14"/>
      <c r="L27" s="14"/>
      <c r="M27" s="14" t="s">
        <v>1733</v>
      </c>
      <c r="N27" s="14" t="s">
        <v>1734</v>
      </c>
      <c r="O27" s="14"/>
      <c r="P27" s="11"/>
      <c r="Q27" s="11" t="s">
        <v>79</v>
      </c>
      <c r="R27" s="14"/>
      <c r="S27" s="11" t="s">
        <v>217</v>
      </c>
      <c r="T27" s="11"/>
      <c r="U27" s="11" t="s">
        <v>218</v>
      </c>
    </row>
    <row r="28" customFormat="false" ht="42" hidden="false" customHeight="true" outlineLevel="0" collapsed="false">
      <c r="A28" s="11" t="n">
        <v>27</v>
      </c>
      <c r="B28" s="11" t="s">
        <v>219</v>
      </c>
      <c r="C28" s="11" t="s">
        <v>220</v>
      </c>
      <c r="D28" s="11" t="s">
        <v>1638</v>
      </c>
      <c r="E28" s="11" t="s">
        <v>126</v>
      </c>
      <c r="F28" s="11" t="s">
        <v>125</v>
      </c>
      <c r="G28" s="11" t="n">
        <v>1</v>
      </c>
      <c r="H28" s="11" t="s">
        <v>221</v>
      </c>
      <c r="I28" s="11"/>
      <c r="J28" s="14"/>
      <c r="K28" s="14"/>
      <c r="L28" s="14"/>
      <c r="M28" s="14" t="s">
        <v>1735</v>
      </c>
      <c r="N28" s="14" t="s">
        <v>1736</v>
      </c>
      <c r="O28" s="14" t="s">
        <v>223</v>
      </c>
      <c r="P28" s="11"/>
      <c r="Q28" s="11" t="s">
        <v>79</v>
      </c>
      <c r="R28" s="14"/>
      <c r="S28" s="11" t="s">
        <v>224</v>
      </c>
      <c r="T28" s="11"/>
      <c r="U28" s="11" t="s">
        <v>225</v>
      </c>
    </row>
    <row r="29" customFormat="false" ht="42" hidden="false" customHeight="true" outlineLevel="0" collapsed="false">
      <c r="A29" s="11" t="n">
        <v>28</v>
      </c>
      <c r="B29" s="11" t="s">
        <v>219</v>
      </c>
      <c r="C29" s="11" t="s">
        <v>226</v>
      </c>
      <c r="D29" s="11" t="s">
        <v>1638</v>
      </c>
      <c r="E29" s="11" t="s">
        <v>126</v>
      </c>
      <c r="F29" s="11" t="s">
        <v>125</v>
      </c>
      <c r="G29" s="11" t="n">
        <v>1</v>
      </c>
      <c r="H29" s="11" t="s">
        <v>221</v>
      </c>
      <c r="I29" s="11"/>
      <c r="J29" s="14"/>
      <c r="K29" s="14"/>
      <c r="L29" s="14"/>
      <c r="M29" s="14" t="s">
        <v>1737</v>
      </c>
      <c r="N29" s="14" t="s">
        <v>1738</v>
      </c>
      <c r="O29" s="14" t="s">
        <v>228</v>
      </c>
      <c r="P29" s="11"/>
      <c r="Q29" s="11" t="s">
        <v>79</v>
      </c>
      <c r="R29" s="14"/>
      <c r="S29" s="11" t="s">
        <v>229</v>
      </c>
      <c r="T29" s="11"/>
      <c r="U29" s="11" t="s">
        <v>230</v>
      </c>
    </row>
    <row r="30" customFormat="false" ht="42" hidden="false" customHeight="true" outlineLevel="0" collapsed="false">
      <c r="A30" s="11" t="n">
        <v>29</v>
      </c>
      <c r="B30" s="11" t="s">
        <v>219</v>
      </c>
      <c r="C30" s="11" t="s">
        <v>1739</v>
      </c>
      <c r="D30" s="11" t="s">
        <v>1638</v>
      </c>
      <c r="E30" s="11" t="s">
        <v>235</v>
      </c>
      <c r="F30" s="11" t="s">
        <v>125</v>
      </c>
      <c r="G30" s="11" t="n">
        <v>0</v>
      </c>
      <c r="H30" s="11"/>
      <c r="I30" s="11" t="s">
        <v>1740</v>
      </c>
      <c r="J30" s="14" t="s">
        <v>1741</v>
      </c>
      <c r="K30" s="14" t="s">
        <v>1742</v>
      </c>
      <c r="L30" s="14" t="s">
        <v>1743</v>
      </c>
      <c r="M30" s="14" t="s">
        <v>1744</v>
      </c>
      <c r="N30" s="14" t="s">
        <v>1745</v>
      </c>
      <c r="O30" s="14" t="s">
        <v>1746</v>
      </c>
      <c r="P30" s="11" t="s">
        <v>1747</v>
      </c>
      <c r="Q30" s="11" t="s">
        <v>79</v>
      </c>
      <c r="R30" s="14" t="s">
        <v>1748</v>
      </c>
      <c r="S30" s="11" t="s">
        <v>1749</v>
      </c>
      <c r="T30" s="11"/>
      <c r="U30" s="11" t="s">
        <v>1750</v>
      </c>
    </row>
    <row r="31" customFormat="false" ht="42" hidden="false" customHeight="true" outlineLevel="0" collapsed="false">
      <c r="A31" s="11" t="n">
        <v>30</v>
      </c>
      <c r="B31" s="11" t="s">
        <v>219</v>
      </c>
      <c r="C31" s="11" t="s">
        <v>231</v>
      </c>
      <c r="D31" s="11" t="s">
        <v>1638</v>
      </c>
      <c r="E31" s="11" t="s">
        <v>235</v>
      </c>
      <c r="F31" s="11" t="s">
        <v>234</v>
      </c>
      <c r="G31" s="11" t="n">
        <v>1</v>
      </c>
      <c r="H31" s="11" t="s">
        <v>221</v>
      </c>
      <c r="I31" s="11" t="s">
        <v>1740</v>
      </c>
      <c r="J31" s="14" t="s">
        <v>1751</v>
      </c>
      <c r="K31" s="14" t="s">
        <v>1752</v>
      </c>
      <c r="L31" s="14" t="s">
        <v>1753</v>
      </c>
      <c r="M31" s="14" t="s">
        <v>1754</v>
      </c>
      <c r="N31" s="14" t="s">
        <v>1755</v>
      </c>
      <c r="O31" s="14" t="s">
        <v>237</v>
      </c>
      <c r="P31" s="11"/>
      <c r="Q31" s="11" t="s">
        <v>79</v>
      </c>
      <c r="R31" s="14" t="s">
        <v>1756</v>
      </c>
      <c r="S31" s="11" t="s">
        <v>238</v>
      </c>
      <c r="T31" s="11"/>
      <c r="U31" s="11" t="s">
        <v>239</v>
      </c>
    </row>
    <row r="32" customFormat="false" ht="42" hidden="false" customHeight="true" outlineLevel="0" collapsed="false">
      <c r="A32" s="11" t="n">
        <v>31</v>
      </c>
      <c r="B32" s="11" t="s">
        <v>219</v>
      </c>
      <c r="C32" s="11" t="s">
        <v>231</v>
      </c>
      <c r="D32" s="11" t="s">
        <v>1638</v>
      </c>
      <c r="E32" s="11" t="s">
        <v>126</v>
      </c>
      <c r="F32" s="11" t="s">
        <v>234</v>
      </c>
      <c r="G32" s="11" t="n">
        <v>1</v>
      </c>
      <c r="H32" s="11" t="s">
        <v>221</v>
      </c>
      <c r="I32" s="11"/>
      <c r="J32" s="14"/>
      <c r="K32" s="14"/>
      <c r="L32" s="14"/>
      <c r="M32" s="14" t="s">
        <v>1757</v>
      </c>
      <c r="N32" s="14" t="s">
        <v>1758</v>
      </c>
      <c r="O32" s="14" t="s">
        <v>237</v>
      </c>
      <c r="P32" s="11"/>
      <c r="Q32" s="11" t="s">
        <v>79</v>
      </c>
      <c r="R32" s="14" t="s">
        <v>1759</v>
      </c>
      <c r="S32" s="11" t="s">
        <v>241</v>
      </c>
      <c r="T32" s="11"/>
      <c r="U32" s="11" t="s">
        <v>239</v>
      </c>
    </row>
    <row r="33" customFormat="false" ht="42" hidden="false" customHeight="true" outlineLevel="0" collapsed="false">
      <c r="A33" s="11" t="n">
        <v>32</v>
      </c>
      <c r="B33" s="11" t="s">
        <v>242</v>
      </c>
      <c r="C33" s="11" t="s">
        <v>243</v>
      </c>
      <c r="D33" s="11" t="s">
        <v>1638</v>
      </c>
      <c r="E33" s="11" t="s">
        <v>126</v>
      </c>
      <c r="F33" s="11" t="s">
        <v>234</v>
      </c>
      <c r="G33" s="11" t="n">
        <v>1</v>
      </c>
      <c r="H33" s="11" t="s">
        <v>221</v>
      </c>
      <c r="I33" s="11"/>
      <c r="J33" s="14"/>
      <c r="K33" s="14"/>
      <c r="L33" s="14"/>
      <c r="M33" s="14" t="s">
        <v>1760</v>
      </c>
      <c r="N33" s="14" t="s">
        <v>1761</v>
      </c>
      <c r="O33" s="14" t="s">
        <v>245</v>
      </c>
      <c r="P33" s="11"/>
      <c r="Q33" s="11" t="s">
        <v>120</v>
      </c>
      <c r="R33" s="14" t="s">
        <v>1762</v>
      </c>
      <c r="S33" s="11" t="s">
        <v>246</v>
      </c>
      <c r="T33" s="11"/>
      <c r="U33" s="11" t="s">
        <v>247</v>
      </c>
    </row>
    <row r="34" customFormat="false" ht="42" hidden="false" customHeight="true" outlineLevel="0" collapsed="false">
      <c r="A34" s="11" t="n">
        <v>33</v>
      </c>
      <c r="B34" s="11" t="s">
        <v>242</v>
      </c>
      <c r="C34" s="11" t="s">
        <v>248</v>
      </c>
      <c r="D34" s="11" t="s">
        <v>1638</v>
      </c>
      <c r="E34" s="11" t="s">
        <v>126</v>
      </c>
      <c r="F34" s="11" t="s">
        <v>125</v>
      </c>
      <c r="G34" s="11" t="n">
        <v>1</v>
      </c>
      <c r="H34" s="11" t="s">
        <v>107</v>
      </c>
      <c r="I34" s="11"/>
      <c r="J34" s="14"/>
      <c r="K34" s="14"/>
      <c r="L34" s="14"/>
      <c r="M34" s="14" t="s">
        <v>1763</v>
      </c>
      <c r="N34" s="14" t="s">
        <v>1764</v>
      </c>
      <c r="O34" s="14" t="s">
        <v>250</v>
      </c>
      <c r="P34" s="11"/>
      <c r="Q34" s="11" t="s">
        <v>79</v>
      </c>
      <c r="R34" s="14"/>
      <c r="S34" s="11" t="s">
        <v>251</v>
      </c>
      <c r="T34" s="11"/>
      <c r="U34" s="11" t="s">
        <v>252</v>
      </c>
    </row>
    <row r="35" customFormat="false" ht="42" hidden="false" customHeight="true" outlineLevel="0" collapsed="false">
      <c r="A35" s="11" t="n">
        <v>34</v>
      </c>
      <c r="B35" s="11" t="s">
        <v>253</v>
      </c>
      <c r="C35" s="11" t="s">
        <v>254</v>
      </c>
      <c r="D35" s="11" t="s">
        <v>1638</v>
      </c>
      <c r="E35" s="11" t="s">
        <v>126</v>
      </c>
      <c r="F35" s="11" t="s">
        <v>125</v>
      </c>
      <c r="G35" s="11" t="n">
        <v>1</v>
      </c>
      <c r="H35" s="11" t="s">
        <v>107</v>
      </c>
      <c r="I35" s="11"/>
      <c r="J35" s="14"/>
      <c r="K35" s="14"/>
      <c r="L35" s="14"/>
      <c r="M35" s="14" t="s">
        <v>1765</v>
      </c>
      <c r="N35" s="14" t="s">
        <v>1766</v>
      </c>
      <c r="O35" s="14" t="s">
        <v>256</v>
      </c>
      <c r="P35" s="11"/>
      <c r="Q35" s="11" t="s">
        <v>79</v>
      </c>
      <c r="R35" s="14"/>
      <c r="S35" s="11" t="s">
        <v>257</v>
      </c>
      <c r="T35" s="11"/>
      <c r="U35" s="11" t="s">
        <v>258</v>
      </c>
    </row>
    <row r="36" customFormat="false" ht="42" hidden="false" customHeight="true" outlineLevel="0" collapsed="false">
      <c r="A36" s="11" t="n">
        <v>35</v>
      </c>
      <c r="B36" s="11" t="s">
        <v>253</v>
      </c>
      <c r="C36" s="11" t="s">
        <v>254</v>
      </c>
      <c r="D36" s="11" t="s">
        <v>1638</v>
      </c>
      <c r="E36" s="11" t="s">
        <v>126</v>
      </c>
      <c r="F36" s="11" t="s">
        <v>125</v>
      </c>
      <c r="G36" s="11" t="n">
        <v>1</v>
      </c>
      <c r="H36" s="11" t="s">
        <v>259</v>
      </c>
      <c r="I36" s="11"/>
      <c r="J36" s="14"/>
      <c r="K36" s="14"/>
      <c r="L36" s="14"/>
      <c r="M36" s="14" t="s">
        <v>1767</v>
      </c>
      <c r="N36" s="14" t="s">
        <v>1768</v>
      </c>
      <c r="O36" s="14" t="s">
        <v>256</v>
      </c>
      <c r="P36" s="11"/>
      <c r="Q36" s="11" t="s">
        <v>79</v>
      </c>
      <c r="R36" s="14"/>
      <c r="S36" s="11" t="s">
        <v>260</v>
      </c>
      <c r="T36" s="11"/>
      <c r="U36" s="11" t="s">
        <v>258</v>
      </c>
    </row>
    <row r="37" customFormat="false" ht="42" hidden="false" customHeight="true" outlineLevel="0" collapsed="false">
      <c r="A37" s="11" t="n">
        <v>36</v>
      </c>
      <c r="B37" s="11" t="s">
        <v>253</v>
      </c>
      <c r="C37" s="11" t="s">
        <v>261</v>
      </c>
      <c r="D37" s="11" t="s">
        <v>1638</v>
      </c>
      <c r="E37" s="11" t="s">
        <v>126</v>
      </c>
      <c r="F37" s="11" t="s">
        <v>125</v>
      </c>
      <c r="G37" s="11" t="n">
        <v>1</v>
      </c>
      <c r="H37" s="11" t="s">
        <v>86</v>
      </c>
      <c r="I37" s="11"/>
      <c r="J37" s="14"/>
      <c r="K37" s="14"/>
      <c r="L37" s="14"/>
      <c r="M37" s="14" t="s">
        <v>1769</v>
      </c>
      <c r="N37" s="14" t="s">
        <v>1770</v>
      </c>
      <c r="O37" s="14" t="s">
        <v>263</v>
      </c>
      <c r="P37" s="11"/>
      <c r="Q37" s="11" t="s">
        <v>79</v>
      </c>
      <c r="R37" s="14"/>
      <c r="S37" s="11" t="s">
        <v>264</v>
      </c>
      <c r="T37" s="11"/>
      <c r="U37" s="11" t="s">
        <v>265</v>
      </c>
    </row>
    <row r="38" customFormat="false" ht="42" hidden="false" customHeight="true" outlineLevel="0" collapsed="false">
      <c r="A38" s="11" t="n">
        <v>37</v>
      </c>
      <c r="B38" s="11" t="s">
        <v>253</v>
      </c>
      <c r="C38" s="11" t="s">
        <v>261</v>
      </c>
      <c r="D38" s="11" t="s">
        <v>1638</v>
      </c>
      <c r="E38" s="11" t="s">
        <v>126</v>
      </c>
      <c r="F38" s="11" t="s">
        <v>125</v>
      </c>
      <c r="G38" s="11" t="n">
        <v>1</v>
      </c>
      <c r="H38" s="11" t="s">
        <v>266</v>
      </c>
      <c r="I38" s="11"/>
      <c r="J38" s="14"/>
      <c r="K38" s="14"/>
      <c r="L38" s="14"/>
      <c r="M38" s="14" t="s">
        <v>1771</v>
      </c>
      <c r="N38" s="14" t="s">
        <v>1772</v>
      </c>
      <c r="O38" s="14" t="s">
        <v>263</v>
      </c>
      <c r="P38" s="11"/>
      <c r="Q38" s="11" t="s">
        <v>79</v>
      </c>
      <c r="R38" s="14"/>
      <c r="S38" s="11" t="s">
        <v>267</v>
      </c>
      <c r="T38" s="11"/>
      <c r="U38" s="11" t="s">
        <v>265</v>
      </c>
    </row>
    <row r="39" customFormat="false" ht="42" hidden="false" customHeight="true" outlineLevel="0" collapsed="false">
      <c r="A39" s="11" t="n">
        <v>38</v>
      </c>
      <c r="B39" s="11" t="s">
        <v>253</v>
      </c>
      <c r="C39" s="11" t="s">
        <v>1773</v>
      </c>
      <c r="D39" s="11" t="s">
        <v>1638</v>
      </c>
      <c r="E39" s="11" t="s">
        <v>235</v>
      </c>
      <c r="F39" s="11" t="s">
        <v>125</v>
      </c>
      <c r="G39" s="11" t="n">
        <v>0</v>
      </c>
      <c r="H39" s="11"/>
      <c r="I39" s="11" t="s">
        <v>1740</v>
      </c>
      <c r="J39" s="14" t="s">
        <v>1774</v>
      </c>
      <c r="K39" s="14" t="s">
        <v>1775</v>
      </c>
      <c r="L39" s="14" t="s">
        <v>1776</v>
      </c>
      <c r="M39" s="14" t="s">
        <v>1777</v>
      </c>
      <c r="N39" s="14" t="s">
        <v>1778</v>
      </c>
      <c r="O39" s="14" t="s">
        <v>1779</v>
      </c>
      <c r="P39" s="11"/>
      <c r="Q39" s="11" t="s">
        <v>79</v>
      </c>
      <c r="R39" s="14" t="s">
        <v>1780</v>
      </c>
      <c r="S39" s="11" t="s">
        <v>1781</v>
      </c>
      <c r="T39" s="11"/>
      <c r="U39" s="11" t="s">
        <v>1782</v>
      </c>
    </row>
    <row r="40" customFormat="false" ht="42" hidden="false" customHeight="true" outlineLevel="0" collapsed="false">
      <c r="A40" s="11" t="n">
        <v>39</v>
      </c>
      <c r="B40" s="11" t="s">
        <v>253</v>
      </c>
      <c r="C40" s="11" t="s">
        <v>1783</v>
      </c>
      <c r="D40" s="11" t="s">
        <v>1638</v>
      </c>
      <c r="E40" s="11" t="s">
        <v>75</v>
      </c>
      <c r="F40" s="11" t="s">
        <v>74</v>
      </c>
      <c r="G40" s="11" t="n">
        <v>0</v>
      </c>
      <c r="H40" s="11"/>
      <c r="I40" s="11"/>
      <c r="J40" s="14"/>
      <c r="K40" s="14"/>
      <c r="L40" s="14"/>
      <c r="M40" s="14" t="s">
        <v>1784</v>
      </c>
      <c r="N40" s="14" t="s">
        <v>1785</v>
      </c>
      <c r="O40" s="14" t="s">
        <v>1786</v>
      </c>
      <c r="P40" s="11" t="s">
        <v>1787</v>
      </c>
      <c r="Q40" s="11" t="s">
        <v>79</v>
      </c>
      <c r="R40" s="14" t="s">
        <v>1788</v>
      </c>
      <c r="S40" s="11" t="s">
        <v>1789</v>
      </c>
      <c r="T40" s="11"/>
      <c r="U40" s="11" t="s">
        <v>1790</v>
      </c>
    </row>
    <row r="41" customFormat="false" ht="42" hidden="false" customHeight="true" outlineLevel="0" collapsed="false">
      <c r="A41" s="11" t="n">
        <v>40</v>
      </c>
      <c r="B41" s="11" t="s">
        <v>253</v>
      </c>
      <c r="C41" s="11" t="s">
        <v>268</v>
      </c>
      <c r="D41" s="11" t="s">
        <v>1638</v>
      </c>
      <c r="E41" s="11" t="s">
        <v>126</v>
      </c>
      <c r="F41" s="11" t="s">
        <v>125</v>
      </c>
      <c r="G41" s="11" t="n">
        <v>1</v>
      </c>
      <c r="H41" s="11" t="s">
        <v>86</v>
      </c>
      <c r="I41" s="11"/>
      <c r="J41" s="14"/>
      <c r="K41" s="14"/>
      <c r="L41" s="14"/>
      <c r="M41" s="14" t="s">
        <v>1791</v>
      </c>
      <c r="N41" s="14" t="s">
        <v>1792</v>
      </c>
      <c r="O41" s="14" t="s">
        <v>270</v>
      </c>
      <c r="P41" s="11"/>
      <c r="Q41" s="11" t="s">
        <v>79</v>
      </c>
      <c r="R41" s="14"/>
      <c r="S41" s="11" t="s">
        <v>271</v>
      </c>
      <c r="T41" s="11"/>
      <c r="U41" s="11" t="s">
        <v>272</v>
      </c>
    </row>
    <row r="42" customFormat="false" ht="42" hidden="false" customHeight="true" outlineLevel="0" collapsed="false">
      <c r="A42" s="11" t="n">
        <v>41</v>
      </c>
      <c r="B42" s="11" t="s">
        <v>253</v>
      </c>
      <c r="C42" s="11" t="s">
        <v>273</v>
      </c>
      <c r="D42" s="11" t="s">
        <v>1638</v>
      </c>
      <c r="E42" s="11" t="s">
        <v>126</v>
      </c>
      <c r="F42" s="11" t="s">
        <v>125</v>
      </c>
      <c r="G42" s="11" t="n">
        <v>1</v>
      </c>
      <c r="H42" s="11" t="s">
        <v>266</v>
      </c>
      <c r="I42" s="11"/>
      <c r="J42" s="14"/>
      <c r="K42" s="14"/>
      <c r="L42" s="14"/>
      <c r="M42" s="14" t="s">
        <v>1793</v>
      </c>
      <c r="N42" s="14" t="s">
        <v>1794</v>
      </c>
      <c r="O42" s="14" t="s">
        <v>275</v>
      </c>
      <c r="P42" s="11"/>
      <c r="Q42" s="11" t="s">
        <v>79</v>
      </c>
      <c r="R42" s="14"/>
      <c r="S42" s="11" t="s">
        <v>276</v>
      </c>
      <c r="T42" s="11"/>
      <c r="U42" s="11" t="s">
        <v>277</v>
      </c>
    </row>
    <row r="43" customFormat="false" ht="42" hidden="false" customHeight="true" outlineLevel="0" collapsed="false">
      <c r="A43" s="11" t="n">
        <v>42</v>
      </c>
      <c r="B43" s="11" t="s">
        <v>253</v>
      </c>
      <c r="C43" s="11" t="s">
        <v>278</v>
      </c>
      <c r="D43" s="11" t="s">
        <v>1638</v>
      </c>
      <c r="E43" s="11" t="s">
        <v>126</v>
      </c>
      <c r="F43" s="11" t="s">
        <v>205</v>
      </c>
      <c r="G43" s="11" t="n">
        <v>1</v>
      </c>
      <c r="H43" s="11" t="s">
        <v>86</v>
      </c>
      <c r="I43" s="11"/>
      <c r="J43" s="14"/>
      <c r="K43" s="14"/>
      <c r="L43" s="14"/>
      <c r="M43" s="14" t="s">
        <v>1795</v>
      </c>
      <c r="N43" s="14" t="s">
        <v>1796</v>
      </c>
      <c r="O43" s="14" t="s">
        <v>280</v>
      </c>
      <c r="P43" s="11" t="s">
        <v>1797</v>
      </c>
      <c r="Q43" s="11" t="s">
        <v>79</v>
      </c>
      <c r="R43" s="14"/>
      <c r="S43" s="11" t="s">
        <v>281</v>
      </c>
      <c r="T43" s="11"/>
      <c r="U43" s="11" t="s">
        <v>282</v>
      </c>
    </row>
    <row r="44" customFormat="false" ht="42" hidden="false" customHeight="true" outlineLevel="0" collapsed="false">
      <c r="A44" s="11" t="n">
        <v>43</v>
      </c>
      <c r="B44" s="11" t="s">
        <v>253</v>
      </c>
      <c r="C44" s="11" t="s">
        <v>283</v>
      </c>
      <c r="D44" s="11" t="s">
        <v>1638</v>
      </c>
      <c r="E44" s="11" t="s">
        <v>126</v>
      </c>
      <c r="F44" s="11" t="s">
        <v>115</v>
      </c>
      <c r="G44" s="11" t="n">
        <v>1</v>
      </c>
      <c r="H44" s="11" t="s">
        <v>86</v>
      </c>
      <c r="I44" s="11"/>
      <c r="J44" s="14"/>
      <c r="K44" s="14"/>
      <c r="L44" s="14"/>
      <c r="M44" s="14" t="s">
        <v>1798</v>
      </c>
      <c r="N44" s="14" t="s">
        <v>1799</v>
      </c>
      <c r="O44" s="14"/>
      <c r="P44" s="11"/>
      <c r="Q44" s="11" t="s">
        <v>79</v>
      </c>
      <c r="R44" s="14" t="s">
        <v>1800</v>
      </c>
      <c r="S44" s="11" t="s">
        <v>285</v>
      </c>
      <c r="T44" s="11"/>
      <c r="U44" s="11" t="s">
        <v>286</v>
      </c>
    </row>
    <row r="45" customFormat="false" ht="42" hidden="false" customHeight="true" outlineLevel="0" collapsed="false">
      <c r="A45" s="11" t="n">
        <v>44</v>
      </c>
      <c r="B45" s="11" t="s">
        <v>253</v>
      </c>
      <c r="C45" s="11" t="s">
        <v>287</v>
      </c>
      <c r="D45" s="11" t="s">
        <v>1638</v>
      </c>
      <c r="E45" s="11" t="s">
        <v>290</v>
      </c>
      <c r="F45" s="11" t="s">
        <v>74</v>
      </c>
      <c r="G45" s="11" t="n">
        <v>11</v>
      </c>
      <c r="H45" s="11" t="s">
        <v>1801</v>
      </c>
      <c r="I45" s="11"/>
      <c r="J45" s="14"/>
      <c r="K45" s="14"/>
      <c r="L45" s="14"/>
      <c r="M45" s="14" t="s">
        <v>1802</v>
      </c>
      <c r="N45" s="14" t="s">
        <v>1803</v>
      </c>
      <c r="O45" s="14" t="s">
        <v>292</v>
      </c>
      <c r="P45" s="11" t="s">
        <v>1804</v>
      </c>
      <c r="Q45" s="11" t="s">
        <v>79</v>
      </c>
      <c r="R45" s="14" t="s">
        <v>1805</v>
      </c>
      <c r="S45" s="11" t="s">
        <v>293</v>
      </c>
      <c r="T45" s="11"/>
      <c r="U45" s="11" t="s">
        <v>294</v>
      </c>
    </row>
    <row r="46" customFormat="false" ht="42" hidden="false" customHeight="true" outlineLevel="0" collapsed="false">
      <c r="A46" s="11" t="n">
        <v>45</v>
      </c>
      <c r="B46" s="11" t="s">
        <v>253</v>
      </c>
      <c r="C46" s="11" t="s">
        <v>307</v>
      </c>
      <c r="D46" s="11" t="s">
        <v>1638</v>
      </c>
      <c r="E46" s="11" t="s">
        <v>126</v>
      </c>
      <c r="F46" s="11" t="s">
        <v>125</v>
      </c>
      <c r="G46" s="11" t="n">
        <v>1</v>
      </c>
      <c r="H46" s="11" t="s">
        <v>266</v>
      </c>
      <c r="I46" s="11"/>
      <c r="J46" s="14"/>
      <c r="K46" s="14"/>
      <c r="L46" s="14"/>
      <c r="M46" s="14" t="s">
        <v>1806</v>
      </c>
      <c r="N46" s="14" t="s">
        <v>1807</v>
      </c>
      <c r="O46" s="14" t="s">
        <v>309</v>
      </c>
      <c r="P46" s="11"/>
      <c r="Q46" s="11" t="s">
        <v>79</v>
      </c>
      <c r="R46" s="14"/>
      <c r="S46" s="11" t="s">
        <v>310</v>
      </c>
      <c r="T46" s="11"/>
      <c r="U46" s="11" t="s">
        <v>311</v>
      </c>
    </row>
    <row r="47" customFormat="false" ht="42" hidden="false" customHeight="true" outlineLevel="0" collapsed="false">
      <c r="A47" s="11" t="n">
        <v>46</v>
      </c>
      <c r="B47" s="11" t="s">
        <v>253</v>
      </c>
      <c r="C47" s="11" t="s">
        <v>1808</v>
      </c>
      <c r="D47" s="11" t="s">
        <v>1638</v>
      </c>
      <c r="E47" s="11" t="s">
        <v>1091</v>
      </c>
      <c r="F47" s="11" t="s">
        <v>115</v>
      </c>
      <c r="G47" s="11" t="n">
        <v>0</v>
      </c>
      <c r="H47" s="11"/>
      <c r="I47" s="11"/>
      <c r="J47" s="14"/>
      <c r="K47" s="14"/>
      <c r="L47" s="14"/>
      <c r="M47" s="14" t="s">
        <v>1809</v>
      </c>
      <c r="N47" s="14" t="s">
        <v>1810</v>
      </c>
      <c r="O47" s="14" t="s">
        <v>1811</v>
      </c>
      <c r="P47" s="11"/>
      <c r="Q47" s="11" t="s">
        <v>79</v>
      </c>
      <c r="R47" s="14" t="s">
        <v>1812</v>
      </c>
      <c r="S47" s="11" t="s">
        <v>1813</v>
      </c>
      <c r="T47" s="11"/>
      <c r="U47" s="11" t="s">
        <v>1814</v>
      </c>
    </row>
    <row r="48" customFormat="false" ht="42" hidden="false" customHeight="true" outlineLevel="0" collapsed="false">
      <c r="A48" s="11" t="n">
        <v>47</v>
      </c>
      <c r="B48" s="11" t="s">
        <v>253</v>
      </c>
      <c r="C48" s="11" t="s">
        <v>312</v>
      </c>
      <c r="D48" s="11" t="s">
        <v>1638</v>
      </c>
      <c r="E48" s="11" t="s">
        <v>235</v>
      </c>
      <c r="F48" s="11" t="s">
        <v>205</v>
      </c>
      <c r="G48" s="11" t="n">
        <v>1</v>
      </c>
      <c r="H48" s="11" t="s">
        <v>259</v>
      </c>
      <c r="I48" s="11" t="s">
        <v>1740</v>
      </c>
      <c r="J48" s="14" t="s">
        <v>1815</v>
      </c>
      <c r="K48" s="14" t="s">
        <v>1816</v>
      </c>
      <c r="L48" s="14" t="s">
        <v>1817</v>
      </c>
      <c r="M48" s="14" t="s">
        <v>1818</v>
      </c>
      <c r="N48" s="14" t="s">
        <v>1819</v>
      </c>
      <c r="O48" s="14" t="s">
        <v>314</v>
      </c>
      <c r="P48" s="11"/>
      <c r="Q48" s="11" t="s">
        <v>79</v>
      </c>
      <c r="R48" s="14" t="s">
        <v>1820</v>
      </c>
      <c r="S48" s="11" t="s">
        <v>315</v>
      </c>
      <c r="T48" s="11"/>
      <c r="U48" s="11" t="s">
        <v>316</v>
      </c>
    </row>
    <row r="49" customFormat="false" ht="42" hidden="false" customHeight="true" outlineLevel="0" collapsed="false">
      <c r="A49" s="11" t="n">
        <v>48</v>
      </c>
      <c r="B49" s="11" t="s">
        <v>317</v>
      </c>
      <c r="C49" s="11" t="s">
        <v>318</v>
      </c>
      <c r="D49" s="11" t="s">
        <v>1638</v>
      </c>
      <c r="E49" s="11" t="s">
        <v>126</v>
      </c>
      <c r="F49" s="11" t="s">
        <v>125</v>
      </c>
      <c r="G49" s="11" t="n">
        <v>1</v>
      </c>
      <c r="H49" s="11" t="s">
        <v>288</v>
      </c>
      <c r="I49" s="11"/>
      <c r="J49" s="14"/>
      <c r="K49" s="14"/>
      <c r="L49" s="14"/>
      <c r="M49" s="14" t="s">
        <v>1821</v>
      </c>
      <c r="N49" s="14" t="s">
        <v>1822</v>
      </c>
      <c r="O49" s="14" t="s">
        <v>320</v>
      </c>
      <c r="P49" s="11"/>
      <c r="Q49" s="11" t="s">
        <v>79</v>
      </c>
      <c r="R49" s="14"/>
      <c r="S49" s="11" t="s">
        <v>321</v>
      </c>
      <c r="T49" s="11"/>
      <c r="U49" s="11" t="s">
        <v>322</v>
      </c>
    </row>
    <row r="50" customFormat="false" ht="42" hidden="false" customHeight="true" outlineLevel="0" collapsed="false">
      <c r="A50" s="11" t="n">
        <v>49</v>
      </c>
      <c r="B50" s="11" t="s">
        <v>323</v>
      </c>
      <c r="C50" s="11" t="s">
        <v>324</v>
      </c>
      <c r="D50" s="11" t="s">
        <v>1638</v>
      </c>
      <c r="E50" s="11" t="s">
        <v>75</v>
      </c>
      <c r="F50" s="11" t="s">
        <v>74</v>
      </c>
      <c r="G50" s="11" t="n">
        <v>1</v>
      </c>
      <c r="H50" s="11" t="s">
        <v>86</v>
      </c>
      <c r="I50" s="11"/>
      <c r="J50" s="14"/>
      <c r="K50" s="14"/>
      <c r="L50" s="14"/>
      <c r="M50" s="14" t="s">
        <v>1823</v>
      </c>
      <c r="N50" s="14" t="s">
        <v>1824</v>
      </c>
      <c r="O50" s="14"/>
      <c r="P50" s="11" t="s">
        <v>1825</v>
      </c>
      <c r="Q50" s="11" t="s">
        <v>79</v>
      </c>
      <c r="R50" s="14" t="s">
        <v>1826</v>
      </c>
      <c r="S50" s="11" t="s">
        <v>327</v>
      </c>
      <c r="T50" s="11"/>
      <c r="U50" s="11" t="s">
        <v>328</v>
      </c>
    </row>
    <row r="51" customFormat="false" ht="42" hidden="false" customHeight="true" outlineLevel="0" collapsed="false">
      <c r="A51" s="11" t="n">
        <v>50</v>
      </c>
      <c r="B51" s="11" t="s">
        <v>329</v>
      </c>
      <c r="C51" s="11" t="s">
        <v>330</v>
      </c>
      <c r="D51" s="11" t="s">
        <v>1638</v>
      </c>
      <c r="E51" s="11" t="s">
        <v>126</v>
      </c>
      <c r="F51" s="11" t="s">
        <v>125</v>
      </c>
      <c r="G51" s="11" t="n">
        <v>1</v>
      </c>
      <c r="H51" s="11" t="s">
        <v>90</v>
      </c>
      <c r="I51" s="11"/>
      <c r="J51" s="14"/>
      <c r="K51" s="14"/>
      <c r="L51" s="14"/>
      <c r="M51" s="14" t="s">
        <v>1827</v>
      </c>
      <c r="N51" s="14" t="s">
        <v>1828</v>
      </c>
      <c r="O51" s="14" t="s">
        <v>332</v>
      </c>
      <c r="P51" s="11"/>
      <c r="Q51" s="11" t="s">
        <v>79</v>
      </c>
      <c r="R51" s="14"/>
      <c r="S51" s="11" t="s">
        <v>333</v>
      </c>
      <c r="T51" s="11"/>
      <c r="U51" s="11" t="s">
        <v>334</v>
      </c>
    </row>
    <row r="52" customFormat="false" ht="42" hidden="false" customHeight="true" outlineLevel="0" collapsed="false">
      <c r="A52" s="11" t="n">
        <v>51</v>
      </c>
      <c r="B52" s="11" t="s">
        <v>329</v>
      </c>
      <c r="C52" s="11" t="s">
        <v>335</v>
      </c>
      <c r="D52" s="11" t="s">
        <v>1638</v>
      </c>
      <c r="E52" s="11" t="s">
        <v>126</v>
      </c>
      <c r="F52" s="11" t="s">
        <v>205</v>
      </c>
      <c r="G52" s="11" t="n">
        <v>1</v>
      </c>
      <c r="H52" s="11" t="s">
        <v>86</v>
      </c>
      <c r="I52" s="11"/>
      <c r="J52" s="14"/>
      <c r="K52" s="14"/>
      <c r="L52" s="14"/>
      <c r="M52" s="14" t="s">
        <v>1829</v>
      </c>
      <c r="N52" s="14" t="s">
        <v>1830</v>
      </c>
      <c r="O52" s="14" t="s">
        <v>337</v>
      </c>
      <c r="P52" s="11" t="s">
        <v>1831</v>
      </c>
      <c r="Q52" s="11" t="s">
        <v>79</v>
      </c>
      <c r="R52" s="14"/>
      <c r="S52" s="11" t="s">
        <v>338</v>
      </c>
      <c r="T52" s="11"/>
      <c r="U52" s="11" t="s">
        <v>339</v>
      </c>
    </row>
    <row r="53" customFormat="false" ht="42" hidden="false" customHeight="true" outlineLevel="0" collapsed="false">
      <c r="A53" s="11" t="n">
        <v>52</v>
      </c>
      <c r="B53" s="11" t="s">
        <v>340</v>
      </c>
      <c r="C53" s="11" t="s">
        <v>341</v>
      </c>
      <c r="D53" s="11" t="s">
        <v>1638</v>
      </c>
      <c r="E53" s="11" t="s">
        <v>126</v>
      </c>
      <c r="F53" s="11" t="s">
        <v>125</v>
      </c>
      <c r="G53" s="11" t="n">
        <v>1</v>
      </c>
      <c r="H53" s="11" t="s">
        <v>342</v>
      </c>
      <c r="I53" s="11"/>
      <c r="J53" s="14"/>
      <c r="K53" s="14"/>
      <c r="L53" s="14"/>
      <c r="M53" s="14" t="s">
        <v>1832</v>
      </c>
      <c r="N53" s="14" t="s">
        <v>1833</v>
      </c>
      <c r="O53" s="14" t="s">
        <v>345</v>
      </c>
      <c r="P53" s="11"/>
      <c r="Q53" s="11" t="s">
        <v>79</v>
      </c>
      <c r="R53" s="14"/>
      <c r="S53" s="11" t="s">
        <v>346</v>
      </c>
      <c r="T53" s="11"/>
      <c r="U53" s="11" t="s">
        <v>347</v>
      </c>
    </row>
    <row r="54" customFormat="false" ht="42" hidden="false" customHeight="true" outlineLevel="0" collapsed="false">
      <c r="A54" s="11" t="n">
        <v>53</v>
      </c>
      <c r="B54" s="11" t="s">
        <v>340</v>
      </c>
      <c r="C54" s="11" t="s">
        <v>348</v>
      </c>
      <c r="D54" s="11" t="s">
        <v>1638</v>
      </c>
      <c r="E54" s="11" t="s">
        <v>126</v>
      </c>
      <c r="F54" s="11" t="s">
        <v>205</v>
      </c>
      <c r="G54" s="11" t="n">
        <v>1</v>
      </c>
      <c r="H54" s="11" t="s">
        <v>349</v>
      </c>
      <c r="I54" s="11"/>
      <c r="J54" s="14"/>
      <c r="K54" s="14"/>
      <c r="L54" s="14"/>
      <c r="M54" s="14" t="s">
        <v>1834</v>
      </c>
      <c r="N54" s="14" t="s">
        <v>1835</v>
      </c>
      <c r="O54" s="14" t="s">
        <v>351</v>
      </c>
      <c r="P54" s="11" t="s">
        <v>1836</v>
      </c>
      <c r="Q54" s="11" t="s">
        <v>79</v>
      </c>
      <c r="R54" s="14"/>
      <c r="S54" s="11" t="s">
        <v>352</v>
      </c>
      <c r="T54" s="11"/>
      <c r="U54" s="11" t="s">
        <v>353</v>
      </c>
    </row>
    <row r="55" customFormat="false" ht="42" hidden="false" customHeight="true" outlineLevel="0" collapsed="false">
      <c r="A55" s="11" t="n">
        <v>54</v>
      </c>
      <c r="B55" s="11" t="s">
        <v>340</v>
      </c>
      <c r="C55" s="11" t="s">
        <v>354</v>
      </c>
      <c r="D55" s="11" t="s">
        <v>1638</v>
      </c>
      <c r="E55" s="11" t="s">
        <v>126</v>
      </c>
      <c r="F55" s="11" t="s">
        <v>125</v>
      </c>
      <c r="G55" s="11" t="n">
        <v>1</v>
      </c>
      <c r="H55" s="11" t="s">
        <v>342</v>
      </c>
      <c r="I55" s="11"/>
      <c r="J55" s="14"/>
      <c r="K55" s="14"/>
      <c r="L55" s="14"/>
      <c r="M55" s="14" t="s">
        <v>1837</v>
      </c>
      <c r="N55" s="14" t="s">
        <v>1838</v>
      </c>
      <c r="O55" s="14" t="s">
        <v>356</v>
      </c>
      <c r="P55" s="11"/>
      <c r="Q55" s="11" t="s">
        <v>79</v>
      </c>
      <c r="R55" s="14"/>
      <c r="S55" s="11" t="s">
        <v>357</v>
      </c>
      <c r="T55" s="11"/>
      <c r="U55" s="11" t="s">
        <v>358</v>
      </c>
    </row>
    <row r="56" customFormat="false" ht="42" hidden="false" customHeight="true" outlineLevel="0" collapsed="false">
      <c r="A56" s="11" t="n">
        <v>55</v>
      </c>
      <c r="B56" s="11" t="s">
        <v>340</v>
      </c>
      <c r="C56" s="11" t="s">
        <v>359</v>
      </c>
      <c r="D56" s="11" t="s">
        <v>1638</v>
      </c>
      <c r="E56" s="11" t="s">
        <v>126</v>
      </c>
      <c r="F56" s="11" t="s">
        <v>205</v>
      </c>
      <c r="G56" s="11" t="n">
        <v>1</v>
      </c>
      <c r="H56" s="11" t="s">
        <v>349</v>
      </c>
      <c r="I56" s="11"/>
      <c r="J56" s="14"/>
      <c r="K56" s="14"/>
      <c r="L56" s="14"/>
      <c r="M56" s="14" t="s">
        <v>1839</v>
      </c>
      <c r="N56" s="14" t="s">
        <v>1840</v>
      </c>
      <c r="O56" s="14" t="s">
        <v>361</v>
      </c>
      <c r="P56" s="11" t="s">
        <v>1841</v>
      </c>
      <c r="Q56" s="11" t="s">
        <v>79</v>
      </c>
      <c r="R56" s="14"/>
      <c r="S56" s="11" t="s">
        <v>362</v>
      </c>
      <c r="T56" s="11"/>
      <c r="U56" s="11" t="s">
        <v>363</v>
      </c>
    </row>
    <row r="57" customFormat="false" ht="42" hidden="false" customHeight="true" outlineLevel="0" collapsed="false">
      <c r="A57" s="11" t="n">
        <v>56</v>
      </c>
      <c r="B57" s="11" t="s">
        <v>364</v>
      </c>
      <c r="C57" s="11" t="s">
        <v>365</v>
      </c>
      <c r="D57" s="11" t="s">
        <v>1638</v>
      </c>
      <c r="E57" s="11" t="s">
        <v>126</v>
      </c>
      <c r="F57" s="11" t="s">
        <v>205</v>
      </c>
      <c r="G57" s="11" t="n">
        <v>1</v>
      </c>
      <c r="H57" s="11" t="s">
        <v>86</v>
      </c>
      <c r="I57" s="11"/>
      <c r="J57" s="14"/>
      <c r="K57" s="14"/>
      <c r="L57" s="14"/>
      <c r="M57" s="14" t="s">
        <v>1842</v>
      </c>
      <c r="N57" s="14" t="s">
        <v>1843</v>
      </c>
      <c r="O57" s="14" t="s">
        <v>367</v>
      </c>
      <c r="P57" s="11" t="s">
        <v>1844</v>
      </c>
      <c r="Q57" s="11" t="s">
        <v>79</v>
      </c>
      <c r="R57" s="14"/>
      <c r="S57" s="11" t="s">
        <v>368</v>
      </c>
      <c r="T57" s="11"/>
      <c r="U57" s="11" t="s">
        <v>369</v>
      </c>
    </row>
    <row r="58" customFormat="false" ht="42" hidden="false" customHeight="true" outlineLevel="0" collapsed="false">
      <c r="A58" s="11" t="n">
        <v>57</v>
      </c>
      <c r="B58" s="11" t="s">
        <v>364</v>
      </c>
      <c r="C58" s="11" t="s">
        <v>370</v>
      </c>
      <c r="D58" s="11" t="s">
        <v>1638</v>
      </c>
      <c r="E58" s="11" t="s">
        <v>126</v>
      </c>
      <c r="F58" s="11" t="s">
        <v>205</v>
      </c>
      <c r="G58" s="11" t="n">
        <v>1</v>
      </c>
      <c r="H58" s="11" t="s">
        <v>349</v>
      </c>
      <c r="I58" s="11"/>
      <c r="J58" s="14"/>
      <c r="K58" s="14"/>
      <c r="L58" s="14"/>
      <c r="M58" s="14" t="s">
        <v>1845</v>
      </c>
      <c r="N58" s="14" t="s">
        <v>1846</v>
      </c>
      <c r="O58" s="14"/>
      <c r="P58" s="11" t="s">
        <v>1847</v>
      </c>
      <c r="Q58" s="11" t="s">
        <v>79</v>
      </c>
      <c r="R58" s="14"/>
      <c r="S58" s="11" t="s">
        <v>372</v>
      </c>
      <c r="T58" s="11"/>
      <c r="U58" s="11" t="s">
        <v>373</v>
      </c>
    </row>
    <row r="59" customFormat="false" ht="42" hidden="false" customHeight="true" outlineLevel="0" collapsed="false">
      <c r="A59" s="11" t="n">
        <v>58</v>
      </c>
      <c r="B59" s="11" t="s">
        <v>364</v>
      </c>
      <c r="C59" s="11" t="s">
        <v>374</v>
      </c>
      <c r="D59" s="11" t="s">
        <v>1638</v>
      </c>
      <c r="E59" s="11" t="s">
        <v>126</v>
      </c>
      <c r="F59" s="11" t="s">
        <v>205</v>
      </c>
      <c r="G59" s="11" t="n">
        <v>1</v>
      </c>
      <c r="H59" s="11" t="s">
        <v>86</v>
      </c>
      <c r="I59" s="11"/>
      <c r="J59" s="14"/>
      <c r="K59" s="14"/>
      <c r="L59" s="14"/>
      <c r="M59" s="14" t="s">
        <v>1848</v>
      </c>
      <c r="N59" s="14" t="s">
        <v>1849</v>
      </c>
      <c r="O59" s="14" t="s">
        <v>376</v>
      </c>
      <c r="P59" s="11" t="s">
        <v>1850</v>
      </c>
      <c r="Q59" s="11" t="s">
        <v>79</v>
      </c>
      <c r="R59" s="14"/>
      <c r="S59" s="11" t="s">
        <v>377</v>
      </c>
      <c r="T59" s="11"/>
      <c r="U59" s="11" t="s">
        <v>378</v>
      </c>
    </row>
    <row r="60" customFormat="false" ht="42" hidden="false" customHeight="true" outlineLevel="0" collapsed="false">
      <c r="A60" s="11" t="n">
        <v>59</v>
      </c>
      <c r="B60" s="11" t="s">
        <v>379</v>
      </c>
      <c r="C60" s="11" t="s">
        <v>380</v>
      </c>
      <c r="D60" s="11" t="s">
        <v>1638</v>
      </c>
      <c r="E60" s="11" t="s">
        <v>126</v>
      </c>
      <c r="F60" s="11" t="s">
        <v>205</v>
      </c>
      <c r="G60" s="11" t="n">
        <v>1</v>
      </c>
      <c r="H60" s="11" t="s">
        <v>86</v>
      </c>
      <c r="I60" s="11"/>
      <c r="J60" s="14"/>
      <c r="K60" s="14"/>
      <c r="L60" s="14"/>
      <c r="M60" s="14" t="s">
        <v>1851</v>
      </c>
      <c r="N60" s="14" t="s">
        <v>1852</v>
      </c>
      <c r="O60" s="14" t="s">
        <v>382</v>
      </c>
      <c r="P60" s="11" t="s">
        <v>1853</v>
      </c>
      <c r="Q60" s="11" t="s">
        <v>79</v>
      </c>
      <c r="R60" s="14"/>
      <c r="S60" s="11" t="s">
        <v>383</v>
      </c>
      <c r="T60" s="11"/>
      <c r="U60" s="11" t="s">
        <v>384</v>
      </c>
    </row>
    <row r="61" customFormat="false" ht="42" hidden="false" customHeight="true" outlineLevel="0" collapsed="false">
      <c r="A61" s="11" t="n">
        <v>60</v>
      </c>
      <c r="B61" s="11" t="s">
        <v>379</v>
      </c>
      <c r="C61" s="11" t="s">
        <v>385</v>
      </c>
      <c r="D61" s="11" t="s">
        <v>1638</v>
      </c>
      <c r="E61" s="11" t="s">
        <v>126</v>
      </c>
      <c r="F61" s="11" t="s">
        <v>125</v>
      </c>
      <c r="G61" s="11" t="n">
        <v>1</v>
      </c>
      <c r="H61" s="11" t="s">
        <v>386</v>
      </c>
      <c r="I61" s="11"/>
      <c r="J61" s="14"/>
      <c r="K61" s="14"/>
      <c r="L61" s="14"/>
      <c r="M61" s="14" t="s">
        <v>1854</v>
      </c>
      <c r="N61" s="14" t="s">
        <v>1855</v>
      </c>
      <c r="O61" s="14" t="s">
        <v>388</v>
      </c>
      <c r="P61" s="11"/>
      <c r="Q61" s="11" t="s">
        <v>79</v>
      </c>
      <c r="R61" s="14"/>
      <c r="S61" s="11" t="s">
        <v>389</v>
      </c>
      <c r="T61" s="11"/>
      <c r="U61" s="11" t="s">
        <v>390</v>
      </c>
    </row>
    <row r="62" customFormat="false" ht="42" hidden="false" customHeight="true" outlineLevel="0" collapsed="false">
      <c r="A62" s="11" t="n">
        <v>61</v>
      </c>
      <c r="B62" s="11" t="s">
        <v>379</v>
      </c>
      <c r="C62" s="11" t="s">
        <v>391</v>
      </c>
      <c r="D62" s="11" t="s">
        <v>1638</v>
      </c>
      <c r="E62" s="11" t="s">
        <v>126</v>
      </c>
      <c r="F62" s="11" t="s">
        <v>125</v>
      </c>
      <c r="G62" s="11" t="n">
        <v>1</v>
      </c>
      <c r="H62" s="11" t="s">
        <v>386</v>
      </c>
      <c r="I62" s="11"/>
      <c r="J62" s="14"/>
      <c r="K62" s="14"/>
      <c r="L62" s="14"/>
      <c r="M62" s="14" t="s">
        <v>1856</v>
      </c>
      <c r="N62" s="14" t="s">
        <v>1857</v>
      </c>
      <c r="O62" s="14" t="s">
        <v>393</v>
      </c>
      <c r="P62" s="11"/>
      <c r="Q62" s="11" t="s">
        <v>79</v>
      </c>
      <c r="R62" s="14"/>
      <c r="S62" s="11" t="s">
        <v>394</v>
      </c>
      <c r="T62" s="11"/>
      <c r="U62" s="11" t="s">
        <v>395</v>
      </c>
    </row>
    <row r="63" customFormat="false" ht="42" hidden="false" customHeight="true" outlineLevel="0" collapsed="false">
      <c r="A63" s="11" t="n">
        <v>62</v>
      </c>
      <c r="B63" s="11" t="s">
        <v>379</v>
      </c>
      <c r="C63" s="11" t="s">
        <v>396</v>
      </c>
      <c r="D63" s="11" t="s">
        <v>1638</v>
      </c>
      <c r="E63" s="11" t="s">
        <v>126</v>
      </c>
      <c r="F63" s="11" t="s">
        <v>205</v>
      </c>
      <c r="G63" s="11" t="n">
        <v>1</v>
      </c>
      <c r="H63" s="11" t="s">
        <v>386</v>
      </c>
      <c r="I63" s="11"/>
      <c r="J63" s="14"/>
      <c r="K63" s="14"/>
      <c r="L63" s="14"/>
      <c r="M63" s="14" t="s">
        <v>1858</v>
      </c>
      <c r="N63" s="14" t="s">
        <v>1859</v>
      </c>
      <c r="O63" s="14" t="s">
        <v>398</v>
      </c>
      <c r="P63" s="11" t="s">
        <v>1860</v>
      </c>
      <c r="Q63" s="11" t="s">
        <v>79</v>
      </c>
      <c r="R63" s="14"/>
      <c r="S63" s="11" t="s">
        <v>399</v>
      </c>
      <c r="T63" s="11"/>
      <c r="U63" s="11" t="s">
        <v>400</v>
      </c>
    </row>
    <row r="64" customFormat="false" ht="42" hidden="false" customHeight="true" outlineLevel="0" collapsed="false">
      <c r="A64" s="11" t="n">
        <v>63</v>
      </c>
      <c r="B64" s="11" t="s">
        <v>379</v>
      </c>
      <c r="C64" s="11" t="s">
        <v>1861</v>
      </c>
      <c r="D64" s="11" t="s">
        <v>1638</v>
      </c>
      <c r="E64" s="11" t="s">
        <v>75</v>
      </c>
      <c r="F64" s="11" t="s">
        <v>74</v>
      </c>
      <c r="G64" s="11" t="n">
        <v>0</v>
      </c>
      <c r="H64" s="11"/>
      <c r="I64" s="11"/>
      <c r="J64" s="14"/>
      <c r="K64" s="14"/>
      <c r="L64" s="14"/>
      <c r="M64" s="14" t="s">
        <v>1862</v>
      </c>
      <c r="N64" s="14" t="s">
        <v>1863</v>
      </c>
      <c r="O64" s="14" t="s">
        <v>1864</v>
      </c>
      <c r="P64" s="11" t="s">
        <v>1865</v>
      </c>
      <c r="Q64" s="11" t="s">
        <v>79</v>
      </c>
      <c r="R64" s="14" t="s">
        <v>1866</v>
      </c>
      <c r="S64" s="11" t="s">
        <v>1867</v>
      </c>
      <c r="T64" s="11"/>
      <c r="U64" s="11" t="s">
        <v>1868</v>
      </c>
    </row>
    <row r="65" customFormat="false" ht="42" hidden="false" customHeight="true" outlineLevel="0" collapsed="false">
      <c r="A65" s="11" t="n">
        <v>64</v>
      </c>
      <c r="B65" s="11" t="s">
        <v>379</v>
      </c>
      <c r="C65" s="11" t="s">
        <v>401</v>
      </c>
      <c r="D65" s="11" t="s">
        <v>1638</v>
      </c>
      <c r="E65" s="11" t="s">
        <v>126</v>
      </c>
      <c r="F65" s="11" t="s">
        <v>205</v>
      </c>
      <c r="G65" s="11" t="n">
        <v>1</v>
      </c>
      <c r="H65" s="11" t="s">
        <v>86</v>
      </c>
      <c r="I65" s="11"/>
      <c r="J65" s="14"/>
      <c r="K65" s="14"/>
      <c r="L65" s="14"/>
      <c r="M65" s="14" t="s">
        <v>1869</v>
      </c>
      <c r="N65" s="14" t="s">
        <v>1870</v>
      </c>
      <c r="O65" s="14" t="s">
        <v>403</v>
      </c>
      <c r="P65" s="11" t="s">
        <v>1871</v>
      </c>
      <c r="Q65" s="11" t="s">
        <v>79</v>
      </c>
      <c r="R65" s="14"/>
      <c r="S65" s="11" t="s">
        <v>404</v>
      </c>
      <c r="T65" s="11"/>
      <c r="U65" s="11" t="s">
        <v>405</v>
      </c>
    </row>
    <row r="66" customFormat="false" ht="42" hidden="false" customHeight="true" outlineLevel="0" collapsed="false">
      <c r="A66" s="11" t="n">
        <v>65</v>
      </c>
      <c r="B66" s="11" t="s">
        <v>406</v>
      </c>
      <c r="C66" s="11" t="s">
        <v>1872</v>
      </c>
      <c r="D66" s="11" t="s">
        <v>1873</v>
      </c>
      <c r="E66" s="11" t="s">
        <v>75</v>
      </c>
      <c r="F66" s="11" t="s">
        <v>74</v>
      </c>
      <c r="G66" s="11" t="n">
        <v>0</v>
      </c>
      <c r="H66" s="11"/>
      <c r="I66" s="11"/>
      <c r="J66" s="14"/>
      <c r="K66" s="14"/>
      <c r="L66" s="14"/>
      <c r="M66" s="14" t="s">
        <v>1874</v>
      </c>
      <c r="N66" s="14" t="s">
        <v>1875</v>
      </c>
      <c r="O66" s="14" t="s">
        <v>1876</v>
      </c>
      <c r="P66" s="11" t="s">
        <v>1877</v>
      </c>
      <c r="Q66" s="11" t="s">
        <v>79</v>
      </c>
      <c r="R66" s="14" t="s">
        <v>1878</v>
      </c>
      <c r="S66" s="11" t="s">
        <v>1879</v>
      </c>
      <c r="T66" s="11"/>
      <c r="U66" s="11" t="s">
        <v>1880</v>
      </c>
    </row>
    <row r="67" customFormat="false" ht="42" hidden="false" customHeight="true" outlineLevel="0" collapsed="false">
      <c r="A67" s="11" t="n">
        <v>66</v>
      </c>
      <c r="B67" s="11" t="s">
        <v>406</v>
      </c>
      <c r="C67" s="11" t="s">
        <v>407</v>
      </c>
      <c r="D67" s="11" t="s">
        <v>1638</v>
      </c>
      <c r="E67" s="11" t="s">
        <v>126</v>
      </c>
      <c r="F67" s="11" t="s">
        <v>205</v>
      </c>
      <c r="G67" s="11" t="n">
        <v>1</v>
      </c>
      <c r="H67" s="11" t="s">
        <v>408</v>
      </c>
      <c r="I67" s="11"/>
      <c r="J67" s="14"/>
      <c r="K67" s="14"/>
      <c r="L67" s="14"/>
      <c r="M67" s="14" t="s">
        <v>1881</v>
      </c>
      <c r="N67" s="14" t="s">
        <v>1882</v>
      </c>
      <c r="O67" s="14" t="s">
        <v>411</v>
      </c>
      <c r="P67" s="11" t="s">
        <v>1883</v>
      </c>
      <c r="Q67" s="11" t="s">
        <v>79</v>
      </c>
      <c r="R67" s="14"/>
      <c r="S67" s="11" t="s">
        <v>412</v>
      </c>
      <c r="T67" s="11"/>
      <c r="U67" s="11" t="s">
        <v>413</v>
      </c>
    </row>
    <row r="68" customFormat="false" ht="42" hidden="false" customHeight="true" outlineLevel="0" collapsed="false">
      <c r="A68" s="11" t="n">
        <v>67</v>
      </c>
      <c r="B68" s="11" t="s">
        <v>406</v>
      </c>
      <c r="C68" s="11" t="s">
        <v>414</v>
      </c>
      <c r="D68" s="11" t="s">
        <v>1638</v>
      </c>
      <c r="E68" s="11" t="s">
        <v>126</v>
      </c>
      <c r="F68" s="11" t="s">
        <v>416</v>
      </c>
      <c r="G68" s="11" t="n">
        <v>1</v>
      </c>
      <c r="H68" s="11" t="s">
        <v>415</v>
      </c>
      <c r="I68" s="11"/>
      <c r="J68" s="14"/>
      <c r="K68" s="14"/>
      <c r="L68" s="14"/>
      <c r="M68" s="14" t="s">
        <v>1884</v>
      </c>
      <c r="N68" s="14" t="s">
        <v>1885</v>
      </c>
      <c r="O68" s="14" t="s">
        <v>418</v>
      </c>
      <c r="P68" s="11"/>
      <c r="Q68" s="11" t="s">
        <v>79</v>
      </c>
      <c r="R68" s="14" t="s">
        <v>1886</v>
      </c>
      <c r="S68" s="11" t="s">
        <v>419</v>
      </c>
      <c r="T68" s="11"/>
      <c r="U68" s="11" t="s">
        <v>420</v>
      </c>
    </row>
    <row r="69" customFormat="false" ht="42" hidden="false" customHeight="true" outlineLevel="0" collapsed="false">
      <c r="A69" s="11" t="n">
        <v>68</v>
      </c>
      <c r="B69" s="11" t="s">
        <v>406</v>
      </c>
      <c r="C69" s="11" t="s">
        <v>421</v>
      </c>
      <c r="D69" s="11" t="s">
        <v>1638</v>
      </c>
      <c r="E69" s="11" t="s">
        <v>126</v>
      </c>
      <c r="F69" s="11" t="s">
        <v>416</v>
      </c>
      <c r="G69" s="11" t="n">
        <v>1</v>
      </c>
      <c r="H69" s="11" t="s">
        <v>415</v>
      </c>
      <c r="I69" s="11"/>
      <c r="J69" s="14"/>
      <c r="K69" s="14"/>
      <c r="L69" s="14"/>
      <c r="M69" s="14" t="s">
        <v>1887</v>
      </c>
      <c r="N69" s="14" t="s">
        <v>1888</v>
      </c>
      <c r="O69" s="14" t="s">
        <v>423</v>
      </c>
      <c r="P69" s="11"/>
      <c r="Q69" s="11" t="s">
        <v>79</v>
      </c>
      <c r="R69" s="14" t="s">
        <v>1889</v>
      </c>
      <c r="S69" s="11" t="s">
        <v>424</v>
      </c>
      <c r="T69" s="11"/>
      <c r="U69" s="11" t="s">
        <v>425</v>
      </c>
    </row>
    <row r="70" customFormat="false" ht="42" hidden="false" customHeight="true" outlineLevel="0" collapsed="false">
      <c r="A70" s="11" t="n">
        <v>69</v>
      </c>
      <c r="B70" s="11" t="s">
        <v>426</v>
      </c>
      <c r="C70" s="11" t="s">
        <v>427</v>
      </c>
      <c r="D70" s="11" t="s">
        <v>1638</v>
      </c>
      <c r="E70" s="11" t="s">
        <v>126</v>
      </c>
      <c r="F70" s="11" t="s">
        <v>416</v>
      </c>
      <c r="G70" s="11" t="n">
        <v>1</v>
      </c>
      <c r="H70" s="11" t="s">
        <v>428</v>
      </c>
      <c r="I70" s="11"/>
      <c r="J70" s="14"/>
      <c r="K70" s="14"/>
      <c r="L70" s="14"/>
      <c r="M70" s="14" t="s">
        <v>1890</v>
      </c>
      <c r="N70" s="14" t="s">
        <v>1891</v>
      </c>
      <c r="O70" s="14" t="s">
        <v>430</v>
      </c>
      <c r="P70" s="11"/>
      <c r="Q70" s="11" t="s">
        <v>79</v>
      </c>
      <c r="R70" s="14" t="s">
        <v>1892</v>
      </c>
      <c r="S70" s="11" t="s">
        <v>431</v>
      </c>
      <c r="T70" s="11"/>
      <c r="U70" s="11" t="s">
        <v>432</v>
      </c>
    </row>
    <row r="71" customFormat="false" ht="42" hidden="false" customHeight="true" outlineLevel="0" collapsed="false">
      <c r="A71" s="11" t="n">
        <v>70</v>
      </c>
      <c r="B71" s="11" t="s">
        <v>426</v>
      </c>
      <c r="C71" s="11" t="s">
        <v>433</v>
      </c>
      <c r="D71" s="11" t="s">
        <v>1638</v>
      </c>
      <c r="E71" s="11" t="s">
        <v>126</v>
      </c>
      <c r="F71" s="11" t="s">
        <v>416</v>
      </c>
      <c r="G71" s="11" t="n">
        <v>1</v>
      </c>
      <c r="H71" s="11" t="s">
        <v>434</v>
      </c>
      <c r="I71" s="11"/>
      <c r="J71" s="14"/>
      <c r="K71" s="14"/>
      <c r="L71" s="14"/>
      <c r="M71" s="14" t="s">
        <v>1893</v>
      </c>
      <c r="N71" s="14" t="s">
        <v>1894</v>
      </c>
      <c r="O71" s="14" t="s">
        <v>437</v>
      </c>
      <c r="P71" s="11"/>
      <c r="Q71" s="11" t="s">
        <v>79</v>
      </c>
      <c r="R71" s="14" t="s">
        <v>1895</v>
      </c>
      <c r="S71" s="11" t="s">
        <v>438</v>
      </c>
      <c r="T71" s="11"/>
      <c r="U71" s="11" t="s">
        <v>439</v>
      </c>
    </row>
    <row r="72" customFormat="false" ht="42" hidden="false" customHeight="true" outlineLevel="0" collapsed="false">
      <c r="A72" s="11" t="n">
        <v>71</v>
      </c>
      <c r="B72" s="11" t="s">
        <v>426</v>
      </c>
      <c r="C72" s="11" t="s">
        <v>440</v>
      </c>
      <c r="D72" s="11" t="s">
        <v>1638</v>
      </c>
      <c r="E72" s="11" t="s">
        <v>126</v>
      </c>
      <c r="F72" s="11" t="s">
        <v>416</v>
      </c>
      <c r="G72" s="11" t="n">
        <v>1</v>
      </c>
      <c r="H72" s="11" t="s">
        <v>92</v>
      </c>
      <c r="I72" s="11"/>
      <c r="J72" s="14"/>
      <c r="K72" s="14"/>
      <c r="L72" s="14"/>
      <c r="M72" s="14" t="s">
        <v>1896</v>
      </c>
      <c r="N72" s="14" t="s">
        <v>1897</v>
      </c>
      <c r="O72" s="14" t="s">
        <v>442</v>
      </c>
      <c r="P72" s="11"/>
      <c r="Q72" s="11" t="s">
        <v>79</v>
      </c>
      <c r="R72" s="14" t="s">
        <v>1895</v>
      </c>
      <c r="S72" s="11" t="s">
        <v>443</v>
      </c>
      <c r="T72" s="11"/>
      <c r="U72" s="11" t="s">
        <v>444</v>
      </c>
    </row>
    <row r="73" customFormat="false" ht="42" hidden="false" customHeight="true" outlineLevel="0" collapsed="false">
      <c r="A73" s="11" t="n">
        <v>72</v>
      </c>
      <c r="B73" s="11" t="s">
        <v>426</v>
      </c>
      <c r="C73" s="11" t="s">
        <v>445</v>
      </c>
      <c r="D73" s="11" t="s">
        <v>1638</v>
      </c>
      <c r="E73" s="11" t="s">
        <v>126</v>
      </c>
      <c r="F73" s="11" t="s">
        <v>416</v>
      </c>
      <c r="G73" s="11" t="n">
        <v>1</v>
      </c>
      <c r="H73" s="11" t="s">
        <v>92</v>
      </c>
      <c r="I73" s="11"/>
      <c r="J73" s="14"/>
      <c r="K73" s="14"/>
      <c r="L73" s="14"/>
      <c r="M73" s="14" t="s">
        <v>1898</v>
      </c>
      <c r="N73" s="14" t="s">
        <v>1899</v>
      </c>
      <c r="O73" s="14" t="s">
        <v>447</v>
      </c>
      <c r="P73" s="11"/>
      <c r="Q73" s="11" t="s">
        <v>79</v>
      </c>
      <c r="R73" s="14" t="s">
        <v>1900</v>
      </c>
      <c r="S73" s="11" t="s">
        <v>448</v>
      </c>
      <c r="T73" s="11"/>
      <c r="U73" s="11" t="s">
        <v>449</v>
      </c>
    </row>
    <row r="74" customFormat="false" ht="42" hidden="false" customHeight="true" outlineLevel="0" collapsed="false">
      <c r="A74" s="11" t="n">
        <v>73</v>
      </c>
      <c r="B74" s="11" t="s">
        <v>426</v>
      </c>
      <c r="C74" s="11" t="s">
        <v>450</v>
      </c>
      <c r="D74" s="11" t="s">
        <v>1638</v>
      </c>
      <c r="E74" s="11" t="s">
        <v>126</v>
      </c>
      <c r="F74" s="11" t="s">
        <v>205</v>
      </c>
      <c r="G74" s="11" t="n">
        <v>1</v>
      </c>
      <c r="H74" s="11" t="s">
        <v>386</v>
      </c>
      <c r="I74" s="11"/>
      <c r="J74" s="14"/>
      <c r="K74" s="14"/>
      <c r="L74" s="14"/>
      <c r="M74" s="14" t="s">
        <v>1901</v>
      </c>
      <c r="N74" s="14" t="s">
        <v>1902</v>
      </c>
      <c r="O74" s="14" t="s">
        <v>452</v>
      </c>
      <c r="P74" s="11" t="s">
        <v>1903</v>
      </c>
      <c r="Q74" s="11" t="s">
        <v>79</v>
      </c>
      <c r="R74" s="14"/>
      <c r="S74" s="11" t="s">
        <v>453</v>
      </c>
      <c r="T74" s="11"/>
      <c r="U74" s="11" t="s">
        <v>454</v>
      </c>
    </row>
    <row r="75" customFormat="false" ht="42" hidden="false" customHeight="true" outlineLevel="0" collapsed="false">
      <c r="A75" s="11" t="n">
        <v>74</v>
      </c>
      <c r="B75" s="11" t="s">
        <v>426</v>
      </c>
      <c r="C75" s="11" t="s">
        <v>455</v>
      </c>
      <c r="D75" s="11" t="s">
        <v>1638</v>
      </c>
      <c r="E75" s="11" t="s">
        <v>75</v>
      </c>
      <c r="F75" s="11" t="s">
        <v>74</v>
      </c>
      <c r="G75" s="11" t="n">
        <v>2</v>
      </c>
      <c r="H75" s="11" t="s">
        <v>1904</v>
      </c>
      <c r="I75" s="11"/>
      <c r="J75" s="14"/>
      <c r="K75" s="14"/>
      <c r="L75" s="14"/>
      <c r="M75" s="14" t="s">
        <v>1905</v>
      </c>
      <c r="N75" s="14" t="s">
        <v>1906</v>
      </c>
      <c r="O75" s="14" t="s">
        <v>458</v>
      </c>
      <c r="P75" s="11" t="s">
        <v>1907</v>
      </c>
      <c r="Q75" s="11" t="s">
        <v>79</v>
      </c>
      <c r="R75" s="14"/>
      <c r="S75" s="11" t="s">
        <v>459</v>
      </c>
      <c r="T75" s="11"/>
      <c r="U75" s="11" t="s">
        <v>460</v>
      </c>
    </row>
    <row r="76" customFormat="false" ht="42" hidden="false" customHeight="true" outlineLevel="0" collapsed="false">
      <c r="A76" s="11" t="n">
        <v>75</v>
      </c>
      <c r="B76" s="11" t="s">
        <v>426</v>
      </c>
      <c r="C76" s="11" t="s">
        <v>1908</v>
      </c>
      <c r="D76" s="11" t="s">
        <v>1638</v>
      </c>
      <c r="E76" s="11" t="s">
        <v>1091</v>
      </c>
      <c r="F76" s="11" t="s">
        <v>1091</v>
      </c>
      <c r="G76" s="11" t="n">
        <v>0</v>
      </c>
      <c r="H76" s="11"/>
      <c r="I76" s="11"/>
      <c r="J76" s="14"/>
      <c r="K76" s="14"/>
      <c r="L76" s="14"/>
      <c r="M76" s="14" t="s">
        <v>1909</v>
      </c>
      <c r="N76" s="14" t="s">
        <v>1910</v>
      </c>
      <c r="O76" s="14" t="s">
        <v>1911</v>
      </c>
      <c r="P76" s="11"/>
      <c r="Q76" s="11" t="s">
        <v>79</v>
      </c>
      <c r="R76" s="14" t="s">
        <v>1912</v>
      </c>
      <c r="S76" s="11" t="s">
        <v>1913</v>
      </c>
      <c r="T76" s="11"/>
      <c r="U76" s="11" t="s">
        <v>1914</v>
      </c>
    </row>
    <row r="77" customFormat="false" ht="42" hidden="false" customHeight="true" outlineLevel="0" collapsed="false">
      <c r="A77" s="11" t="n">
        <v>76</v>
      </c>
      <c r="B77" s="11" t="s">
        <v>426</v>
      </c>
      <c r="C77" s="11" t="s">
        <v>1915</v>
      </c>
      <c r="D77" s="11" t="s">
        <v>1638</v>
      </c>
      <c r="E77" s="11" t="s">
        <v>1091</v>
      </c>
      <c r="F77" s="11" t="s">
        <v>1091</v>
      </c>
      <c r="G77" s="11" t="n">
        <v>0</v>
      </c>
      <c r="H77" s="11"/>
      <c r="I77" s="11"/>
      <c r="J77" s="14"/>
      <c r="K77" s="14"/>
      <c r="L77" s="14"/>
      <c r="M77" s="14" t="s">
        <v>1916</v>
      </c>
      <c r="N77" s="14" t="s">
        <v>1917</v>
      </c>
      <c r="O77" s="14" t="s">
        <v>1918</v>
      </c>
      <c r="P77" s="11"/>
      <c r="Q77" s="11" t="s">
        <v>79</v>
      </c>
      <c r="R77" s="14" t="s">
        <v>1919</v>
      </c>
      <c r="S77" s="11" t="s">
        <v>1920</v>
      </c>
      <c r="T77" s="11"/>
      <c r="U77" s="11" t="s">
        <v>1921</v>
      </c>
    </row>
    <row r="78" customFormat="false" ht="42" hidden="false" customHeight="true" outlineLevel="0" collapsed="false">
      <c r="A78" s="11" t="n">
        <v>77</v>
      </c>
      <c r="B78" s="11" t="s">
        <v>426</v>
      </c>
      <c r="C78" s="11" t="s">
        <v>462</v>
      </c>
      <c r="D78" s="11" t="s">
        <v>1638</v>
      </c>
      <c r="E78" s="11" t="s">
        <v>464</v>
      </c>
      <c r="F78" s="11" t="s">
        <v>205</v>
      </c>
      <c r="G78" s="11" t="n">
        <v>1</v>
      </c>
      <c r="H78" s="11" t="s">
        <v>386</v>
      </c>
      <c r="I78" s="11"/>
      <c r="J78" s="14"/>
      <c r="K78" s="14"/>
      <c r="L78" s="14"/>
      <c r="M78" s="14" t="s">
        <v>1922</v>
      </c>
      <c r="N78" s="14" t="s">
        <v>1923</v>
      </c>
      <c r="O78" s="14" t="s">
        <v>466</v>
      </c>
      <c r="P78" s="11"/>
      <c r="Q78" s="11" t="s">
        <v>79</v>
      </c>
      <c r="R78" s="14" t="s">
        <v>1924</v>
      </c>
      <c r="S78" s="11" t="s">
        <v>467</v>
      </c>
      <c r="T78" s="11"/>
      <c r="U78" s="11" t="s">
        <v>468</v>
      </c>
    </row>
    <row r="79" customFormat="false" ht="42" hidden="false" customHeight="true" outlineLevel="0" collapsed="false">
      <c r="A79" s="11" t="n">
        <v>78</v>
      </c>
      <c r="B79" s="11" t="s">
        <v>426</v>
      </c>
      <c r="C79" s="11" t="s">
        <v>1925</v>
      </c>
      <c r="D79" s="11" t="s">
        <v>1638</v>
      </c>
      <c r="E79" s="11" t="s">
        <v>1091</v>
      </c>
      <c r="F79" s="11" t="s">
        <v>205</v>
      </c>
      <c r="G79" s="11" t="n">
        <v>0</v>
      </c>
      <c r="H79" s="11"/>
      <c r="I79" s="11"/>
      <c r="J79" s="14"/>
      <c r="K79" s="14"/>
      <c r="L79" s="14"/>
      <c r="M79" s="14" t="s">
        <v>1926</v>
      </c>
      <c r="N79" s="14" t="s">
        <v>1927</v>
      </c>
      <c r="O79" s="14" t="s">
        <v>1928</v>
      </c>
      <c r="P79" s="11"/>
      <c r="Q79" s="11" t="s">
        <v>120</v>
      </c>
      <c r="R79" s="14" t="s">
        <v>1929</v>
      </c>
      <c r="S79" s="11" t="s">
        <v>1930</v>
      </c>
      <c r="T79" s="11"/>
      <c r="U79" s="11" t="s">
        <v>1931</v>
      </c>
    </row>
    <row r="80" customFormat="false" ht="42" hidden="false" customHeight="true" outlineLevel="0" collapsed="false">
      <c r="A80" s="11" t="n">
        <v>79</v>
      </c>
      <c r="B80" s="11" t="s">
        <v>426</v>
      </c>
      <c r="C80" s="11" t="s">
        <v>469</v>
      </c>
      <c r="D80" s="11" t="s">
        <v>1638</v>
      </c>
      <c r="E80" s="11" t="s">
        <v>116</v>
      </c>
      <c r="F80" s="11" t="s">
        <v>205</v>
      </c>
      <c r="G80" s="11" t="n">
        <v>1</v>
      </c>
      <c r="H80" s="11" t="s">
        <v>86</v>
      </c>
      <c r="I80" s="11"/>
      <c r="J80" s="14"/>
      <c r="K80" s="14"/>
      <c r="L80" s="14"/>
      <c r="M80" s="14" t="s">
        <v>1932</v>
      </c>
      <c r="N80" s="14" t="s">
        <v>1933</v>
      </c>
      <c r="O80" s="14" t="s">
        <v>472</v>
      </c>
      <c r="P80" s="11"/>
      <c r="Q80" s="11" t="s">
        <v>79</v>
      </c>
      <c r="R80" s="14"/>
      <c r="S80" s="11" t="s">
        <v>473</v>
      </c>
      <c r="T80" s="11"/>
      <c r="U80" s="11" t="s">
        <v>474</v>
      </c>
    </row>
    <row r="81" customFormat="false" ht="42" hidden="false" customHeight="true" outlineLevel="0" collapsed="false">
      <c r="A81" s="11" t="n">
        <v>80</v>
      </c>
      <c r="B81" s="11" t="s">
        <v>426</v>
      </c>
      <c r="C81" s="11" t="s">
        <v>1934</v>
      </c>
      <c r="D81" s="11" t="s">
        <v>1638</v>
      </c>
      <c r="E81" s="11" t="s">
        <v>235</v>
      </c>
      <c r="F81" s="11" t="s">
        <v>205</v>
      </c>
      <c r="G81" s="11" t="n">
        <v>0</v>
      </c>
      <c r="H81" s="11"/>
      <c r="I81" s="11" t="s">
        <v>1651</v>
      </c>
      <c r="J81" s="14" t="s">
        <v>1935</v>
      </c>
      <c r="K81" s="14" t="s">
        <v>1936</v>
      </c>
      <c r="L81" s="14" t="s">
        <v>1937</v>
      </c>
      <c r="M81" s="14" t="s">
        <v>1938</v>
      </c>
      <c r="N81" s="14" t="s">
        <v>1939</v>
      </c>
      <c r="O81" s="14" t="s">
        <v>1940</v>
      </c>
      <c r="P81" s="11"/>
      <c r="Q81" s="11" t="s">
        <v>79</v>
      </c>
      <c r="R81" s="14"/>
      <c r="S81" s="11" t="s">
        <v>1941</v>
      </c>
      <c r="T81" s="11"/>
      <c r="U81" s="11" t="s">
        <v>1942</v>
      </c>
    </row>
    <row r="82" customFormat="false" ht="42" hidden="false" customHeight="true" outlineLevel="0" collapsed="false">
      <c r="A82" s="11" t="n">
        <v>81</v>
      </c>
      <c r="B82" s="11" t="s">
        <v>426</v>
      </c>
      <c r="C82" s="11" t="s">
        <v>475</v>
      </c>
      <c r="D82" s="11" t="s">
        <v>1638</v>
      </c>
      <c r="E82" s="11" t="s">
        <v>126</v>
      </c>
      <c r="F82" s="11" t="s">
        <v>205</v>
      </c>
      <c r="G82" s="11" t="n">
        <v>1</v>
      </c>
      <c r="H82" s="11" t="s">
        <v>386</v>
      </c>
      <c r="I82" s="11"/>
      <c r="J82" s="14"/>
      <c r="K82" s="14"/>
      <c r="L82" s="14"/>
      <c r="M82" s="14" t="s">
        <v>1943</v>
      </c>
      <c r="N82" s="14" t="s">
        <v>1944</v>
      </c>
      <c r="O82" s="14" t="s">
        <v>477</v>
      </c>
      <c r="P82" s="11" t="s">
        <v>1945</v>
      </c>
      <c r="Q82" s="11" t="s">
        <v>79</v>
      </c>
      <c r="R82" s="14"/>
      <c r="S82" s="11" t="s">
        <v>478</v>
      </c>
      <c r="T82" s="11"/>
      <c r="U82" s="11" t="s">
        <v>479</v>
      </c>
    </row>
    <row r="83" customFormat="false" ht="42" hidden="false" customHeight="true" outlineLevel="0" collapsed="false">
      <c r="A83" s="11" t="n">
        <v>82</v>
      </c>
      <c r="B83" s="11" t="s">
        <v>426</v>
      </c>
      <c r="C83" s="11" t="s">
        <v>480</v>
      </c>
      <c r="D83" s="11" t="s">
        <v>1638</v>
      </c>
      <c r="E83" s="11" t="s">
        <v>126</v>
      </c>
      <c r="F83" s="11" t="s">
        <v>205</v>
      </c>
      <c r="G83" s="11" t="n">
        <v>1</v>
      </c>
      <c r="H83" s="11" t="s">
        <v>481</v>
      </c>
      <c r="I83" s="11"/>
      <c r="J83" s="14"/>
      <c r="K83" s="14"/>
      <c r="L83" s="14"/>
      <c r="M83" s="14" t="s">
        <v>1946</v>
      </c>
      <c r="N83" s="14" t="s">
        <v>1947</v>
      </c>
      <c r="O83" s="14" t="s">
        <v>483</v>
      </c>
      <c r="P83" s="11" t="s">
        <v>1948</v>
      </c>
      <c r="Q83" s="11" t="s">
        <v>79</v>
      </c>
      <c r="R83" s="14"/>
      <c r="S83" s="11" t="s">
        <v>484</v>
      </c>
      <c r="T83" s="11"/>
      <c r="U83" s="11" t="s">
        <v>485</v>
      </c>
    </row>
    <row r="84" customFormat="false" ht="42" hidden="false" customHeight="true" outlineLevel="0" collapsed="false">
      <c r="A84" s="11" t="n">
        <v>83</v>
      </c>
      <c r="B84" s="11" t="s">
        <v>426</v>
      </c>
      <c r="C84" s="11" t="s">
        <v>486</v>
      </c>
      <c r="D84" s="11" t="s">
        <v>1638</v>
      </c>
      <c r="E84" s="11" t="s">
        <v>126</v>
      </c>
      <c r="F84" s="11" t="s">
        <v>205</v>
      </c>
      <c r="G84" s="11" t="n">
        <v>1</v>
      </c>
      <c r="H84" s="11" t="s">
        <v>86</v>
      </c>
      <c r="I84" s="11"/>
      <c r="J84" s="14"/>
      <c r="K84" s="14"/>
      <c r="L84" s="14"/>
      <c r="M84" s="14" t="s">
        <v>1949</v>
      </c>
      <c r="N84" s="14" t="s">
        <v>1950</v>
      </c>
      <c r="O84" s="14" t="s">
        <v>488</v>
      </c>
      <c r="P84" s="11" t="s">
        <v>1951</v>
      </c>
      <c r="Q84" s="11" t="s">
        <v>79</v>
      </c>
      <c r="R84" s="14"/>
      <c r="S84" s="11" t="s">
        <v>489</v>
      </c>
      <c r="T84" s="11"/>
      <c r="U84" s="11" t="s">
        <v>490</v>
      </c>
    </row>
    <row r="85" customFormat="false" ht="42" hidden="false" customHeight="true" outlineLevel="0" collapsed="false">
      <c r="A85" s="11" t="n">
        <v>84</v>
      </c>
      <c r="B85" s="11" t="s">
        <v>426</v>
      </c>
      <c r="C85" s="11" t="s">
        <v>491</v>
      </c>
      <c r="D85" s="11" t="s">
        <v>1638</v>
      </c>
      <c r="E85" s="11" t="s">
        <v>126</v>
      </c>
      <c r="F85" s="11" t="s">
        <v>205</v>
      </c>
      <c r="G85" s="11" t="n">
        <v>1</v>
      </c>
      <c r="H85" s="11" t="s">
        <v>386</v>
      </c>
      <c r="I85" s="11"/>
      <c r="J85" s="14"/>
      <c r="K85" s="14"/>
      <c r="L85" s="14"/>
      <c r="M85" s="14" t="s">
        <v>1952</v>
      </c>
      <c r="N85" s="14" t="s">
        <v>1953</v>
      </c>
      <c r="O85" s="14" t="s">
        <v>493</v>
      </c>
      <c r="P85" s="11" t="s">
        <v>1954</v>
      </c>
      <c r="Q85" s="11" t="s">
        <v>79</v>
      </c>
      <c r="R85" s="14"/>
      <c r="S85" s="11" t="s">
        <v>494</v>
      </c>
      <c r="T85" s="11"/>
      <c r="U85" s="11" t="s">
        <v>495</v>
      </c>
    </row>
    <row r="86" customFormat="false" ht="42" hidden="false" customHeight="true" outlineLevel="0" collapsed="false">
      <c r="A86" s="11" t="n">
        <v>85</v>
      </c>
      <c r="B86" s="11" t="s">
        <v>426</v>
      </c>
      <c r="C86" s="11" t="s">
        <v>1955</v>
      </c>
      <c r="D86" s="11" t="s">
        <v>1638</v>
      </c>
      <c r="E86" s="11" t="s">
        <v>75</v>
      </c>
      <c r="F86" s="11" t="s">
        <v>74</v>
      </c>
      <c r="G86" s="11" t="n">
        <v>0</v>
      </c>
      <c r="H86" s="11"/>
      <c r="I86" s="11"/>
      <c r="J86" s="14"/>
      <c r="K86" s="14"/>
      <c r="L86" s="14"/>
      <c r="M86" s="14" t="s">
        <v>1956</v>
      </c>
      <c r="N86" s="14" t="s">
        <v>1957</v>
      </c>
      <c r="O86" s="14" t="s">
        <v>1958</v>
      </c>
      <c r="P86" s="11" t="s">
        <v>1959</v>
      </c>
      <c r="Q86" s="11" t="s">
        <v>79</v>
      </c>
      <c r="R86" s="14" t="s">
        <v>1960</v>
      </c>
      <c r="S86" s="11" t="s">
        <v>1961</v>
      </c>
      <c r="T86" s="11"/>
      <c r="U86" s="11" t="s">
        <v>1962</v>
      </c>
    </row>
    <row r="87" customFormat="false" ht="42" hidden="false" customHeight="true" outlineLevel="0" collapsed="false">
      <c r="A87" s="11" t="n">
        <v>86</v>
      </c>
      <c r="B87" s="11" t="s">
        <v>426</v>
      </c>
      <c r="C87" s="11" t="s">
        <v>496</v>
      </c>
      <c r="D87" s="11" t="s">
        <v>1638</v>
      </c>
      <c r="E87" s="11" t="s">
        <v>116</v>
      </c>
      <c r="F87" s="11" t="s">
        <v>205</v>
      </c>
      <c r="G87" s="11" t="n">
        <v>1</v>
      </c>
      <c r="H87" s="11" t="s">
        <v>86</v>
      </c>
      <c r="I87" s="11"/>
      <c r="J87" s="14"/>
      <c r="K87" s="14"/>
      <c r="L87" s="14"/>
      <c r="M87" s="14" t="s">
        <v>1963</v>
      </c>
      <c r="N87" s="14" t="s">
        <v>1964</v>
      </c>
      <c r="O87" s="14" t="s">
        <v>498</v>
      </c>
      <c r="P87" s="11"/>
      <c r="Q87" s="11" t="s">
        <v>79</v>
      </c>
      <c r="R87" s="14" t="s">
        <v>1965</v>
      </c>
      <c r="S87" s="11" t="s">
        <v>499</v>
      </c>
      <c r="T87" s="11"/>
      <c r="U87" s="11" t="s">
        <v>500</v>
      </c>
    </row>
    <row r="88" customFormat="false" ht="42" hidden="false" customHeight="true" outlineLevel="0" collapsed="false">
      <c r="A88" s="11" t="n">
        <v>87</v>
      </c>
      <c r="B88" s="11" t="s">
        <v>501</v>
      </c>
      <c r="C88" s="11" t="s">
        <v>502</v>
      </c>
      <c r="D88" s="11" t="s">
        <v>1638</v>
      </c>
      <c r="E88" s="11" t="s">
        <v>126</v>
      </c>
      <c r="F88" s="11" t="s">
        <v>205</v>
      </c>
      <c r="G88" s="11" t="n">
        <v>1</v>
      </c>
      <c r="H88" s="11" t="s">
        <v>86</v>
      </c>
      <c r="I88" s="11"/>
      <c r="J88" s="14"/>
      <c r="K88" s="14"/>
      <c r="L88" s="14"/>
      <c r="M88" s="14" t="s">
        <v>1966</v>
      </c>
      <c r="N88" s="14" t="s">
        <v>1967</v>
      </c>
      <c r="O88" s="14" t="s">
        <v>504</v>
      </c>
      <c r="P88" s="11" t="s">
        <v>1968</v>
      </c>
      <c r="Q88" s="11" t="s">
        <v>79</v>
      </c>
      <c r="R88" s="14"/>
      <c r="S88" s="11" t="s">
        <v>505</v>
      </c>
      <c r="T88" s="11"/>
      <c r="U88" s="11" t="s">
        <v>506</v>
      </c>
    </row>
    <row r="89" customFormat="false" ht="42" hidden="false" customHeight="true" outlineLevel="0" collapsed="false">
      <c r="A89" s="11" t="n">
        <v>88</v>
      </c>
      <c r="B89" s="11" t="s">
        <v>501</v>
      </c>
      <c r="C89" s="11" t="s">
        <v>507</v>
      </c>
      <c r="D89" s="11" t="s">
        <v>1638</v>
      </c>
      <c r="E89" s="11" t="s">
        <v>126</v>
      </c>
      <c r="F89" s="11" t="s">
        <v>416</v>
      </c>
      <c r="G89" s="11" t="n">
        <v>1</v>
      </c>
      <c r="H89" s="11" t="s">
        <v>386</v>
      </c>
      <c r="I89" s="11"/>
      <c r="J89" s="14"/>
      <c r="K89" s="14"/>
      <c r="L89" s="14"/>
      <c r="M89" s="14" t="s">
        <v>1969</v>
      </c>
      <c r="N89" s="14" t="s">
        <v>1970</v>
      </c>
      <c r="O89" s="14" t="s">
        <v>509</v>
      </c>
      <c r="P89" s="11"/>
      <c r="Q89" s="11" t="s">
        <v>120</v>
      </c>
      <c r="R89" s="14" t="s">
        <v>1971</v>
      </c>
      <c r="S89" s="11" t="s">
        <v>510</v>
      </c>
      <c r="T89" s="11"/>
      <c r="U89" s="11" t="s">
        <v>511</v>
      </c>
    </row>
    <row r="90" customFormat="false" ht="42" hidden="false" customHeight="true" outlineLevel="0" collapsed="false">
      <c r="A90" s="11" t="n">
        <v>89</v>
      </c>
      <c r="B90" s="11" t="s">
        <v>501</v>
      </c>
      <c r="C90" s="11" t="s">
        <v>512</v>
      </c>
      <c r="D90" s="11" t="s">
        <v>1638</v>
      </c>
      <c r="E90" s="11" t="s">
        <v>126</v>
      </c>
      <c r="F90" s="11" t="s">
        <v>205</v>
      </c>
      <c r="G90" s="11" t="n">
        <v>1</v>
      </c>
      <c r="H90" s="11" t="s">
        <v>386</v>
      </c>
      <c r="I90" s="11"/>
      <c r="J90" s="14"/>
      <c r="K90" s="14"/>
      <c r="L90" s="14"/>
      <c r="M90" s="14" t="s">
        <v>1972</v>
      </c>
      <c r="N90" s="14" t="s">
        <v>1973</v>
      </c>
      <c r="O90" s="14"/>
      <c r="P90" s="11" t="s">
        <v>1974</v>
      </c>
      <c r="Q90" s="11" t="s">
        <v>79</v>
      </c>
      <c r="R90" s="14"/>
      <c r="S90" s="11" t="s">
        <v>514</v>
      </c>
      <c r="T90" s="11"/>
      <c r="U90" s="11" t="s">
        <v>515</v>
      </c>
    </row>
    <row r="91" customFormat="false" ht="42" hidden="false" customHeight="true" outlineLevel="0" collapsed="false">
      <c r="A91" s="11" t="n">
        <v>90</v>
      </c>
      <c r="B91" s="11" t="s">
        <v>501</v>
      </c>
      <c r="C91" s="11" t="s">
        <v>516</v>
      </c>
      <c r="D91" s="11" t="s">
        <v>1638</v>
      </c>
      <c r="E91" s="11" t="s">
        <v>126</v>
      </c>
      <c r="F91" s="11" t="s">
        <v>205</v>
      </c>
      <c r="G91" s="11" t="n">
        <v>1</v>
      </c>
      <c r="H91" s="11" t="s">
        <v>86</v>
      </c>
      <c r="I91" s="11"/>
      <c r="J91" s="14"/>
      <c r="K91" s="14"/>
      <c r="L91" s="14"/>
      <c r="M91" s="14" t="s">
        <v>1975</v>
      </c>
      <c r="N91" s="14" t="s">
        <v>1976</v>
      </c>
      <c r="O91" s="14" t="s">
        <v>518</v>
      </c>
      <c r="P91" s="11" t="s">
        <v>1977</v>
      </c>
      <c r="Q91" s="11" t="s">
        <v>79</v>
      </c>
      <c r="R91" s="14"/>
      <c r="S91" s="11" t="s">
        <v>519</v>
      </c>
      <c r="T91" s="11"/>
      <c r="U91" s="11" t="s">
        <v>520</v>
      </c>
    </row>
    <row r="92" customFormat="false" ht="42" hidden="false" customHeight="true" outlineLevel="0" collapsed="false">
      <c r="A92" s="11" t="n">
        <v>91</v>
      </c>
      <c r="B92" s="11" t="s">
        <v>501</v>
      </c>
      <c r="C92" s="11" t="s">
        <v>516</v>
      </c>
      <c r="D92" s="11" t="s">
        <v>1638</v>
      </c>
      <c r="E92" s="11" t="s">
        <v>126</v>
      </c>
      <c r="F92" s="11" t="s">
        <v>205</v>
      </c>
      <c r="G92" s="11" t="n">
        <v>1</v>
      </c>
      <c r="H92" s="11" t="s">
        <v>428</v>
      </c>
      <c r="I92" s="11"/>
      <c r="J92" s="14"/>
      <c r="K92" s="14"/>
      <c r="L92" s="14"/>
      <c r="M92" s="14" t="s">
        <v>1978</v>
      </c>
      <c r="N92" s="14" t="s">
        <v>1979</v>
      </c>
      <c r="O92" s="14" t="s">
        <v>518</v>
      </c>
      <c r="P92" s="11" t="s">
        <v>1980</v>
      </c>
      <c r="Q92" s="11" t="s">
        <v>79</v>
      </c>
      <c r="R92" s="14"/>
      <c r="S92" s="11" t="s">
        <v>522</v>
      </c>
      <c r="T92" s="11"/>
      <c r="U92" s="11" t="s">
        <v>520</v>
      </c>
    </row>
    <row r="93" customFormat="false" ht="42" hidden="false" customHeight="true" outlineLevel="0" collapsed="false">
      <c r="A93" s="11" t="n">
        <v>92</v>
      </c>
      <c r="B93" s="11" t="s">
        <v>501</v>
      </c>
      <c r="C93" s="11" t="s">
        <v>516</v>
      </c>
      <c r="D93" s="11" t="s">
        <v>1638</v>
      </c>
      <c r="E93" s="11" t="s">
        <v>126</v>
      </c>
      <c r="F93" s="11" t="s">
        <v>205</v>
      </c>
      <c r="G93" s="11" t="n">
        <v>1</v>
      </c>
      <c r="H93" s="11" t="s">
        <v>386</v>
      </c>
      <c r="I93" s="11"/>
      <c r="J93" s="14"/>
      <c r="K93" s="14"/>
      <c r="L93" s="14"/>
      <c r="M93" s="14" t="s">
        <v>1981</v>
      </c>
      <c r="N93" s="14" t="s">
        <v>1982</v>
      </c>
      <c r="O93" s="14" t="s">
        <v>518</v>
      </c>
      <c r="P93" s="11" t="s">
        <v>1983</v>
      </c>
      <c r="Q93" s="11" t="s">
        <v>79</v>
      </c>
      <c r="R93" s="14"/>
      <c r="S93" s="11" t="s">
        <v>524</v>
      </c>
      <c r="T93" s="11"/>
      <c r="U93" s="11" t="s">
        <v>520</v>
      </c>
    </row>
    <row r="94" customFormat="false" ht="42" hidden="false" customHeight="true" outlineLevel="0" collapsed="false">
      <c r="A94" s="11" t="n">
        <v>93</v>
      </c>
      <c r="B94" s="11" t="s">
        <v>501</v>
      </c>
      <c r="C94" s="11" t="s">
        <v>516</v>
      </c>
      <c r="D94" s="11" t="s">
        <v>1638</v>
      </c>
      <c r="E94" s="11" t="s">
        <v>126</v>
      </c>
      <c r="F94" s="11" t="s">
        <v>205</v>
      </c>
      <c r="G94" s="11" t="n">
        <v>1</v>
      </c>
      <c r="H94" s="11" t="s">
        <v>481</v>
      </c>
      <c r="I94" s="11"/>
      <c r="J94" s="14"/>
      <c r="K94" s="14"/>
      <c r="L94" s="14"/>
      <c r="M94" s="14" t="s">
        <v>1984</v>
      </c>
      <c r="N94" s="14" t="s">
        <v>1985</v>
      </c>
      <c r="O94" s="14" t="s">
        <v>518</v>
      </c>
      <c r="P94" s="11" t="s">
        <v>1986</v>
      </c>
      <c r="Q94" s="11" t="s">
        <v>79</v>
      </c>
      <c r="R94" s="14"/>
      <c r="S94" s="11" t="s">
        <v>526</v>
      </c>
      <c r="T94" s="11"/>
      <c r="U94" s="11" t="s">
        <v>520</v>
      </c>
    </row>
    <row r="95" customFormat="false" ht="42" hidden="false" customHeight="true" outlineLevel="0" collapsed="false">
      <c r="A95" s="11" t="n">
        <v>94</v>
      </c>
      <c r="B95" s="11" t="s">
        <v>501</v>
      </c>
      <c r="C95" s="11" t="s">
        <v>527</v>
      </c>
      <c r="D95" s="11" t="s">
        <v>1638</v>
      </c>
      <c r="E95" s="11" t="s">
        <v>126</v>
      </c>
      <c r="F95" s="11" t="s">
        <v>416</v>
      </c>
      <c r="G95" s="11" t="n">
        <v>1</v>
      </c>
      <c r="H95" s="11" t="s">
        <v>92</v>
      </c>
      <c r="I95" s="11"/>
      <c r="J95" s="14"/>
      <c r="K95" s="14"/>
      <c r="L95" s="14"/>
      <c r="M95" s="14" t="s">
        <v>1987</v>
      </c>
      <c r="N95" s="14" t="s">
        <v>1988</v>
      </c>
      <c r="O95" s="14" t="s">
        <v>529</v>
      </c>
      <c r="P95" s="11"/>
      <c r="Q95" s="11" t="s">
        <v>120</v>
      </c>
      <c r="R95" s="14" t="s">
        <v>1989</v>
      </c>
      <c r="S95" s="11" t="s">
        <v>530</v>
      </c>
      <c r="T95" s="11"/>
      <c r="U95" s="11" t="s">
        <v>531</v>
      </c>
    </row>
    <row r="96" customFormat="false" ht="42" hidden="false" customHeight="true" outlineLevel="0" collapsed="false">
      <c r="A96" s="11" t="n">
        <v>95</v>
      </c>
      <c r="B96" s="11" t="s">
        <v>501</v>
      </c>
      <c r="C96" s="11" t="s">
        <v>532</v>
      </c>
      <c r="D96" s="11" t="s">
        <v>1638</v>
      </c>
      <c r="E96" s="11" t="s">
        <v>290</v>
      </c>
      <c r="F96" s="11" t="s">
        <v>74</v>
      </c>
      <c r="G96" s="11" t="n">
        <v>16</v>
      </c>
      <c r="H96" s="11" t="s">
        <v>1990</v>
      </c>
      <c r="I96" s="11"/>
      <c r="J96" s="14"/>
      <c r="K96" s="14"/>
      <c r="L96" s="14"/>
      <c r="M96" s="14" t="s">
        <v>1991</v>
      </c>
      <c r="N96" s="14" t="s">
        <v>1992</v>
      </c>
      <c r="O96" s="14" t="s">
        <v>534</v>
      </c>
      <c r="P96" s="11" t="s">
        <v>1993</v>
      </c>
      <c r="Q96" s="11" t="s">
        <v>79</v>
      </c>
      <c r="R96" s="14" t="s">
        <v>1994</v>
      </c>
      <c r="S96" s="11" t="s">
        <v>535</v>
      </c>
      <c r="T96" s="11"/>
      <c r="U96" s="11" t="s">
        <v>536</v>
      </c>
    </row>
    <row r="97" customFormat="false" ht="42" hidden="false" customHeight="true" outlineLevel="0" collapsed="false">
      <c r="A97" s="11" t="n">
        <v>96</v>
      </c>
      <c r="B97" s="11" t="s">
        <v>501</v>
      </c>
      <c r="C97" s="11" t="s">
        <v>555</v>
      </c>
      <c r="D97" s="11" t="s">
        <v>1638</v>
      </c>
      <c r="E97" s="11" t="s">
        <v>126</v>
      </c>
      <c r="F97" s="11" t="s">
        <v>205</v>
      </c>
      <c r="G97" s="11" t="n">
        <v>1</v>
      </c>
      <c r="H97" s="11" t="s">
        <v>86</v>
      </c>
      <c r="I97" s="11"/>
      <c r="J97" s="14"/>
      <c r="K97" s="14"/>
      <c r="L97" s="14"/>
      <c r="M97" s="14" t="s">
        <v>1995</v>
      </c>
      <c r="N97" s="14" t="s">
        <v>1996</v>
      </c>
      <c r="O97" s="14" t="s">
        <v>557</v>
      </c>
      <c r="P97" s="11" t="s">
        <v>1997</v>
      </c>
      <c r="Q97" s="11" t="s">
        <v>79</v>
      </c>
      <c r="R97" s="14"/>
      <c r="S97" s="11" t="s">
        <v>558</v>
      </c>
      <c r="T97" s="11"/>
      <c r="U97" s="11" t="s">
        <v>559</v>
      </c>
    </row>
    <row r="98" customFormat="false" ht="42" hidden="false" customHeight="true" outlineLevel="0" collapsed="false">
      <c r="A98" s="11" t="n">
        <v>97</v>
      </c>
      <c r="B98" s="11" t="s">
        <v>501</v>
      </c>
      <c r="C98" s="11" t="s">
        <v>560</v>
      </c>
      <c r="D98" s="11" t="s">
        <v>1638</v>
      </c>
      <c r="E98" s="11" t="s">
        <v>561</v>
      </c>
      <c r="F98" s="11" t="s">
        <v>205</v>
      </c>
      <c r="G98" s="11" t="n">
        <v>1</v>
      </c>
      <c r="H98" s="11" t="s">
        <v>86</v>
      </c>
      <c r="I98" s="11"/>
      <c r="J98" s="14"/>
      <c r="K98" s="14"/>
      <c r="L98" s="14"/>
      <c r="M98" s="14" t="s">
        <v>1998</v>
      </c>
      <c r="N98" s="14" t="s">
        <v>1999</v>
      </c>
      <c r="O98" s="14" t="s">
        <v>563</v>
      </c>
      <c r="P98" s="11" t="s">
        <v>2000</v>
      </c>
      <c r="Q98" s="11" t="s">
        <v>79</v>
      </c>
      <c r="R98" s="14" t="s">
        <v>2001</v>
      </c>
      <c r="S98" s="11" t="s">
        <v>564</v>
      </c>
      <c r="T98" s="11"/>
      <c r="U98" s="11" t="s">
        <v>565</v>
      </c>
    </row>
    <row r="99" customFormat="false" ht="42" hidden="false" customHeight="true" outlineLevel="0" collapsed="false">
      <c r="A99" s="11" t="n">
        <v>98</v>
      </c>
      <c r="B99" s="11" t="s">
        <v>501</v>
      </c>
      <c r="C99" s="11" t="s">
        <v>566</v>
      </c>
      <c r="D99" s="11" t="s">
        <v>1638</v>
      </c>
      <c r="E99" s="11" t="s">
        <v>116</v>
      </c>
      <c r="F99" s="11" t="s">
        <v>205</v>
      </c>
      <c r="G99" s="11" t="n">
        <v>1</v>
      </c>
      <c r="H99" s="11" t="s">
        <v>86</v>
      </c>
      <c r="I99" s="11"/>
      <c r="J99" s="14"/>
      <c r="K99" s="14"/>
      <c r="L99" s="14"/>
      <c r="M99" s="14" t="s">
        <v>2002</v>
      </c>
      <c r="N99" s="14" t="s">
        <v>2003</v>
      </c>
      <c r="O99" s="14" t="s">
        <v>568</v>
      </c>
      <c r="P99" s="11"/>
      <c r="Q99" s="11" t="s">
        <v>79</v>
      </c>
      <c r="R99" s="14" t="s">
        <v>2004</v>
      </c>
      <c r="S99" s="11" t="s">
        <v>569</v>
      </c>
      <c r="T99" s="11"/>
      <c r="U99" s="11" t="s">
        <v>570</v>
      </c>
    </row>
    <row r="100" customFormat="false" ht="42" hidden="false" customHeight="true" outlineLevel="0" collapsed="false">
      <c r="A100" s="11" t="n">
        <v>99</v>
      </c>
      <c r="B100" s="11" t="s">
        <v>501</v>
      </c>
      <c r="C100" s="11" t="s">
        <v>571</v>
      </c>
      <c r="D100" s="11" t="s">
        <v>1638</v>
      </c>
      <c r="E100" s="11" t="s">
        <v>126</v>
      </c>
      <c r="F100" s="11" t="s">
        <v>205</v>
      </c>
      <c r="G100" s="11" t="n">
        <v>1</v>
      </c>
      <c r="H100" s="11" t="s">
        <v>86</v>
      </c>
      <c r="I100" s="11"/>
      <c r="J100" s="14"/>
      <c r="K100" s="14"/>
      <c r="L100" s="14"/>
      <c r="M100" s="14" t="s">
        <v>2005</v>
      </c>
      <c r="N100" s="14" t="s">
        <v>2006</v>
      </c>
      <c r="O100" s="14" t="s">
        <v>573</v>
      </c>
      <c r="P100" s="11" t="s">
        <v>2007</v>
      </c>
      <c r="Q100" s="11" t="s">
        <v>79</v>
      </c>
      <c r="R100" s="14"/>
      <c r="S100" s="11" t="s">
        <v>574</v>
      </c>
      <c r="T100" s="11"/>
      <c r="U100" s="11" t="s">
        <v>575</v>
      </c>
    </row>
    <row r="101" customFormat="false" ht="42" hidden="false" customHeight="true" outlineLevel="0" collapsed="false">
      <c r="A101" s="11" t="n">
        <v>100</v>
      </c>
      <c r="B101" s="11" t="s">
        <v>576</v>
      </c>
      <c r="C101" s="11" t="s">
        <v>577</v>
      </c>
      <c r="D101" s="11" t="s">
        <v>1638</v>
      </c>
      <c r="E101" s="11" t="s">
        <v>126</v>
      </c>
      <c r="F101" s="11" t="s">
        <v>205</v>
      </c>
      <c r="G101" s="11" t="n">
        <v>1</v>
      </c>
      <c r="H101" s="11" t="s">
        <v>86</v>
      </c>
      <c r="I101" s="11"/>
      <c r="J101" s="14"/>
      <c r="K101" s="14"/>
      <c r="L101" s="14"/>
      <c r="M101" s="14" t="s">
        <v>2008</v>
      </c>
      <c r="N101" s="14" t="s">
        <v>2009</v>
      </c>
      <c r="O101" s="14" t="s">
        <v>579</v>
      </c>
      <c r="P101" s="11" t="s">
        <v>2010</v>
      </c>
      <c r="Q101" s="11" t="s">
        <v>79</v>
      </c>
      <c r="R101" s="14"/>
      <c r="S101" s="11" t="s">
        <v>580</v>
      </c>
      <c r="T101" s="11"/>
      <c r="U101" s="11" t="s">
        <v>581</v>
      </c>
    </row>
    <row r="102" customFormat="false" ht="42" hidden="false" customHeight="true" outlineLevel="0" collapsed="false">
      <c r="A102" s="11" t="n">
        <v>101</v>
      </c>
      <c r="B102" s="11" t="s">
        <v>576</v>
      </c>
      <c r="C102" s="11" t="s">
        <v>582</v>
      </c>
      <c r="D102" s="11" t="s">
        <v>1638</v>
      </c>
      <c r="E102" s="11" t="s">
        <v>126</v>
      </c>
      <c r="F102" s="11" t="s">
        <v>205</v>
      </c>
      <c r="G102" s="11" t="n">
        <v>1</v>
      </c>
      <c r="H102" s="11" t="s">
        <v>415</v>
      </c>
      <c r="I102" s="11"/>
      <c r="J102" s="14"/>
      <c r="K102" s="14"/>
      <c r="L102" s="14"/>
      <c r="M102" s="14" t="s">
        <v>2011</v>
      </c>
      <c r="N102" s="14" t="s">
        <v>2012</v>
      </c>
      <c r="O102" s="14" t="s">
        <v>584</v>
      </c>
      <c r="P102" s="11" t="s">
        <v>2013</v>
      </c>
      <c r="Q102" s="11" t="s">
        <v>79</v>
      </c>
      <c r="R102" s="14"/>
      <c r="S102" s="11" t="s">
        <v>585</v>
      </c>
      <c r="T102" s="11"/>
      <c r="U102" s="11" t="s">
        <v>586</v>
      </c>
    </row>
    <row r="103" customFormat="false" ht="42" hidden="false" customHeight="true" outlineLevel="0" collapsed="false">
      <c r="A103" s="11" t="n">
        <v>102</v>
      </c>
      <c r="B103" s="11" t="s">
        <v>576</v>
      </c>
      <c r="C103" s="11" t="s">
        <v>587</v>
      </c>
      <c r="D103" s="11" t="s">
        <v>1638</v>
      </c>
      <c r="E103" s="11" t="s">
        <v>126</v>
      </c>
      <c r="F103" s="11" t="s">
        <v>205</v>
      </c>
      <c r="G103" s="11" t="n">
        <v>1</v>
      </c>
      <c r="H103" s="11" t="s">
        <v>415</v>
      </c>
      <c r="I103" s="11"/>
      <c r="J103" s="14"/>
      <c r="K103" s="14"/>
      <c r="L103" s="14"/>
      <c r="M103" s="14" t="s">
        <v>2014</v>
      </c>
      <c r="N103" s="14" t="s">
        <v>2015</v>
      </c>
      <c r="O103" s="14" t="s">
        <v>589</v>
      </c>
      <c r="P103" s="11" t="s">
        <v>2016</v>
      </c>
      <c r="Q103" s="11" t="s">
        <v>79</v>
      </c>
      <c r="R103" s="14"/>
      <c r="S103" s="11" t="s">
        <v>590</v>
      </c>
      <c r="T103" s="11"/>
      <c r="U103" s="11" t="s">
        <v>591</v>
      </c>
    </row>
    <row r="104" customFormat="false" ht="42" hidden="false" customHeight="true" outlineLevel="0" collapsed="false">
      <c r="A104" s="11" t="n">
        <v>103</v>
      </c>
      <c r="B104" s="11" t="s">
        <v>576</v>
      </c>
      <c r="C104" s="11" t="s">
        <v>592</v>
      </c>
      <c r="D104" s="11" t="s">
        <v>1638</v>
      </c>
      <c r="E104" s="11" t="s">
        <v>235</v>
      </c>
      <c r="F104" s="11" t="s">
        <v>205</v>
      </c>
      <c r="G104" s="11" t="n">
        <v>1</v>
      </c>
      <c r="H104" s="11" t="s">
        <v>415</v>
      </c>
      <c r="I104" s="11" t="s">
        <v>1651</v>
      </c>
      <c r="J104" s="14" t="s">
        <v>2017</v>
      </c>
      <c r="K104" s="14" t="s">
        <v>2018</v>
      </c>
      <c r="L104" s="14" t="s">
        <v>2019</v>
      </c>
      <c r="M104" s="14" t="s">
        <v>2020</v>
      </c>
      <c r="N104" s="14" t="s">
        <v>2021</v>
      </c>
      <c r="O104" s="14" t="s">
        <v>594</v>
      </c>
      <c r="P104" s="11" t="s">
        <v>2022</v>
      </c>
      <c r="Q104" s="11" t="s">
        <v>79</v>
      </c>
      <c r="R104" s="14" t="s">
        <v>2023</v>
      </c>
      <c r="S104" s="11" t="s">
        <v>595</v>
      </c>
      <c r="T104" s="11"/>
      <c r="U104" s="11" t="s">
        <v>596</v>
      </c>
    </row>
    <row r="105" customFormat="false" ht="42" hidden="false" customHeight="true" outlineLevel="0" collapsed="false">
      <c r="A105" s="11" t="n">
        <v>104</v>
      </c>
      <c r="B105" s="11" t="s">
        <v>597</v>
      </c>
      <c r="C105" s="11" t="s">
        <v>598</v>
      </c>
      <c r="D105" s="11" t="s">
        <v>1638</v>
      </c>
      <c r="E105" s="11" t="s">
        <v>126</v>
      </c>
      <c r="F105" s="11" t="s">
        <v>205</v>
      </c>
      <c r="G105" s="11" t="n">
        <v>1</v>
      </c>
      <c r="H105" s="11" t="s">
        <v>599</v>
      </c>
      <c r="I105" s="11"/>
      <c r="J105" s="14"/>
      <c r="K105" s="14"/>
      <c r="L105" s="14"/>
      <c r="M105" s="14" t="s">
        <v>2024</v>
      </c>
      <c r="N105" s="14" t="s">
        <v>2025</v>
      </c>
      <c r="O105" s="14" t="s">
        <v>602</v>
      </c>
      <c r="P105" s="11" t="s">
        <v>2026</v>
      </c>
      <c r="Q105" s="11" t="s">
        <v>79</v>
      </c>
      <c r="R105" s="14"/>
      <c r="S105" s="11" t="s">
        <v>603</v>
      </c>
      <c r="T105" s="11"/>
      <c r="U105" s="11" t="s">
        <v>604</v>
      </c>
    </row>
    <row r="106" customFormat="false" ht="42" hidden="false" customHeight="true" outlineLevel="0" collapsed="false">
      <c r="A106" s="11" t="n">
        <v>105</v>
      </c>
      <c r="B106" s="11" t="s">
        <v>597</v>
      </c>
      <c r="C106" s="11" t="s">
        <v>605</v>
      </c>
      <c r="D106" s="11" t="s">
        <v>1638</v>
      </c>
      <c r="E106" s="11" t="s">
        <v>126</v>
      </c>
      <c r="F106" s="11" t="s">
        <v>205</v>
      </c>
      <c r="G106" s="11" t="n">
        <v>1</v>
      </c>
      <c r="H106" s="11" t="s">
        <v>86</v>
      </c>
      <c r="I106" s="11"/>
      <c r="J106" s="14"/>
      <c r="K106" s="14"/>
      <c r="L106" s="14"/>
      <c r="M106" s="14" t="s">
        <v>2027</v>
      </c>
      <c r="N106" s="14" t="s">
        <v>2028</v>
      </c>
      <c r="O106" s="14" t="s">
        <v>607</v>
      </c>
      <c r="P106" s="11" t="s">
        <v>2029</v>
      </c>
      <c r="Q106" s="11" t="s">
        <v>79</v>
      </c>
      <c r="R106" s="14"/>
      <c r="S106" s="11" t="s">
        <v>608</v>
      </c>
      <c r="T106" s="11"/>
      <c r="U106" s="11" t="s">
        <v>609</v>
      </c>
    </row>
    <row r="107" customFormat="false" ht="42" hidden="false" customHeight="true" outlineLevel="0" collapsed="false">
      <c r="A107" s="11" t="n">
        <v>106</v>
      </c>
      <c r="B107" s="11" t="s">
        <v>597</v>
      </c>
      <c r="C107" s="11" t="s">
        <v>610</v>
      </c>
      <c r="D107" s="11" t="s">
        <v>1638</v>
      </c>
      <c r="E107" s="11" t="s">
        <v>126</v>
      </c>
      <c r="F107" s="11" t="s">
        <v>205</v>
      </c>
      <c r="G107" s="11" t="n">
        <v>1</v>
      </c>
      <c r="H107" s="11" t="s">
        <v>86</v>
      </c>
      <c r="I107" s="11"/>
      <c r="J107" s="14"/>
      <c r="K107" s="14"/>
      <c r="L107" s="14"/>
      <c r="M107" s="14" t="s">
        <v>2030</v>
      </c>
      <c r="N107" s="14" t="s">
        <v>2031</v>
      </c>
      <c r="O107" s="14" t="s">
        <v>612</v>
      </c>
      <c r="P107" s="11"/>
      <c r="Q107" s="11" t="s">
        <v>120</v>
      </c>
      <c r="R107" s="14" t="s">
        <v>2032</v>
      </c>
      <c r="S107" s="11" t="s">
        <v>613</v>
      </c>
      <c r="T107" s="11"/>
      <c r="U107" s="11" t="s">
        <v>614</v>
      </c>
    </row>
    <row r="108" customFormat="false" ht="42" hidden="false" customHeight="true" outlineLevel="0" collapsed="false">
      <c r="A108" s="11" t="n">
        <v>107</v>
      </c>
      <c r="B108" s="11" t="s">
        <v>597</v>
      </c>
      <c r="C108" s="11" t="s">
        <v>2033</v>
      </c>
      <c r="D108" s="11" t="s">
        <v>1638</v>
      </c>
      <c r="E108" s="11" t="s">
        <v>1091</v>
      </c>
      <c r="F108" s="11" t="s">
        <v>205</v>
      </c>
      <c r="G108" s="11" t="n">
        <v>0</v>
      </c>
      <c r="H108" s="11"/>
      <c r="I108" s="11"/>
      <c r="J108" s="14"/>
      <c r="K108" s="14"/>
      <c r="L108" s="14"/>
      <c r="M108" s="14" t="s">
        <v>2034</v>
      </c>
      <c r="N108" s="14" t="s">
        <v>2035</v>
      </c>
      <c r="O108" s="14" t="s">
        <v>2036</v>
      </c>
      <c r="P108" s="11"/>
      <c r="Q108" s="11" t="s">
        <v>79</v>
      </c>
      <c r="R108" s="14" t="s">
        <v>2037</v>
      </c>
      <c r="S108" s="11" t="s">
        <v>2038</v>
      </c>
      <c r="T108" s="11"/>
      <c r="U108" s="11" t="s">
        <v>2039</v>
      </c>
    </row>
    <row r="109" customFormat="false" ht="42" hidden="false" customHeight="true" outlineLevel="0" collapsed="false">
      <c r="A109" s="11" t="n">
        <v>108</v>
      </c>
      <c r="B109" s="11" t="s">
        <v>597</v>
      </c>
      <c r="C109" s="11" t="s">
        <v>615</v>
      </c>
      <c r="D109" s="11" t="s">
        <v>1638</v>
      </c>
      <c r="E109" s="11" t="s">
        <v>464</v>
      </c>
      <c r="F109" s="11" t="s">
        <v>205</v>
      </c>
      <c r="G109" s="11" t="n">
        <v>1</v>
      </c>
      <c r="H109" s="11" t="s">
        <v>86</v>
      </c>
      <c r="I109" s="11"/>
      <c r="J109" s="14"/>
      <c r="K109" s="14"/>
      <c r="L109" s="14"/>
      <c r="M109" s="14" t="s">
        <v>2040</v>
      </c>
      <c r="N109" s="14" t="s">
        <v>2041</v>
      </c>
      <c r="O109" s="14"/>
      <c r="P109" s="11" t="s">
        <v>2042</v>
      </c>
      <c r="Q109" s="11" t="s">
        <v>79</v>
      </c>
      <c r="R109" s="14"/>
      <c r="S109" s="11" t="s">
        <v>617</v>
      </c>
      <c r="T109" s="11"/>
      <c r="U109" s="11" t="s">
        <v>618</v>
      </c>
    </row>
    <row r="110" customFormat="false" ht="42" hidden="false" customHeight="true" outlineLevel="0" collapsed="false">
      <c r="A110" s="11" t="n">
        <v>109</v>
      </c>
      <c r="B110" s="11" t="s">
        <v>597</v>
      </c>
      <c r="C110" s="11" t="s">
        <v>619</v>
      </c>
      <c r="D110" s="11" t="s">
        <v>1638</v>
      </c>
      <c r="E110" s="11" t="s">
        <v>235</v>
      </c>
      <c r="F110" s="11" t="s">
        <v>205</v>
      </c>
      <c r="G110" s="11" t="n">
        <v>1</v>
      </c>
      <c r="H110" s="11" t="s">
        <v>86</v>
      </c>
      <c r="I110" s="11" t="s">
        <v>1651</v>
      </c>
      <c r="J110" s="14" t="s">
        <v>2043</v>
      </c>
      <c r="K110" s="14" t="s">
        <v>2044</v>
      </c>
      <c r="L110" s="14" t="s">
        <v>2045</v>
      </c>
      <c r="M110" s="14" t="s">
        <v>2046</v>
      </c>
      <c r="N110" s="14" t="s">
        <v>2047</v>
      </c>
      <c r="O110" s="14" t="s">
        <v>621</v>
      </c>
      <c r="P110" s="11" t="s">
        <v>2048</v>
      </c>
      <c r="Q110" s="11" t="s">
        <v>79</v>
      </c>
      <c r="R110" s="14" t="s">
        <v>2049</v>
      </c>
      <c r="S110" s="11" t="s">
        <v>622</v>
      </c>
      <c r="T110" s="11"/>
      <c r="U110" s="11" t="s">
        <v>623</v>
      </c>
    </row>
    <row r="111" customFormat="false" ht="42" hidden="false" customHeight="true" outlineLevel="0" collapsed="false">
      <c r="A111" s="11" t="n">
        <v>110</v>
      </c>
      <c r="B111" s="11" t="s">
        <v>624</v>
      </c>
      <c r="C111" s="11" t="s">
        <v>625</v>
      </c>
      <c r="D111" s="11" t="s">
        <v>1638</v>
      </c>
      <c r="E111" s="11" t="s">
        <v>126</v>
      </c>
      <c r="F111" s="11" t="s">
        <v>205</v>
      </c>
      <c r="G111" s="11" t="n">
        <v>1</v>
      </c>
      <c r="H111" s="11" t="s">
        <v>626</v>
      </c>
      <c r="I111" s="11"/>
      <c r="J111" s="14"/>
      <c r="K111" s="14"/>
      <c r="L111" s="14"/>
      <c r="M111" s="14" t="s">
        <v>2050</v>
      </c>
      <c r="N111" s="14" t="s">
        <v>2051</v>
      </c>
      <c r="O111" s="14" t="s">
        <v>628</v>
      </c>
      <c r="P111" s="11" t="s">
        <v>2052</v>
      </c>
      <c r="Q111" s="11" t="s">
        <v>79</v>
      </c>
      <c r="R111" s="14"/>
      <c r="S111" s="11" t="s">
        <v>629</v>
      </c>
      <c r="T111" s="11"/>
      <c r="U111" s="11" t="s">
        <v>630</v>
      </c>
    </row>
    <row r="112" customFormat="false" ht="42" hidden="false" customHeight="true" outlineLevel="0" collapsed="false">
      <c r="A112" s="11" t="n">
        <v>111</v>
      </c>
      <c r="B112" s="11" t="s">
        <v>624</v>
      </c>
      <c r="C112" s="11" t="s">
        <v>631</v>
      </c>
      <c r="D112" s="11" t="s">
        <v>1638</v>
      </c>
      <c r="E112" s="11" t="s">
        <v>126</v>
      </c>
      <c r="F112" s="11" t="s">
        <v>205</v>
      </c>
      <c r="G112" s="11" t="n">
        <v>1</v>
      </c>
      <c r="H112" s="11" t="s">
        <v>626</v>
      </c>
      <c r="I112" s="11"/>
      <c r="J112" s="14"/>
      <c r="K112" s="14"/>
      <c r="L112" s="14"/>
      <c r="M112" s="14" t="s">
        <v>2053</v>
      </c>
      <c r="N112" s="14" t="s">
        <v>2054</v>
      </c>
      <c r="O112" s="14" t="s">
        <v>633</v>
      </c>
      <c r="P112" s="11" t="s">
        <v>2055</v>
      </c>
      <c r="Q112" s="11" t="s">
        <v>79</v>
      </c>
      <c r="R112" s="14"/>
      <c r="S112" s="11" t="s">
        <v>634</v>
      </c>
      <c r="T112" s="11"/>
      <c r="U112" s="11" t="s">
        <v>635</v>
      </c>
    </row>
    <row r="113" customFormat="false" ht="42" hidden="false" customHeight="true" outlineLevel="0" collapsed="false">
      <c r="A113" s="11" t="n">
        <v>112</v>
      </c>
      <c r="B113" s="11" t="s">
        <v>636</v>
      </c>
      <c r="C113" s="11" t="s">
        <v>637</v>
      </c>
      <c r="D113" s="11" t="s">
        <v>1638</v>
      </c>
      <c r="E113" s="11" t="s">
        <v>126</v>
      </c>
      <c r="F113" s="11" t="s">
        <v>234</v>
      </c>
      <c r="G113" s="11" t="n">
        <v>1</v>
      </c>
      <c r="H113" s="11" t="s">
        <v>90</v>
      </c>
      <c r="I113" s="11"/>
      <c r="J113" s="14"/>
      <c r="K113" s="14"/>
      <c r="L113" s="14"/>
      <c r="M113" s="14" t="s">
        <v>2056</v>
      </c>
      <c r="N113" s="14" t="s">
        <v>2057</v>
      </c>
      <c r="O113" s="14" t="s">
        <v>639</v>
      </c>
      <c r="P113" s="11"/>
      <c r="Q113" s="11" t="s">
        <v>79</v>
      </c>
      <c r="R113" s="14" t="s">
        <v>2058</v>
      </c>
      <c r="S113" s="11" t="s">
        <v>640</v>
      </c>
      <c r="T113" s="11"/>
      <c r="U113" s="11" t="s">
        <v>641</v>
      </c>
    </row>
    <row r="114" customFormat="false" ht="42" hidden="false" customHeight="true" outlineLevel="0" collapsed="false">
      <c r="A114" s="11" t="n">
        <v>113</v>
      </c>
      <c r="B114" s="11" t="s">
        <v>642</v>
      </c>
      <c r="C114" s="11" t="s">
        <v>643</v>
      </c>
      <c r="D114" s="11" t="s">
        <v>1638</v>
      </c>
      <c r="E114" s="11" t="s">
        <v>126</v>
      </c>
      <c r="F114" s="11" t="s">
        <v>234</v>
      </c>
      <c r="G114" s="11" t="n">
        <v>1</v>
      </c>
      <c r="H114" s="11" t="s">
        <v>90</v>
      </c>
      <c r="I114" s="11"/>
      <c r="J114" s="14"/>
      <c r="K114" s="14"/>
      <c r="L114" s="14"/>
      <c r="M114" s="14" t="s">
        <v>2059</v>
      </c>
      <c r="N114" s="14" t="s">
        <v>2060</v>
      </c>
      <c r="O114" s="14" t="s">
        <v>645</v>
      </c>
      <c r="P114" s="11"/>
      <c r="Q114" s="11" t="s">
        <v>79</v>
      </c>
      <c r="R114" s="14" t="s">
        <v>2061</v>
      </c>
      <c r="S114" s="11" t="s">
        <v>646</v>
      </c>
      <c r="T114" s="11"/>
      <c r="U114" s="11" t="s">
        <v>647</v>
      </c>
    </row>
    <row r="115" customFormat="false" ht="42" hidden="false" customHeight="true" outlineLevel="0" collapsed="false">
      <c r="A115" s="11" t="n">
        <v>114</v>
      </c>
      <c r="B115" s="11" t="s">
        <v>642</v>
      </c>
      <c r="C115" s="11" t="s">
        <v>648</v>
      </c>
      <c r="D115" s="11" t="s">
        <v>1638</v>
      </c>
      <c r="E115" s="11" t="s">
        <v>126</v>
      </c>
      <c r="F115" s="11" t="s">
        <v>205</v>
      </c>
      <c r="G115" s="11" t="n">
        <v>1</v>
      </c>
      <c r="H115" s="11" t="s">
        <v>86</v>
      </c>
      <c r="I115" s="11"/>
      <c r="J115" s="14"/>
      <c r="K115" s="14"/>
      <c r="L115" s="14"/>
      <c r="M115" s="14" t="s">
        <v>2062</v>
      </c>
      <c r="N115" s="14" t="s">
        <v>2063</v>
      </c>
      <c r="O115" s="14" t="s">
        <v>650</v>
      </c>
      <c r="P115" s="11" t="s">
        <v>2064</v>
      </c>
      <c r="Q115" s="11" t="s">
        <v>79</v>
      </c>
      <c r="R115" s="14"/>
      <c r="S115" s="11" t="s">
        <v>651</v>
      </c>
      <c r="T115" s="11"/>
      <c r="U115" s="11" t="s">
        <v>652</v>
      </c>
    </row>
    <row r="116" customFormat="false" ht="42" hidden="false" customHeight="true" outlineLevel="0" collapsed="false">
      <c r="A116" s="11" t="n">
        <v>115</v>
      </c>
      <c r="B116" s="11" t="s">
        <v>642</v>
      </c>
      <c r="C116" s="11" t="s">
        <v>2065</v>
      </c>
      <c r="D116" s="11" t="s">
        <v>1638</v>
      </c>
      <c r="E116" s="11" t="s">
        <v>126</v>
      </c>
      <c r="F116" s="11" t="s">
        <v>1091</v>
      </c>
      <c r="G116" s="11" t="n">
        <v>0</v>
      </c>
      <c r="H116" s="11"/>
      <c r="I116" s="11"/>
      <c r="J116" s="14"/>
      <c r="K116" s="14"/>
      <c r="L116" s="14"/>
      <c r="M116" s="14" t="s">
        <v>2066</v>
      </c>
      <c r="N116" s="14" t="s">
        <v>2067</v>
      </c>
      <c r="O116" s="14" t="s">
        <v>2068</v>
      </c>
      <c r="P116" s="11"/>
      <c r="Q116" s="11" t="s">
        <v>120</v>
      </c>
      <c r="R116" s="14" t="s">
        <v>2069</v>
      </c>
      <c r="S116" s="11" t="s">
        <v>2070</v>
      </c>
      <c r="T116" s="11"/>
      <c r="U116" s="11" t="s">
        <v>2071</v>
      </c>
    </row>
    <row r="117" customFormat="false" ht="42" hidden="false" customHeight="true" outlineLevel="0" collapsed="false">
      <c r="A117" s="11" t="n">
        <v>116</v>
      </c>
      <c r="B117" s="11" t="s">
        <v>653</v>
      </c>
      <c r="C117" s="11" t="s">
        <v>654</v>
      </c>
      <c r="D117" s="11" t="s">
        <v>1638</v>
      </c>
      <c r="E117" s="11" t="s">
        <v>126</v>
      </c>
      <c r="F117" s="11" t="s">
        <v>205</v>
      </c>
      <c r="G117" s="11" t="n">
        <v>1</v>
      </c>
      <c r="H117" s="11" t="s">
        <v>655</v>
      </c>
      <c r="I117" s="11"/>
      <c r="J117" s="14"/>
      <c r="K117" s="14"/>
      <c r="L117" s="14"/>
      <c r="M117" s="14" t="s">
        <v>2072</v>
      </c>
      <c r="N117" s="14" t="s">
        <v>2073</v>
      </c>
      <c r="O117" s="14" t="s">
        <v>658</v>
      </c>
      <c r="P117" s="11" t="s">
        <v>2074</v>
      </c>
      <c r="Q117" s="11" t="s">
        <v>79</v>
      </c>
      <c r="R117" s="14"/>
      <c r="S117" s="11" t="s">
        <v>659</v>
      </c>
      <c r="T117" s="11"/>
      <c r="U117" s="11" t="s">
        <v>660</v>
      </c>
    </row>
    <row r="118" customFormat="false" ht="42" hidden="false" customHeight="true" outlineLevel="0" collapsed="false">
      <c r="A118" s="11" t="n">
        <v>117</v>
      </c>
      <c r="B118" s="11" t="s">
        <v>661</v>
      </c>
      <c r="C118" s="11" t="s">
        <v>662</v>
      </c>
      <c r="D118" s="11" t="s">
        <v>1638</v>
      </c>
      <c r="E118" s="11" t="s">
        <v>126</v>
      </c>
      <c r="F118" s="11" t="s">
        <v>205</v>
      </c>
      <c r="G118" s="11" t="n">
        <v>1</v>
      </c>
      <c r="H118" s="11" t="s">
        <v>86</v>
      </c>
      <c r="I118" s="11"/>
      <c r="J118" s="14"/>
      <c r="K118" s="14"/>
      <c r="L118" s="14"/>
      <c r="M118" s="14" t="s">
        <v>2075</v>
      </c>
      <c r="N118" s="14" t="s">
        <v>2076</v>
      </c>
      <c r="O118" s="14" t="s">
        <v>664</v>
      </c>
      <c r="P118" s="11" t="s">
        <v>2077</v>
      </c>
      <c r="Q118" s="11" t="s">
        <v>79</v>
      </c>
      <c r="R118" s="14"/>
      <c r="S118" s="11" t="s">
        <v>665</v>
      </c>
      <c r="T118" s="11"/>
      <c r="U118" s="11" t="s">
        <v>666</v>
      </c>
    </row>
    <row r="119" customFormat="false" ht="42" hidden="false" customHeight="true" outlineLevel="0" collapsed="false">
      <c r="A119" s="11" t="n">
        <v>118</v>
      </c>
      <c r="B119" s="11" t="s">
        <v>661</v>
      </c>
      <c r="C119" s="11" t="s">
        <v>667</v>
      </c>
      <c r="D119" s="11" t="s">
        <v>1638</v>
      </c>
      <c r="E119" s="11" t="s">
        <v>126</v>
      </c>
      <c r="F119" s="11" t="s">
        <v>205</v>
      </c>
      <c r="G119" s="11" t="n">
        <v>1</v>
      </c>
      <c r="H119" s="11" t="s">
        <v>668</v>
      </c>
      <c r="I119" s="11"/>
      <c r="J119" s="14"/>
      <c r="K119" s="14"/>
      <c r="L119" s="14"/>
      <c r="M119" s="14" t="s">
        <v>2078</v>
      </c>
      <c r="N119" s="14" t="s">
        <v>2079</v>
      </c>
      <c r="O119" s="14" t="s">
        <v>671</v>
      </c>
      <c r="P119" s="11" t="s">
        <v>2080</v>
      </c>
      <c r="Q119" s="11" t="s">
        <v>79</v>
      </c>
      <c r="R119" s="14"/>
      <c r="S119" s="11" t="s">
        <v>672</v>
      </c>
      <c r="T119" s="11"/>
      <c r="U119" s="11" t="s">
        <v>673</v>
      </c>
    </row>
    <row r="120" customFormat="false" ht="42" hidden="false" customHeight="true" outlineLevel="0" collapsed="false">
      <c r="A120" s="11" t="n">
        <v>119</v>
      </c>
      <c r="B120" s="11" t="s">
        <v>661</v>
      </c>
      <c r="C120" s="11" t="s">
        <v>674</v>
      </c>
      <c r="D120" s="11" t="s">
        <v>1638</v>
      </c>
      <c r="E120" s="11" t="s">
        <v>126</v>
      </c>
      <c r="F120" s="11" t="s">
        <v>205</v>
      </c>
      <c r="G120" s="11" t="n">
        <v>1</v>
      </c>
      <c r="H120" s="11" t="s">
        <v>675</v>
      </c>
      <c r="I120" s="11"/>
      <c r="J120" s="14"/>
      <c r="K120" s="14"/>
      <c r="L120" s="14"/>
      <c r="M120" s="14" t="s">
        <v>2081</v>
      </c>
      <c r="N120" s="14" t="s">
        <v>2082</v>
      </c>
      <c r="O120" s="14" t="s">
        <v>677</v>
      </c>
      <c r="P120" s="11" t="s">
        <v>2083</v>
      </c>
      <c r="Q120" s="11" t="s">
        <v>79</v>
      </c>
      <c r="R120" s="14"/>
      <c r="S120" s="11" t="s">
        <v>678</v>
      </c>
      <c r="T120" s="11"/>
      <c r="U120" s="11" t="s">
        <v>679</v>
      </c>
    </row>
    <row r="121" customFormat="false" ht="42" hidden="false" customHeight="true" outlineLevel="0" collapsed="false">
      <c r="A121" s="11" t="n">
        <v>120</v>
      </c>
      <c r="B121" s="11" t="s">
        <v>661</v>
      </c>
      <c r="C121" s="11" t="s">
        <v>680</v>
      </c>
      <c r="D121" s="11" t="s">
        <v>1638</v>
      </c>
      <c r="E121" s="11" t="s">
        <v>126</v>
      </c>
      <c r="F121" s="11" t="s">
        <v>205</v>
      </c>
      <c r="G121" s="11" t="n">
        <v>1</v>
      </c>
      <c r="H121" s="11" t="s">
        <v>675</v>
      </c>
      <c r="I121" s="11"/>
      <c r="J121" s="14"/>
      <c r="K121" s="14"/>
      <c r="L121" s="14"/>
      <c r="M121" s="14" t="s">
        <v>2084</v>
      </c>
      <c r="N121" s="14" t="s">
        <v>2085</v>
      </c>
      <c r="O121" s="14" t="s">
        <v>682</v>
      </c>
      <c r="P121" s="11" t="s">
        <v>2086</v>
      </c>
      <c r="Q121" s="11" t="s">
        <v>79</v>
      </c>
      <c r="R121" s="14"/>
      <c r="S121" s="11" t="s">
        <v>683</v>
      </c>
      <c r="T121" s="11"/>
      <c r="U121" s="11" t="s">
        <v>684</v>
      </c>
    </row>
    <row r="122" customFormat="false" ht="42" hidden="false" customHeight="true" outlineLevel="0" collapsed="false">
      <c r="A122" s="11" t="n">
        <v>121</v>
      </c>
      <c r="B122" s="11" t="s">
        <v>685</v>
      </c>
      <c r="C122" s="11" t="s">
        <v>686</v>
      </c>
      <c r="D122" s="11" t="s">
        <v>1638</v>
      </c>
      <c r="E122" s="11" t="s">
        <v>126</v>
      </c>
      <c r="F122" s="11" t="s">
        <v>205</v>
      </c>
      <c r="G122" s="11" t="n">
        <v>1</v>
      </c>
      <c r="H122" s="11" t="s">
        <v>687</v>
      </c>
      <c r="I122" s="11"/>
      <c r="J122" s="14"/>
      <c r="K122" s="14"/>
      <c r="L122" s="14"/>
      <c r="M122" s="14" t="s">
        <v>2087</v>
      </c>
      <c r="N122" s="14" t="s">
        <v>2088</v>
      </c>
      <c r="O122" s="14" t="s">
        <v>690</v>
      </c>
      <c r="P122" s="11" t="s">
        <v>2089</v>
      </c>
      <c r="Q122" s="11" t="s">
        <v>79</v>
      </c>
      <c r="R122" s="14"/>
      <c r="S122" s="11" t="s">
        <v>691</v>
      </c>
      <c r="T122" s="11"/>
      <c r="U122" s="11" t="s">
        <v>692</v>
      </c>
    </row>
    <row r="123" customFormat="false" ht="42" hidden="false" customHeight="true" outlineLevel="0" collapsed="false">
      <c r="A123" s="11" t="n">
        <v>122</v>
      </c>
      <c r="B123" s="11" t="s">
        <v>693</v>
      </c>
      <c r="C123" s="11" t="s">
        <v>694</v>
      </c>
      <c r="D123" s="11" t="s">
        <v>1638</v>
      </c>
      <c r="E123" s="11" t="s">
        <v>126</v>
      </c>
      <c r="F123" s="11" t="s">
        <v>205</v>
      </c>
      <c r="G123" s="11" t="n">
        <v>1</v>
      </c>
      <c r="H123" s="11" t="s">
        <v>695</v>
      </c>
      <c r="I123" s="11"/>
      <c r="J123" s="14"/>
      <c r="K123" s="14"/>
      <c r="L123" s="14"/>
      <c r="M123" s="14" t="s">
        <v>2090</v>
      </c>
      <c r="N123" s="14" t="s">
        <v>2091</v>
      </c>
      <c r="O123" s="14" t="s">
        <v>698</v>
      </c>
      <c r="P123" s="11" t="s">
        <v>2092</v>
      </c>
      <c r="Q123" s="11" t="s">
        <v>79</v>
      </c>
      <c r="R123" s="14"/>
      <c r="S123" s="11" t="s">
        <v>699</v>
      </c>
      <c r="T123" s="11"/>
      <c r="U123" s="11" t="s">
        <v>700</v>
      </c>
    </row>
    <row r="124" customFormat="false" ht="42" hidden="false" customHeight="true" outlineLevel="0" collapsed="false">
      <c r="A124" s="11" t="n">
        <v>123</v>
      </c>
      <c r="B124" s="11" t="s">
        <v>693</v>
      </c>
      <c r="C124" s="11" t="s">
        <v>701</v>
      </c>
      <c r="D124" s="11" t="s">
        <v>1638</v>
      </c>
      <c r="E124" s="11" t="s">
        <v>126</v>
      </c>
      <c r="F124" s="11" t="s">
        <v>205</v>
      </c>
      <c r="G124" s="11" t="n">
        <v>1</v>
      </c>
      <c r="H124" s="11" t="s">
        <v>695</v>
      </c>
      <c r="I124" s="11"/>
      <c r="J124" s="14"/>
      <c r="K124" s="14"/>
      <c r="L124" s="14"/>
      <c r="M124" s="14" t="s">
        <v>2093</v>
      </c>
      <c r="N124" s="14" t="s">
        <v>2094</v>
      </c>
      <c r="O124" s="14" t="s">
        <v>703</v>
      </c>
      <c r="P124" s="11" t="s">
        <v>2095</v>
      </c>
      <c r="Q124" s="11" t="s">
        <v>79</v>
      </c>
      <c r="R124" s="14" t="s">
        <v>2096</v>
      </c>
      <c r="S124" s="11" t="s">
        <v>704</v>
      </c>
      <c r="T124" s="11"/>
      <c r="U124" s="11" t="s">
        <v>705</v>
      </c>
    </row>
    <row r="125" customFormat="false" ht="42" hidden="false" customHeight="true" outlineLevel="0" collapsed="false">
      <c r="A125" s="11" t="n">
        <v>124</v>
      </c>
      <c r="B125" s="11" t="s">
        <v>693</v>
      </c>
      <c r="C125" s="11" t="s">
        <v>706</v>
      </c>
      <c r="D125" s="11" t="s">
        <v>1638</v>
      </c>
      <c r="E125" s="11" t="s">
        <v>126</v>
      </c>
      <c r="F125" s="11" t="s">
        <v>205</v>
      </c>
      <c r="G125" s="11" t="n">
        <v>1</v>
      </c>
      <c r="H125" s="11" t="s">
        <v>707</v>
      </c>
      <c r="I125" s="11"/>
      <c r="J125" s="14"/>
      <c r="K125" s="14"/>
      <c r="L125" s="14"/>
      <c r="M125" s="14" t="s">
        <v>2097</v>
      </c>
      <c r="N125" s="14" t="s">
        <v>2098</v>
      </c>
      <c r="O125" s="14" t="s">
        <v>710</v>
      </c>
      <c r="P125" s="11" t="s">
        <v>2099</v>
      </c>
      <c r="Q125" s="11" t="s">
        <v>79</v>
      </c>
      <c r="R125" s="14" t="s">
        <v>2100</v>
      </c>
      <c r="S125" s="11" t="s">
        <v>711</v>
      </c>
      <c r="T125" s="11"/>
      <c r="U125" s="11" t="s">
        <v>712</v>
      </c>
    </row>
    <row r="126" customFormat="false" ht="42" hidden="false" customHeight="true" outlineLevel="0" collapsed="false">
      <c r="A126" s="11" t="n">
        <v>125</v>
      </c>
      <c r="B126" s="11" t="s">
        <v>693</v>
      </c>
      <c r="C126" s="11" t="s">
        <v>713</v>
      </c>
      <c r="D126" s="11" t="s">
        <v>1638</v>
      </c>
      <c r="E126" s="11" t="s">
        <v>126</v>
      </c>
      <c r="F126" s="11" t="s">
        <v>205</v>
      </c>
      <c r="G126" s="11" t="n">
        <v>1</v>
      </c>
      <c r="H126" s="11" t="s">
        <v>707</v>
      </c>
      <c r="I126" s="11"/>
      <c r="J126" s="14"/>
      <c r="K126" s="14"/>
      <c r="L126" s="14"/>
      <c r="M126" s="14" t="s">
        <v>2101</v>
      </c>
      <c r="N126" s="14" t="s">
        <v>2102</v>
      </c>
      <c r="O126" s="14" t="s">
        <v>715</v>
      </c>
      <c r="P126" s="11" t="s">
        <v>2103</v>
      </c>
      <c r="Q126" s="11" t="s">
        <v>79</v>
      </c>
      <c r="R126" s="14" t="s">
        <v>2104</v>
      </c>
      <c r="S126" s="11" t="s">
        <v>716</v>
      </c>
      <c r="T126" s="11"/>
      <c r="U126" s="11" t="s">
        <v>717</v>
      </c>
    </row>
    <row r="127" customFormat="false" ht="42" hidden="false" customHeight="true" outlineLevel="0" collapsed="false">
      <c r="A127" s="11" t="n">
        <v>126</v>
      </c>
      <c r="B127" s="11" t="s">
        <v>693</v>
      </c>
      <c r="C127" s="11" t="s">
        <v>718</v>
      </c>
      <c r="D127" s="11" t="s">
        <v>1638</v>
      </c>
      <c r="E127" s="11" t="s">
        <v>126</v>
      </c>
      <c r="F127" s="11" t="s">
        <v>205</v>
      </c>
      <c r="G127" s="11" t="n">
        <v>1</v>
      </c>
      <c r="H127" s="11" t="s">
        <v>707</v>
      </c>
      <c r="I127" s="11"/>
      <c r="J127" s="14"/>
      <c r="K127" s="14"/>
      <c r="L127" s="14"/>
      <c r="M127" s="14" t="s">
        <v>2105</v>
      </c>
      <c r="N127" s="14" t="s">
        <v>2106</v>
      </c>
      <c r="O127" s="14" t="s">
        <v>720</v>
      </c>
      <c r="P127" s="11" t="s">
        <v>2107</v>
      </c>
      <c r="Q127" s="11" t="s">
        <v>79</v>
      </c>
      <c r="R127" s="14" t="s">
        <v>2108</v>
      </c>
      <c r="S127" s="11" t="s">
        <v>721</v>
      </c>
      <c r="T127" s="11"/>
      <c r="U127" s="11" t="s">
        <v>722</v>
      </c>
    </row>
    <row r="128" customFormat="false" ht="42" hidden="false" customHeight="true" outlineLevel="0" collapsed="false">
      <c r="A128" s="11" t="n">
        <v>127</v>
      </c>
      <c r="B128" s="11" t="s">
        <v>693</v>
      </c>
      <c r="C128" s="11" t="s">
        <v>2109</v>
      </c>
      <c r="D128" s="11" t="s">
        <v>1638</v>
      </c>
      <c r="E128" s="11" t="s">
        <v>235</v>
      </c>
      <c r="F128" s="11" t="s">
        <v>205</v>
      </c>
      <c r="G128" s="11" t="n">
        <v>0</v>
      </c>
      <c r="H128" s="11"/>
      <c r="I128" s="11" t="s">
        <v>1651</v>
      </c>
      <c r="J128" s="14" t="s">
        <v>2110</v>
      </c>
      <c r="K128" s="14" t="s">
        <v>2111</v>
      </c>
      <c r="L128" s="14" t="s">
        <v>2112</v>
      </c>
      <c r="M128" s="14" t="s">
        <v>2113</v>
      </c>
      <c r="N128" s="14" t="s">
        <v>2114</v>
      </c>
      <c r="O128" s="14" t="s">
        <v>2115</v>
      </c>
      <c r="P128" s="11" t="s">
        <v>2116</v>
      </c>
      <c r="Q128" s="11" t="s">
        <v>79</v>
      </c>
      <c r="R128" s="14" t="s">
        <v>2117</v>
      </c>
      <c r="S128" s="11" t="s">
        <v>2118</v>
      </c>
      <c r="T128" s="11"/>
      <c r="U128" s="11" t="s">
        <v>2119</v>
      </c>
    </row>
    <row r="129" customFormat="false" ht="42" hidden="false" customHeight="true" outlineLevel="0" collapsed="false">
      <c r="A129" s="11" t="n">
        <v>128</v>
      </c>
      <c r="B129" s="11" t="s">
        <v>723</v>
      </c>
      <c r="C129" s="11" t="s">
        <v>724</v>
      </c>
      <c r="D129" s="11" t="s">
        <v>1638</v>
      </c>
      <c r="E129" s="11" t="s">
        <v>126</v>
      </c>
      <c r="F129" s="11" t="s">
        <v>234</v>
      </c>
      <c r="G129" s="11" t="n">
        <v>1</v>
      </c>
      <c r="H129" s="11" t="s">
        <v>86</v>
      </c>
      <c r="I129" s="11"/>
      <c r="J129" s="14"/>
      <c r="K129" s="14"/>
      <c r="L129" s="14"/>
      <c r="M129" s="14" t="s">
        <v>2120</v>
      </c>
      <c r="N129" s="14" t="s">
        <v>2121</v>
      </c>
      <c r="O129" s="14" t="s">
        <v>726</v>
      </c>
      <c r="P129" s="11"/>
      <c r="Q129" s="11" t="s">
        <v>79</v>
      </c>
      <c r="R129" s="14" t="s">
        <v>2122</v>
      </c>
      <c r="S129" s="11" t="s">
        <v>727</v>
      </c>
      <c r="T129" s="11"/>
      <c r="U129" s="11" t="s">
        <v>728</v>
      </c>
    </row>
    <row r="130" customFormat="false" ht="42" hidden="false" customHeight="true" outlineLevel="0" collapsed="false">
      <c r="A130" s="11" t="n">
        <v>129</v>
      </c>
      <c r="B130" s="11" t="s">
        <v>723</v>
      </c>
      <c r="C130" s="11" t="s">
        <v>729</v>
      </c>
      <c r="D130" s="11" t="s">
        <v>1638</v>
      </c>
      <c r="E130" s="11" t="s">
        <v>126</v>
      </c>
      <c r="F130" s="11" t="s">
        <v>234</v>
      </c>
      <c r="G130" s="11" t="n">
        <v>1</v>
      </c>
      <c r="H130" s="11" t="s">
        <v>86</v>
      </c>
      <c r="I130" s="11"/>
      <c r="J130" s="14"/>
      <c r="K130" s="14"/>
      <c r="L130" s="14"/>
      <c r="M130" s="14" t="s">
        <v>2123</v>
      </c>
      <c r="N130" s="14" t="s">
        <v>2124</v>
      </c>
      <c r="O130" s="14" t="s">
        <v>731</v>
      </c>
      <c r="P130" s="11"/>
      <c r="Q130" s="11" t="s">
        <v>79</v>
      </c>
      <c r="R130" s="14" t="s">
        <v>2125</v>
      </c>
      <c r="S130" s="11" t="s">
        <v>732</v>
      </c>
      <c r="T130" s="11"/>
      <c r="U130" s="11" t="s">
        <v>733</v>
      </c>
    </row>
    <row r="131" customFormat="false" ht="42" hidden="false" customHeight="true" outlineLevel="0" collapsed="false">
      <c r="A131" s="11" t="n">
        <v>130</v>
      </c>
      <c r="B131" s="11" t="s">
        <v>723</v>
      </c>
      <c r="C131" s="11" t="s">
        <v>734</v>
      </c>
      <c r="D131" s="11" t="s">
        <v>1638</v>
      </c>
      <c r="E131" s="11" t="s">
        <v>126</v>
      </c>
      <c r="F131" s="11" t="s">
        <v>205</v>
      </c>
      <c r="G131" s="11" t="n">
        <v>1</v>
      </c>
      <c r="H131" s="11" t="s">
        <v>86</v>
      </c>
      <c r="I131" s="11"/>
      <c r="J131" s="14"/>
      <c r="K131" s="14"/>
      <c r="L131" s="14"/>
      <c r="M131" s="14" t="s">
        <v>2126</v>
      </c>
      <c r="N131" s="14" t="s">
        <v>2127</v>
      </c>
      <c r="O131" s="14"/>
      <c r="P131" s="11" t="s">
        <v>2128</v>
      </c>
      <c r="Q131" s="11" t="s">
        <v>79</v>
      </c>
      <c r="R131" s="14" t="s">
        <v>2129</v>
      </c>
      <c r="S131" s="11" t="s">
        <v>736</v>
      </c>
      <c r="T131" s="11"/>
      <c r="U131" s="11" t="s">
        <v>737</v>
      </c>
    </row>
    <row r="132" customFormat="false" ht="42" hidden="false" customHeight="true" outlineLevel="0" collapsed="false">
      <c r="A132" s="11" t="n">
        <v>131</v>
      </c>
      <c r="B132" s="11" t="s">
        <v>738</v>
      </c>
      <c r="C132" s="11" t="s">
        <v>739</v>
      </c>
      <c r="D132" s="11" t="s">
        <v>1638</v>
      </c>
      <c r="E132" s="11" t="s">
        <v>126</v>
      </c>
      <c r="F132" s="11" t="s">
        <v>234</v>
      </c>
      <c r="G132" s="11" t="n">
        <v>1</v>
      </c>
      <c r="H132" s="11" t="s">
        <v>86</v>
      </c>
      <c r="I132" s="11"/>
      <c r="J132" s="14"/>
      <c r="K132" s="14"/>
      <c r="L132" s="14"/>
      <c r="M132" s="14" t="s">
        <v>2130</v>
      </c>
      <c r="N132" s="14" t="s">
        <v>2131</v>
      </c>
      <c r="O132" s="14" t="s">
        <v>741</v>
      </c>
      <c r="P132" s="11"/>
      <c r="Q132" s="11" t="s">
        <v>79</v>
      </c>
      <c r="R132" s="14" t="s">
        <v>2132</v>
      </c>
      <c r="S132" s="11" t="s">
        <v>742</v>
      </c>
      <c r="T132" s="11"/>
      <c r="U132" s="11" t="s">
        <v>743</v>
      </c>
    </row>
    <row r="133" customFormat="false" ht="42" hidden="false" customHeight="true" outlineLevel="0" collapsed="false">
      <c r="A133" s="11" t="n">
        <v>132</v>
      </c>
      <c r="B133" s="11" t="s">
        <v>738</v>
      </c>
      <c r="C133" s="11" t="s">
        <v>744</v>
      </c>
      <c r="D133" s="11" t="s">
        <v>1638</v>
      </c>
      <c r="E133" s="11" t="s">
        <v>235</v>
      </c>
      <c r="F133" s="11" t="s">
        <v>234</v>
      </c>
      <c r="G133" s="11" t="n">
        <v>1</v>
      </c>
      <c r="H133" s="11" t="s">
        <v>86</v>
      </c>
      <c r="I133" s="11" t="s">
        <v>2133</v>
      </c>
      <c r="J133" s="14" t="s">
        <v>2134</v>
      </c>
      <c r="K133" s="14" t="s">
        <v>2135</v>
      </c>
      <c r="L133" s="14" t="s">
        <v>2136</v>
      </c>
      <c r="M133" s="14" t="s">
        <v>2137</v>
      </c>
      <c r="N133" s="14" t="s">
        <v>2138</v>
      </c>
      <c r="O133" s="14" t="s">
        <v>746</v>
      </c>
      <c r="P133" s="11"/>
      <c r="Q133" s="11" t="s">
        <v>79</v>
      </c>
      <c r="R133" s="14" t="s">
        <v>2139</v>
      </c>
      <c r="S133" s="11" t="s">
        <v>747</v>
      </c>
      <c r="T133" s="11"/>
      <c r="U133" s="11" t="s">
        <v>748</v>
      </c>
    </row>
    <row r="134" customFormat="false" ht="42" hidden="false" customHeight="true" outlineLevel="0" collapsed="false">
      <c r="A134" s="11" t="n">
        <v>133</v>
      </c>
      <c r="B134" s="11" t="s">
        <v>738</v>
      </c>
      <c r="C134" s="11" t="s">
        <v>749</v>
      </c>
      <c r="D134" s="11" t="s">
        <v>1638</v>
      </c>
      <c r="E134" s="11" t="s">
        <v>235</v>
      </c>
      <c r="F134" s="11" t="s">
        <v>205</v>
      </c>
      <c r="G134" s="11" t="n">
        <v>1</v>
      </c>
      <c r="H134" s="11" t="s">
        <v>707</v>
      </c>
      <c r="I134" s="11" t="s">
        <v>1651</v>
      </c>
      <c r="J134" s="14" t="s">
        <v>2140</v>
      </c>
      <c r="K134" s="14" t="s">
        <v>2141</v>
      </c>
      <c r="L134" s="14" t="s">
        <v>2142</v>
      </c>
      <c r="M134" s="14" t="s">
        <v>2143</v>
      </c>
      <c r="N134" s="14" t="s">
        <v>2144</v>
      </c>
      <c r="O134" s="14" t="s">
        <v>751</v>
      </c>
      <c r="P134" s="11" t="s">
        <v>2145</v>
      </c>
      <c r="Q134" s="11" t="s">
        <v>120</v>
      </c>
      <c r="R134" s="14" t="s">
        <v>2146</v>
      </c>
      <c r="S134" s="11" t="s">
        <v>752</v>
      </c>
      <c r="T134" s="11"/>
      <c r="U134" s="11" t="s">
        <v>753</v>
      </c>
    </row>
    <row r="135" customFormat="false" ht="42" hidden="false" customHeight="true" outlineLevel="0" collapsed="false">
      <c r="A135" s="11" t="n">
        <v>134</v>
      </c>
      <c r="B135" s="11" t="s">
        <v>754</v>
      </c>
      <c r="C135" s="11" t="s">
        <v>755</v>
      </c>
      <c r="D135" s="11" t="s">
        <v>1638</v>
      </c>
      <c r="E135" s="11" t="s">
        <v>126</v>
      </c>
      <c r="F135" s="11" t="s">
        <v>205</v>
      </c>
      <c r="G135" s="11" t="n">
        <v>1</v>
      </c>
      <c r="H135" s="11" t="s">
        <v>428</v>
      </c>
      <c r="I135" s="11"/>
      <c r="J135" s="14"/>
      <c r="K135" s="14"/>
      <c r="L135" s="14"/>
      <c r="M135" s="14" t="s">
        <v>2147</v>
      </c>
      <c r="N135" s="14" t="s">
        <v>2148</v>
      </c>
      <c r="O135" s="14" t="s">
        <v>757</v>
      </c>
      <c r="P135" s="11" t="s">
        <v>2149</v>
      </c>
      <c r="Q135" s="11" t="s">
        <v>79</v>
      </c>
      <c r="R135" s="14" t="s">
        <v>2108</v>
      </c>
      <c r="S135" s="11" t="s">
        <v>758</v>
      </c>
      <c r="T135" s="11"/>
      <c r="U135" s="11" t="s">
        <v>759</v>
      </c>
    </row>
    <row r="136" customFormat="false" ht="42" hidden="false" customHeight="true" outlineLevel="0" collapsed="false">
      <c r="A136" s="11" t="n">
        <v>135</v>
      </c>
      <c r="B136" s="11" t="s">
        <v>754</v>
      </c>
      <c r="C136" s="11" t="s">
        <v>760</v>
      </c>
      <c r="D136" s="11" t="s">
        <v>1638</v>
      </c>
      <c r="E136" s="11" t="s">
        <v>126</v>
      </c>
      <c r="F136" s="11" t="s">
        <v>234</v>
      </c>
      <c r="G136" s="11" t="n">
        <v>1</v>
      </c>
      <c r="H136" s="11" t="s">
        <v>86</v>
      </c>
      <c r="I136" s="11"/>
      <c r="J136" s="14"/>
      <c r="K136" s="14"/>
      <c r="L136" s="14"/>
      <c r="M136" s="14" t="s">
        <v>2150</v>
      </c>
      <c r="N136" s="14" t="s">
        <v>2151</v>
      </c>
      <c r="O136" s="14" t="s">
        <v>762</v>
      </c>
      <c r="P136" s="11"/>
      <c r="Q136" s="11" t="s">
        <v>79</v>
      </c>
      <c r="R136" s="14" t="s">
        <v>2152</v>
      </c>
      <c r="S136" s="11" t="s">
        <v>763</v>
      </c>
      <c r="T136" s="11"/>
      <c r="U136" s="11" t="s">
        <v>764</v>
      </c>
    </row>
    <row r="137" customFormat="false" ht="42" hidden="false" customHeight="true" outlineLevel="0" collapsed="false">
      <c r="A137" s="11" t="n">
        <v>136</v>
      </c>
      <c r="B137" s="11" t="s">
        <v>754</v>
      </c>
      <c r="C137" s="11" t="s">
        <v>2153</v>
      </c>
      <c r="D137" s="11" t="s">
        <v>1638</v>
      </c>
      <c r="E137" s="11" t="s">
        <v>235</v>
      </c>
      <c r="F137" s="11" t="s">
        <v>937</v>
      </c>
      <c r="G137" s="11" t="n">
        <v>0</v>
      </c>
      <c r="H137" s="11"/>
      <c r="I137" s="11" t="s">
        <v>1651</v>
      </c>
      <c r="J137" s="14" t="s">
        <v>2154</v>
      </c>
      <c r="K137" s="14" t="s">
        <v>2155</v>
      </c>
      <c r="L137" s="14" t="s">
        <v>2156</v>
      </c>
      <c r="M137" s="14" t="s">
        <v>2157</v>
      </c>
      <c r="N137" s="14" t="s">
        <v>2158</v>
      </c>
      <c r="O137" s="14" t="s">
        <v>2159</v>
      </c>
      <c r="P137" s="11"/>
      <c r="Q137" s="11" t="s">
        <v>79</v>
      </c>
      <c r="R137" s="14" t="s">
        <v>2160</v>
      </c>
      <c r="S137" s="11" t="s">
        <v>2161</v>
      </c>
      <c r="T137" s="11"/>
      <c r="U137" s="11" t="s">
        <v>2162</v>
      </c>
    </row>
    <row r="138" customFormat="false" ht="42" hidden="false" customHeight="true" outlineLevel="0" collapsed="false">
      <c r="A138" s="11" t="n">
        <v>137</v>
      </c>
      <c r="B138" s="11" t="s">
        <v>765</v>
      </c>
      <c r="C138" s="11" t="s">
        <v>766</v>
      </c>
      <c r="D138" s="11" t="s">
        <v>1638</v>
      </c>
      <c r="E138" s="11" t="s">
        <v>126</v>
      </c>
      <c r="F138" s="11" t="s">
        <v>234</v>
      </c>
      <c r="G138" s="11" t="n">
        <v>1</v>
      </c>
      <c r="H138" s="11" t="s">
        <v>86</v>
      </c>
      <c r="I138" s="11"/>
      <c r="J138" s="14"/>
      <c r="K138" s="14"/>
      <c r="L138" s="14"/>
      <c r="M138" s="14" t="s">
        <v>2163</v>
      </c>
      <c r="N138" s="14" t="s">
        <v>2164</v>
      </c>
      <c r="O138" s="14" t="s">
        <v>768</v>
      </c>
      <c r="P138" s="11"/>
      <c r="Q138" s="11" t="s">
        <v>79</v>
      </c>
      <c r="R138" s="14" t="s">
        <v>2165</v>
      </c>
      <c r="S138" s="11" t="s">
        <v>769</v>
      </c>
      <c r="T138" s="11"/>
      <c r="U138" s="11" t="s">
        <v>770</v>
      </c>
    </row>
    <row r="139" customFormat="false" ht="42" hidden="false" customHeight="true" outlineLevel="0" collapsed="false">
      <c r="A139" s="11" t="n">
        <v>138</v>
      </c>
      <c r="B139" s="11" t="s">
        <v>765</v>
      </c>
      <c r="C139" s="11" t="s">
        <v>771</v>
      </c>
      <c r="D139" s="11" t="s">
        <v>1638</v>
      </c>
      <c r="E139" s="11" t="s">
        <v>126</v>
      </c>
      <c r="F139" s="11" t="s">
        <v>234</v>
      </c>
      <c r="G139" s="11" t="n">
        <v>1</v>
      </c>
      <c r="H139" s="11" t="s">
        <v>86</v>
      </c>
      <c r="I139" s="11"/>
      <c r="J139" s="14"/>
      <c r="K139" s="14"/>
      <c r="L139" s="14"/>
      <c r="M139" s="14" t="s">
        <v>2166</v>
      </c>
      <c r="N139" s="14" t="s">
        <v>2167</v>
      </c>
      <c r="O139" s="14" t="s">
        <v>773</v>
      </c>
      <c r="P139" s="11"/>
      <c r="Q139" s="11" t="s">
        <v>79</v>
      </c>
      <c r="R139" s="14" t="s">
        <v>2168</v>
      </c>
      <c r="S139" s="11" t="s">
        <v>774</v>
      </c>
      <c r="T139" s="11"/>
      <c r="U139" s="11" t="s">
        <v>775</v>
      </c>
    </row>
    <row r="140" customFormat="false" ht="42" hidden="false" customHeight="true" outlineLevel="0" collapsed="false">
      <c r="A140" s="11" t="n">
        <v>139</v>
      </c>
      <c r="B140" s="11" t="s">
        <v>765</v>
      </c>
      <c r="C140" s="11" t="s">
        <v>776</v>
      </c>
      <c r="D140" s="11" t="s">
        <v>1638</v>
      </c>
      <c r="E140" s="11" t="s">
        <v>126</v>
      </c>
      <c r="F140" s="11" t="s">
        <v>234</v>
      </c>
      <c r="G140" s="11" t="n">
        <v>1</v>
      </c>
      <c r="H140" s="11" t="s">
        <v>86</v>
      </c>
      <c r="I140" s="11"/>
      <c r="J140" s="14"/>
      <c r="K140" s="14"/>
      <c r="L140" s="14"/>
      <c r="M140" s="14" t="s">
        <v>2169</v>
      </c>
      <c r="N140" s="14" t="s">
        <v>2170</v>
      </c>
      <c r="O140" s="14" t="s">
        <v>778</v>
      </c>
      <c r="P140" s="11"/>
      <c r="Q140" s="11" t="s">
        <v>120</v>
      </c>
      <c r="R140" s="14" t="s">
        <v>2171</v>
      </c>
      <c r="S140" s="11" t="s">
        <v>779</v>
      </c>
      <c r="T140" s="11"/>
      <c r="U140" s="11" t="s">
        <v>780</v>
      </c>
    </row>
    <row r="141" customFormat="false" ht="42" hidden="false" customHeight="true" outlineLevel="0" collapsed="false">
      <c r="A141" s="11" t="n">
        <v>140</v>
      </c>
      <c r="B141" s="11" t="s">
        <v>781</v>
      </c>
      <c r="C141" s="11" t="s">
        <v>782</v>
      </c>
      <c r="D141" s="11" t="s">
        <v>1638</v>
      </c>
      <c r="E141" s="11" t="s">
        <v>126</v>
      </c>
      <c r="F141" s="11" t="s">
        <v>234</v>
      </c>
      <c r="G141" s="11" t="n">
        <v>1</v>
      </c>
      <c r="H141" s="11" t="s">
        <v>783</v>
      </c>
      <c r="I141" s="11"/>
      <c r="J141" s="14"/>
      <c r="K141" s="14"/>
      <c r="L141" s="14"/>
      <c r="M141" s="14" t="s">
        <v>2172</v>
      </c>
      <c r="N141" s="14" t="s">
        <v>2173</v>
      </c>
      <c r="O141" s="14" t="s">
        <v>786</v>
      </c>
      <c r="P141" s="11"/>
      <c r="Q141" s="11" t="s">
        <v>79</v>
      </c>
      <c r="R141" s="14" t="s">
        <v>2174</v>
      </c>
      <c r="S141" s="11" t="s">
        <v>787</v>
      </c>
      <c r="T141" s="11"/>
      <c r="U141" s="11" t="s">
        <v>788</v>
      </c>
    </row>
    <row r="142" customFormat="false" ht="42" hidden="false" customHeight="true" outlineLevel="0" collapsed="false">
      <c r="A142" s="11" t="n">
        <v>141</v>
      </c>
      <c r="B142" s="11" t="s">
        <v>781</v>
      </c>
      <c r="C142" s="11" t="s">
        <v>789</v>
      </c>
      <c r="D142" s="11" t="s">
        <v>1638</v>
      </c>
      <c r="E142" s="11" t="s">
        <v>126</v>
      </c>
      <c r="F142" s="11" t="s">
        <v>205</v>
      </c>
      <c r="G142" s="11" t="n">
        <v>1</v>
      </c>
      <c r="H142" s="11" t="s">
        <v>790</v>
      </c>
      <c r="I142" s="11"/>
      <c r="J142" s="14"/>
      <c r="K142" s="14"/>
      <c r="L142" s="14"/>
      <c r="M142" s="14" t="s">
        <v>2175</v>
      </c>
      <c r="N142" s="14" t="s">
        <v>2176</v>
      </c>
      <c r="O142" s="14" t="s">
        <v>793</v>
      </c>
      <c r="P142" s="11"/>
      <c r="Q142" s="11" t="s">
        <v>79</v>
      </c>
      <c r="R142" s="14" t="s">
        <v>2177</v>
      </c>
      <c r="S142" s="11" t="s">
        <v>794</v>
      </c>
      <c r="T142" s="11"/>
      <c r="U142" s="11" t="s">
        <v>795</v>
      </c>
    </row>
    <row r="143" customFormat="false" ht="42" hidden="false" customHeight="true" outlineLevel="0" collapsed="false">
      <c r="A143" s="11" t="n">
        <v>142</v>
      </c>
      <c r="B143" s="11" t="s">
        <v>781</v>
      </c>
      <c r="C143" s="11" t="s">
        <v>796</v>
      </c>
      <c r="D143" s="11" t="s">
        <v>1638</v>
      </c>
      <c r="E143" s="11" t="s">
        <v>126</v>
      </c>
      <c r="F143" s="11" t="s">
        <v>205</v>
      </c>
      <c r="G143" s="11" t="n">
        <v>1</v>
      </c>
      <c r="H143" s="11" t="s">
        <v>790</v>
      </c>
      <c r="I143" s="11"/>
      <c r="J143" s="14"/>
      <c r="K143" s="14"/>
      <c r="L143" s="14"/>
      <c r="M143" s="14" t="s">
        <v>2178</v>
      </c>
      <c r="N143" s="14" t="s">
        <v>2176</v>
      </c>
      <c r="O143" s="14" t="s">
        <v>798</v>
      </c>
      <c r="P143" s="11"/>
      <c r="Q143" s="11" t="s">
        <v>120</v>
      </c>
      <c r="R143" s="14" t="s">
        <v>2179</v>
      </c>
      <c r="S143" s="11" t="s">
        <v>799</v>
      </c>
      <c r="T143" s="11" t="s">
        <v>794</v>
      </c>
      <c r="U143" s="11" t="s">
        <v>800</v>
      </c>
    </row>
    <row r="144" customFormat="false" ht="42" hidden="false" customHeight="true" outlineLevel="0" collapsed="false">
      <c r="A144" s="11" t="n">
        <v>143</v>
      </c>
      <c r="B144" s="11" t="s">
        <v>781</v>
      </c>
      <c r="C144" s="11" t="s">
        <v>801</v>
      </c>
      <c r="D144" s="11" t="s">
        <v>1638</v>
      </c>
      <c r="E144" s="11" t="s">
        <v>126</v>
      </c>
      <c r="F144" s="11" t="s">
        <v>234</v>
      </c>
      <c r="G144" s="11" t="n">
        <v>1</v>
      </c>
      <c r="H144" s="11" t="s">
        <v>86</v>
      </c>
      <c r="I144" s="11"/>
      <c r="J144" s="14"/>
      <c r="K144" s="14"/>
      <c r="L144" s="14"/>
      <c r="M144" s="14" t="s">
        <v>2180</v>
      </c>
      <c r="N144" s="14" t="s">
        <v>2181</v>
      </c>
      <c r="O144" s="14" t="s">
        <v>803</v>
      </c>
      <c r="P144" s="11"/>
      <c r="Q144" s="11" t="s">
        <v>79</v>
      </c>
      <c r="R144" s="14" t="s">
        <v>2182</v>
      </c>
      <c r="S144" s="11" t="s">
        <v>804</v>
      </c>
      <c r="T144" s="11"/>
      <c r="U144" s="11" t="s">
        <v>805</v>
      </c>
    </row>
    <row r="145" customFormat="false" ht="42" hidden="false" customHeight="true" outlineLevel="0" collapsed="false">
      <c r="A145" s="11" t="n">
        <v>144</v>
      </c>
      <c r="B145" s="11" t="s">
        <v>781</v>
      </c>
      <c r="C145" s="11" t="s">
        <v>806</v>
      </c>
      <c r="D145" s="11" t="s">
        <v>1638</v>
      </c>
      <c r="E145" s="11" t="s">
        <v>126</v>
      </c>
      <c r="F145" s="11" t="s">
        <v>234</v>
      </c>
      <c r="G145" s="11" t="n">
        <v>1</v>
      </c>
      <c r="H145" s="11" t="s">
        <v>86</v>
      </c>
      <c r="I145" s="11"/>
      <c r="J145" s="14"/>
      <c r="K145" s="14"/>
      <c r="L145" s="14"/>
      <c r="M145" s="14" t="s">
        <v>2183</v>
      </c>
      <c r="N145" s="14" t="s">
        <v>2184</v>
      </c>
      <c r="O145" s="14"/>
      <c r="P145" s="11"/>
      <c r="Q145" s="11" t="s">
        <v>79</v>
      </c>
      <c r="R145" s="14" t="s">
        <v>2185</v>
      </c>
      <c r="S145" s="11" t="s">
        <v>808</v>
      </c>
      <c r="T145" s="11"/>
      <c r="U145" s="11" t="s">
        <v>809</v>
      </c>
    </row>
    <row r="146" customFormat="false" ht="42" hidden="false" customHeight="true" outlineLevel="0" collapsed="false">
      <c r="A146" s="11" t="n">
        <v>145</v>
      </c>
      <c r="B146" s="11" t="s">
        <v>781</v>
      </c>
      <c r="C146" s="11" t="s">
        <v>810</v>
      </c>
      <c r="D146" s="11" t="s">
        <v>1638</v>
      </c>
      <c r="E146" s="11" t="s">
        <v>126</v>
      </c>
      <c r="F146" s="11" t="s">
        <v>234</v>
      </c>
      <c r="G146" s="11" t="n">
        <v>1</v>
      </c>
      <c r="H146" s="11" t="s">
        <v>783</v>
      </c>
      <c r="I146" s="11"/>
      <c r="J146" s="14"/>
      <c r="K146" s="14"/>
      <c r="L146" s="14"/>
      <c r="M146" s="14" t="s">
        <v>2186</v>
      </c>
      <c r="N146" s="14" t="s">
        <v>2187</v>
      </c>
      <c r="O146" s="14" t="s">
        <v>812</v>
      </c>
      <c r="P146" s="11"/>
      <c r="Q146" s="11" t="s">
        <v>79</v>
      </c>
      <c r="R146" s="14" t="s">
        <v>2188</v>
      </c>
      <c r="S146" s="11" t="s">
        <v>813</v>
      </c>
      <c r="T146" s="11"/>
      <c r="U146" s="11" t="s">
        <v>814</v>
      </c>
    </row>
    <row r="147" customFormat="false" ht="42" hidden="false" customHeight="true" outlineLevel="0" collapsed="false">
      <c r="A147" s="11" t="n">
        <v>146</v>
      </c>
      <c r="B147" s="11" t="s">
        <v>781</v>
      </c>
      <c r="C147" s="11" t="s">
        <v>815</v>
      </c>
      <c r="D147" s="11" t="s">
        <v>1638</v>
      </c>
      <c r="E147" s="11" t="s">
        <v>126</v>
      </c>
      <c r="F147" s="11" t="s">
        <v>205</v>
      </c>
      <c r="G147" s="11" t="n">
        <v>1</v>
      </c>
      <c r="H147" s="11" t="s">
        <v>107</v>
      </c>
      <c r="I147" s="11"/>
      <c r="J147" s="14"/>
      <c r="K147" s="14"/>
      <c r="L147" s="14"/>
      <c r="M147" s="14" t="s">
        <v>2189</v>
      </c>
      <c r="N147" s="14" t="s">
        <v>2190</v>
      </c>
      <c r="O147" s="14" t="s">
        <v>817</v>
      </c>
      <c r="P147" s="11" t="s">
        <v>2191</v>
      </c>
      <c r="Q147" s="11" t="s">
        <v>79</v>
      </c>
      <c r="R147" s="14"/>
      <c r="S147" s="11" t="s">
        <v>818</v>
      </c>
      <c r="T147" s="11"/>
      <c r="U147" s="11" t="s">
        <v>819</v>
      </c>
    </row>
    <row r="148" customFormat="false" ht="42" hidden="false" customHeight="true" outlineLevel="0" collapsed="false">
      <c r="A148" s="11" t="n">
        <v>147</v>
      </c>
      <c r="B148" s="11" t="s">
        <v>781</v>
      </c>
      <c r="C148" s="11" t="s">
        <v>820</v>
      </c>
      <c r="D148" s="11" t="s">
        <v>1638</v>
      </c>
      <c r="E148" s="11" t="s">
        <v>126</v>
      </c>
      <c r="F148" s="11" t="s">
        <v>234</v>
      </c>
      <c r="G148" s="11" t="n">
        <v>1</v>
      </c>
      <c r="H148" s="11" t="s">
        <v>86</v>
      </c>
      <c r="I148" s="11"/>
      <c r="J148" s="14"/>
      <c r="K148" s="14"/>
      <c r="L148" s="14"/>
      <c r="M148" s="14" t="s">
        <v>2192</v>
      </c>
      <c r="N148" s="14" t="s">
        <v>2193</v>
      </c>
      <c r="O148" s="14" t="s">
        <v>822</v>
      </c>
      <c r="P148" s="11"/>
      <c r="Q148" s="11" t="s">
        <v>79</v>
      </c>
      <c r="R148" s="14" t="s">
        <v>2194</v>
      </c>
      <c r="S148" s="11" t="s">
        <v>823</v>
      </c>
      <c r="T148" s="11"/>
      <c r="U148" s="11" t="s">
        <v>824</v>
      </c>
    </row>
    <row r="149" customFormat="false" ht="42" hidden="false" customHeight="true" outlineLevel="0" collapsed="false">
      <c r="A149" s="11" t="n">
        <v>148</v>
      </c>
      <c r="B149" s="11" t="s">
        <v>781</v>
      </c>
      <c r="C149" s="11" t="s">
        <v>825</v>
      </c>
      <c r="D149" s="11" t="s">
        <v>1638</v>
      </c>
      <c r="E149" s="11" t="s">
        <v>126</v>
      </c>
      <c r="F149" s="11" t="s">
        <v>234</v>
      </c>
      <c r="G149" s="11" t="n">
        <v>1</v>
      </c>
      <c r="H149" s="11" t="s">
        <v>86</v>
      </c>
      <c r="I149" s="11"/>
      <c r="J149" s="14"/>
      <c r="K149" s="14"/>
      <c r="L149" s="14"/>
      <c r="M149" s="14" t="s">
        <v>2195</v>
      </c>
      <c r="N149" s="14" t="s">
        <v>2193</v>
      </c>
      <c r="O149" s="14" t="s">
        <v>827</v>
      </c>
      <c r="P149" s="11"/>
      <c r="Q149" s="11" t="s">
        <v>79</v>
      </c>
      <c r="R149" s="14" t="s">
        <v>2196</v>
      </c>
      <c r="S149" s="11" t="s">
        <v>828</v>
      </c>
      <c r="T149" s="11" t="s">
        <v>823</v>
      </c>
      <c r="U149" s="11" t="s">
        <v>829</v>
      </c>
    </row>
    <row r="150" customFormat="false" ht="42" hidden="false" customHeight="true" outlineLevel="0" collapsed="false">
      <c r="A150" s="11" t="n">
        <v>149</v>
      </c>
      <c r="B150" s="11" t="s">
        <v>781</v>
      </c>
      <c r="C150" s="11" t="s">
        <v>825</v>
      </c>
      <c r="D150" s="11" t="s">
        <v>1638</v>
      </c>
      <c r="E150" s="11" t="s">
        <v>126</v>
      </c>
      <c r="F150" s="11" t="s">
        <v>205</v>
      </c>
      <c r="G150" s="11" t="n">
        <v>1</v>
      </c>
      <c r="H150" s="11" t="s">
        <v>107</v>
      </c>
      <c r="I150" s="11"/>
      <c r="J150" s="14"/>
      <c r="K150" s="14"/>
      <c r="L150" s="14"/>
      <c r="M150" s="14" t="s">
        <v>2197</v>
      </c>
      <c r="N150" s="14" t="s">
        <v>2198</v>
      </c>
      <c r="O150" s="14" t="s">
        <v>827</v>
      </c>
      <c r="P150" s="11" t="s">
        <v>2199</v>
      </c>
      <c r="Q150" s="11" t="s">
        <v>79</v>
      </c>
      <c r="R150" s="14"/>
      <c r="S150" s="11" t="s">
        <v>831</v>
      </c>
      <c r="T150" s="11"/>
      <c r="U150" s="11" t="s">
        <v>829</v>
      </c>
    </row>
    <row r="151" customFormat="false" ht="42" hidden="false" customHeight="true" outlineLevel="0" collapsed="false">
      <c r="A151" s="11" t="n">
        <v>150</v>
      </c>
      <c r="B151" s="11" t="s">
        <v>781</v>
      </c>
      <c r="C151" s="11" t="s">
        <v>825</v>
      </c>
      <c r="D151" s="11" t="s">
        <v>1638</v>
      </c>
      <c r="E151" s="11" t="s">
        <v>126</v>
      </c>
      <c r="F151" s="11" t="s">
        <v>234</v>
      </c>
      <c r="G151" s="11" t="n">
        <v>1</v>
      </c>
      <c r="H151" s="11" t="s">
        <v>783</v>
      </c>
      <c r="I151" s="11"/>
      <c r="J151" s="14"/>
      <c r="K151" s="14"/>
      <c r="L151" s="14"/>
      <c r="M151" s="14" t="s">
        <v>2200</v>
      </c>
      <c r="N151" s="14" t="s">
        <v>2187</v>
      </c>
      <c r="O151" s="14" t="s">
        <v>827</v>
      </c>
      <c r="P151" s="11"/>
      <c r="Q151" s="11" t="s">
        <v>79</v>
      </c>
      <c r="R151" s="14" t="s">
        <v>2201</v>
      </c>
      <c r="S151" s="11" t="s">
        <v>833</v>
      </c>
      <c r="T151" s="11" t="s">
        <v>813</v>
      </c>
      <c r="U151" s="11" t="s">
        <v>829</v>
      </c>
    </row>
    <row r="152" customFormat="false" ht="42" hidden="false" customHeight="true" outlineLevel="0" collapsed="false">
      <c r="A152" s="11" t="n">
        <v>151</v>
      </c>
      <c r="B152" s="11" t="s">
        <v>781</v>
      </c>
      <c r="C152" s="11" t="s">
        <v>825</v>
      </c>
      <c r="D152" s="11" t="s">
        <v>1638</v>
      </c>
      <c r="E152" s="11" t="s">
        <v>126</v>
      </c>
      <c r="F152" s="11" t="s">
        <v>205</v>
      </c>
      <c r="G152" s="11" t="n">
        <v>1</v>
      </c>
      <c r="H152" s="11" t="s">
        <v>790</v>
      </c>
      <c r="I152" s="11"/>
      <c r="J152" s="14"/>
      <c r="K152" s="14"/>
      <c r="L152" s="14"/>
      <c r="M152" s="14" t="s">
        <v>2202</v>
      </c>
      <c r="N152" s="14" t="s">
        <v>2176</v>
      </c>
      <c r="O152" s="14" t="s">
        <v>827</v>
      </c>
      <c r="P152" s="11"/>
      <c r="Q152" s="11" t="s">
        <v>120</v>
      </c>
      <c r="R152" s="14" t="s">
        <v>2203</v>
      </c>
      <c r="S152" s="11" t="s">
        <v>835</v>
      </c>
      <c r="T152" s="11"/>
      <c r="U152" s="11" t="s">
        <v>829</v>
      </c>
    </row>
    <row r="153" customFormat="false" ht="42" hidden="false" customHeight="true" outlineLevel="0" collapsed="false">
      <c r="A153" s="11" t="n">
        <v>152</v>
      </c>
      <c r="B153" s="11" t="s">
        <v>836</v>
      </c>
      <c r="C153" s="11" t="s">
        <v>837</v>
      </c>
      <c r="D153" s="11" t="s">
        <v>1638</v>
      </c>
      <c r="E153" s="11" t="s">
        <v>126</v>
      </c>
      <c r="F153" s="11" t="s">
        <v>234</v>
      </c>
      <c r="G153" s="11" t="n">
        <v>1</v>
      </c>
      <c r="H153" s="11" t="s">
        <v>86</v>
      </c>
      <c r="I153" s="11"/>
      <c r="J153" s="14"/>
      <c r="K153" s="14"/>
      <c r="L153" s="14"/>
      <c r="M153" s="14" t="s">
        <v>2204</v>
      </c>
      <c r="N153" s="14" t="s">
        <v>2205</v>
      </c>
      <c r="O153" s="14" t="s">
        <v>839</v>
      </c>
      <c r="P153" s="11"/>
      <c r="Q153" s="11" t="s">
        <v>79</v>
      </c>
      <c r="R153" s="14" t="s">
        <v>2194</v>
      </c>
      <c r="S153" s="11" t="s">
        <v>840</v>
      </c>
      <c r="T153" s="11"/>
      <c r="U153" s="11" t="s">
        <v>841</v>
      </c>
    </row>
    <row r="154" customFormat="false" ht="42" hidden="false" customHeight="true" outlineLevel="0" collapsed="false">
      <c r="A154" s="11" t="n">
        <v>153</v>
      </c>
      <c r="B154" s="11" t="s">
        <v>836</v>
      </c>
      <c r="C154" s="11" t="s">
        <v>842</v>
      </c>
      <c r="D154" s="11" t="s">
        <v>1638</v>
      </c>
      <c r="E154" s="11" t="s">
        <v>126</v>
      </c>
      <c r="F154" s="11" t="s">
        <v>205</v>
      </c>
      <c r="G154" s="11" t="n">
        <v>1</v>
      </c>
      <c r="H154" s="11" t="s">
        <v>86</v>
      </c>
      <c r="I154" s="11"/>
      <c r="J154" s="14"/>
      <c r="K154" s="14"/>
      <c r="L154" s="14"/>
      <c r="M154" s="14" t="s">
        <v>2206</v>
      </c>
      <c r="N154" s="14" t="s">
        <v>2207</v>
      </c>
      <c r="O154" s="14" t="s">
        <v>844</v>
      </c>
      <c r="P154" s="11"/>
      <c r="Q154" s="11" t="s">
        <v>79</v>
      </c>
      <c r="R154" s="14" t="s">
        <v>2208</v>
      </c>
      <c r="S154" s="11" t="s">
        <v>845</v>
      </c>
      <c r="T154" s="11"/>
      <c r="U154" s="11" t="s">
        <v>846</v>
      </c>
    </row>
    <row r="155" customFormat="false" ht="42" hidden="false" customHeight="true" outlineLevel="0" collapsed="false">
      <c r="A155" s="11" t="n">
        <v>154</v>
      </c>
      <c r="B155" s="11" t="s">
        <v>836</v>
      </c>
      <c r="C155" s="11" t="s">
        <v>842</v>
      </c>
      <c r="D155" s="11" t="s">
        <v>1638</v>
      </c>
      <c r="E155" s="11" t="s">
        <v>126</v>
      </c>
      <c r="F155" s="11" t="s">
        <v>205</v>
      </c>
      <c r="G155" s="11" t="n">
        <v>1</v>
      </c>
      <c r="H155" s="11" t="s">
        <v>86</v>
      </c>
      <c r="I155" s="11"/>
      <c r="J155" s="14"/>
      <c r="K155" s="14"/>
      <c r="L155" s="14"/>
      <c r="M155" s="14" t="s">
        <v>2209</v>
      </c>
      <c r="N155" s="14" t="s">
        <v>2210</v>
      </c>
      <c r="O155" s="14" t="s">
        <v>844</v>
      </c>
      <c r="P155" s="11"/>
      <c r="Q155" s="11" t="s">
        <v>79</v>
      </c>
      <c r="R155" s="14" t="s">
        <v>2208</v>
      </c>
      <c r="S155" s="11" t="s">
        <v>848</v>
      </c>
      <c r="T155" s="11"/>
      <c r="U155" s="11" t="s">
        <v>846</v>
      </c>
    </row>
    <row r="156" customFormat="false" ht="42" hidden="false" customHeight="true" outlineLevel="0" collapsed="false">
      <c r="A156" s="11" t="n">
        <v>155</v>
      </c>
      <c r="B156" s="11" t="s">
        <v>836</v>
      </c>
      <c r="C156" s="11" t="s">
        <v>842</v>
      </c>
      <c r="D156" s="11" t="s">
        <v>1638</v>
      </c>
      <c r="E156" s="11" t="s">
        <v>126</v>
      </c>
      <c r="F156" s="11" t="s">
        <v>205</v>
      </c>
      <c r="G156" s="11" t="n">
        <v>1</v>
      </c>
      <c r="H156" s="11" t="s">
        <v>86</v>
      </c>
      <c r="I156" s="11"/>
      <c r="J156" s="14"/>
      <c r="K156" s="14"/>
      <c r="L156" s="14"/>
      <c r="M156" s="14" t="s">
        <v>2211</v>
      </c>
      <c r="N156" s="14" t="s">
        <v>2212</v>
      </c>
      <c r="O156" s="14" t="s">
        <v>844</v>
      </c>
      <c r="P156" s="11"/>
      <c r="Q156" s="11" t="s">
        <v>79</v>
      </c>
      <c r="R156" s="14" t="s">
        <v>2208</v>
      </c>
      <c r="S156" s="11" t="s">
        <v>850</v>
      </c>
      <c r="T156" s="11"/>
      <c r="U156" s="11" t="s">
        <v>846</v>
      </c>
    </row>
    <row r="157" customFormat="false" ht="42" hidden="false" customHeight="true" outlineLevel="0" collapsed="false">
      <c r="A157" s="11" t="n">
        <v>156</v>
      </c>
      <c r="B157" s="11" t="s">
        <v>836</v>
      </c>
      <c r="C157" s="11" t="s">
        <v>842</v>
      </c>
      <c r="D157" s="11" t="s">
        <v>1638</v>
      </c>
      <c r="E157" s="11" t="s">
        <v>126</v>
      </c>
      <c r="F157" s="11" t="s">
        <v>234</v>
      </c>
      <c r="G157" s="11" t="n">
        <v>1</v>
      </c>
      <c r="H157" s="11" t="s">
        <v>86</v>
      </c>
      <c r="I157" s="11"/>
      <c r="J157" s="14"/>
      <c r="K157" s="14"/>
      <c r="L157" s="14"/>
      <c r="M157" s="14" t="s">
        <v>2213</v>
      </c>
      <c r="N157" s="14" t="s">
        <v>2214</v>
      </c>
      <c r="O157" s="14" t="s">
        <v>844</v>
      </c>
      <c r="P157" s="11"/>
      <c r="Q157" s="11" t="s">
        <v>79</v>
      </c>
      <c r="R157" s="14" t="s">
        <v>2215</v>
      </c>
      <c r="S157" s="11" t="s">
        <v>852</v>
      </c>
      <c r="T157" s="11"/>
      <c r="U157" s="11" t="s">
        <v>846</v>
      </c>
    </row>
    <row r="158" customFormat="false" ht="42" hidden="false" customHeight="true" outlineLevel="0" collapsed="false">
      <c r="A158" s="11" t="n">
        <v>157</v>
      </c>
      <c r="B158" s="11" t="s">
        <v>836</v>
      </c>
      <c r="C158" s="11" t="s">
        <v>842</v>
      </c>
      <c r="D158" s="11" t="s">
        <v>1638</v>
      </c>
      <c r="E158" s="11" t="s">
        <v>126</v>
      </c>
      <c r="F158" s="11" t="s">
        <v>234</v>
      </c>
      <c r="G158" s="11" t="n">
        <v>1</v>
      </c>
      <c r="H158" s="11" t="s">
        <v>86</v>
      </c>
      <c r="I158" s="11"/>
      <c r="J158" s="14"/>
      <c r="K158" s="14"/>
      <c r="L158" s="14"/>
      <c r="M158" s="14" t="s">
        <v>2216</v>
      </c>
      <c r="N158" s="14" t="s">
        <v>2217</v>
      </c>
      <c r="O158" s="14" t="s">
        <v>844</v>
      </c>
      <c r="P158" s="11"/>
      <c r="Q158" s="11" t="s">
        <v>79</v>
      </c>
      <c r="R158" s="14" t="s">
        <v>2218</v>
      </c>
      <c r="S158" s="11" t="s">
        <v>854</v>
      </c>
      <c r="T158" s="11"/>
      <c r="U158" s="11" t="s">
        <v>846</v>
      </c>
    </row>
    <row r="159" customFormat="false" ht="42" hidden="false" customHeight="true" outlineLevel="0" collapsed="false">
      <c r="A159" s="11" t="n">
        <v>158</v>
      </c>
      <c r="B159" s="11" t="s">
        <v>836</v>
      </c>
      <c r="C159" s="11" t="s">
        <v>842</v>
      </c>
      <c r="D159" s="11" t="s">
        <v>1638</v>
      </c>
      <c r="E159" s="11" t="s">
        <v>126</v>
      </c>
      <c r="F159" s="11" t="s">
        <v>234</v>
      </c>
      <c r="G159" s="11" t="n">
        <v>1</v>
      </c>
      <c r="H159" s="11" t="s">
        <v>86</v>
      </c>
      <c r="I159" s="11"/>
      <c r="J159" s="14"/>
      <c r="K159" s="14"/>
      <c r="L159" s="14"/>
      <c r="M159" s="14" t="s">
        <v>2219</v>
      </c>
      <c r="N159" s="14" t="s">
        <v>2220</v>
      </c>
      <c r="O159" s="14" t="s">
        <v>844</v>
      </c>
      <c r="P159" s="11"/>
      <c r="Q159" s="11" t="s">
        <v>79</v>
      </c>
      <c r="R159" s="14" t="s">
        <v>2221</v>
      </c>
      <c r="S159" s="11" t="s">
        <v>856</v>
      </c>
      <c r="T159" s="11"/>
      <c r="U159" s="11" t="s">
        <v>846</v>
      </c>
    </row>
    <row r="160" customFormat="false" ht="42" hidden="false" customHeight="true" outlineLevel="0" collapsed="false">
      <c r="A160" s="11" t="n">
        <v>159</v>
      </c>
      <c r="B160" s="11" t="s">
        <v>836</v>
      </c>
      <c r="C160" s="11" t="s">
        <v>842</v>
      </c>
      <c r="D160" s="11" t="s">
        <v>1638</v>
      </c>
      <c r="E160" s="11" t="s">
        <v>126</v>
      </c>
      <c r="F160" s="11" t="s">
        <v>234</v>
      </c>
      <c r="G160" s="11" t="n">
        <v>1</v>
      </c>
      <c r="H160" s="11" t="s">
        <v>86</v>
      </c>
      <c r="I160" s="11"/>
      <c r="J160" s="14"/>
      <c r="K160" s="14"/>
      <c r="L160" s="14"/>
      <c r="M160" s="14" t="s">
        <v>2222</v>
      </c>
      <c r="N160" s="14" t="s">
        <v>2223</v>
      </c>
      <c r="O160" s="14" t="s">
        <v>844</v>
      </c>
      <c r="P160" s="11"/>
      <c r="Q160" s="11" t="s">
        <v>79</v>
      </c>
      <c r="R160" s="14" t="s">
        <v>2218</v>
      </c>
      <c r="S160" s="11" t="s">
        <v>858</v>
      </c>
      <c r="T160" s="11"/>
      <c r="U160" s="11" t="s">
        <v>846</v>
      </c>
    </row>
    <row r="161" customFormat="false" ht="42" hidden="false" customHeight="true" outlineLevel="0" collapsed="false">
      <c r="A161" s="11" t="n">
        <v>160</v>
      </c>
      <c r="B161" s="11" t="s">
        <v>836</v>
      </c>
      <c r="C161" s="11" t="s">
        <v>842</v>
      </c>
      <c r="D161" s="11" t="s">
        <v>1638</v>
      </c>
      <c r="E161" s="11" t="s">
        <v>126</v>
      </c>
      <c r="F161" s="11" t="s">
        <v>234</v>
      </c>
      <c r="G161" s="11" t="n">
        <v>1</v>
      </c>
      <c r="H161" s="11" t="s">
        <v>86</v>
      </c>
      <c r="I161" s="11"/>
      <c r="J161" s="14"/>
      <c r="K161" s="14"/>
      <c r="L161" s="14"/>
      <c r="M161" s="14" t="s">
        <v>2224</v>
      </c>
      <c r="N161" s="14" t="s">
        <v>2225</v>
      </c>
      <c r="O161" s="14" t="s">
        <v>844</v>
      </c>
      <c r="P161" s="11"/>
      <c r="Q161" s="11" t="s">
        <v>79</v>
      </c>
      <c r="R161" s="14" t="s">
        <v>2218</v>
      </c>
      <c r="S161" s="11" t="s">
        <v>860</v>
      </c>
      <c r="T161" s="11"/>
      <c r="U161" s="11" t="s">
        <v>846</v>
      </c>
    </row>
    <row r="162" customFormat="false" ht="42" hidden="false" customHeight="true" outlineLevel="0" collapsed="false">
      <c r="A162" s="11" t="n">
        <v>161</v>
      </c>
      <c r="B162" s="11" t="s">
        <v>836</v>
      </c>
      <c r="C162" s="11" t="s">
        <v>842</v>
      </c>
      <c r="D162" s="11" t="s">
        <v>1638</v>
      </c>
      <c r="E162" s="11" t="s">
        <v>126</v>
      </c>
      <c r="F162" s="11" t="s">
        <v>234</v>
      </c>
      <c r="G162" s="11" t="n">
        <v>1</v>
      </c>
      <c r="H162" s="11" t="s">
        <v>86</v>
      </c>
      <c r="I162" s="11"/>
      <c r="J162" s="14"/>
      <c r="K162" s="14"/>
      <c r="L162" s="14"/>
      <c r="M162" s="14" t="s">
        <v>2226</v>
      </c>
      <c r="N162" s="14" t="s">
        <v>2121</v>
      </c>
      <c r="O162" s="14" t="s">
        <v>844</v>
      </c>
      <c r="P162" s="11"/>
      <c r="Q162" s="11" t="s">
        <v>79</v>
      </c>
      <c r="R162" s="14" t="s">
        <v>2227</v>
      </c>
      <c r="S162" s="11" t="s">
        <v>862</v>
      </c>
      <c r="T162" s="11"/>
      <c r="U162" s="11" t="s">
        <v>846</v>
      </c>
    </row>
    <row r="163" customFormat="false" ht="42" hidden="false" customHeight="true" outlineLevel="0" collapsed="false">
      <c r="A163" s="11" t="n">
        <v>162</v>
      </c>
      <c r="B163" s="11" t="s">
        <v>836</v>
      </c>
      <c r="C163" s="11" t="s">
        <v>842</v>
      </c>
      <c r="D163" s="11" t="s">
        <v>1638</v>
      </c>
      <c r="E163" s="11" t="s">
        <v>126</v>
      </c>
      <c r="F163" s="11" t="s">
        <v>234</v>
      </c>
      <c r="G163" s="11" t="n">
        <v>1</v>
      </c>
      <c r="H163" s="11" t="s">
        <v>86</v>
      </c>
      <c r="I163" s="11"/>
      <c r="J163" s="14"/>
      <c r="K163" s="14"/>
      <c r="L163" s="14"/>
      <c r="M163" s="14" t="s">
        <v>2228</v>
      </c>
      <c r="N163" s="14" t="s">
        <v>2121</v>
      </c>
      <c r="O163" s="14" t="s">
        <v>844</v>
      </c>
      <c r="P163" s="11"/>
      <c r="Q163" s="11" t="s">
        <v>79</v>
      </c>
      <c r="R163" s="14" t="s">
        <v>2229</v>
      </c>
      <c r="S163" s="11" t="s">
        <v>864</v>
      </c>
      <c r="T163" s="11"/>
      <c r="U163" s="11" t="s">
        <v>846</v>
      </c>
    </row>
    <row r="164" customFormat="false" ht="42" hidden="false" customHeight="true" outlineLevel="0" collapsed="false">
      <c r="A164" s="11" t="n">
        <v>163</v>
      </c>
      <c r="B164" s="11" t="s">
        <v>865</v>
      </c>
      <c r="C164" s="11" t="s">
        <v>866</v>
      </c>
      <c r="D164" s="11" t="s">
        <v>1638</v>
      </c>
      <c r="E164" s="11" t="s">
        <v>126</v>
      </c>
      <c r="F164" s="11" t="s">
        <v>234</v>
      </c>
      <c r="G164" s="11" t="n">
        <v>1</v>
      </c>
      <c r="H164" s="11" t="s">
        <v>86</v>
      </c>
      <c r="I164" s="11"/>
      <c r="J164" s="14"/>
      <c r="K164" s="14"/>
      <c r="L164" s="14"/>
      <c r="M164" s="14" t="s">
        <v>2230</v>
      </c>
      <c r="N164" s="14" t="s">
        <v>2231</v>
      </c>
      <c r="O164" s="14" t="s">
        <v>868</v>
      </c>
      <c r="P164" s="11"/>
      <c r="Q164" s="11" t="s">
        <v>79</v>
      </c>
      <c r="R164" s="14" t="s">
        <v>2232</v>
      </c>
      <c r="S164" s="11" t="s">
        <v>869</v>
      </c>
      <c r="T164" s="11"/>
      <c r="U164" s="11" t="s">
        <v>870</v>
      </c>
    </row>
    <row r="165" customFormat="false" ht="42" hidden="false" customHeight="true" outlineLevel="0" collapsed="false">
      <c r="A165" s="11" t="n">
        <v>164</v>
      </c>
      <c r="B165" s="11" t="s">
        <v>871</v>
      </c>
      <c r="C165" s="11" t="s">
        <v>872</v>
      </c>
      <c r="D165" s="11" t="s">
        <v>1638</v>
      </c>
      <c r="E165" s="11" t="s">
        <v>126</v>
      </c>
      <c r="F165" s="11" t="s">
        <v>234</v>
      </c>
      <c r="G165" s="11" t="n">
        <v>1</v>
      </c>
      <c r="H165" s="11" t="s">
        <v>86</v>
      </c>
      <c r="I165" s="11"/>
      <c r="J165" s="14"/>
      <c r="K165" s="14"/>
      <c r="L165" s="14"/>
      <c r="M165" s="14" t="s">
        <v>2233</v>
      </c>
      <c r="N165" s="14" t="s">
        <v>2234</v>
      </c>
      <c r="O165" s="14"/>
      <c r="P165" s="11"/>
      <c r="Q165" s="11" t="s">
        <v>120</v>
      </c>
      <c r="R165" s="14" t="s">
        <v>2235</v>
      </c>
      <c r="S165" s="11" t="s">
        <v>874</v>
      </c>
      <c r="T165" s="11"/>
      <c r="U165" s="11" t="s">
        <v>875</v>
      </c>
    </row>
    <row r="166" customFormat="false" ht="42" hidden="false" customHeight="true" outlineLevel="0" collapsed="false">
      <c r="A166" s="11" t="n">
        <v>165</v>
      </c>
      <c r="B166" s="11" t="s">
        <v>871</v>
      </c>
      <c r="C166" s="11" t="s">
        <v>876</v>
      </c>
      <c r="D166" s="11" t="s">
        <v>1638</v>
      </c>
      <c r="E166" s="11" t="s">
        <v>126</v>
      </c>
      <c r="F166" s="11" t="s">
        <v>234</v>
      </c>
      <c r="G166" s="11" t="n">
        <v>1</v>
      </c>
      <c r="H166" s="11" t="s">
        <v>877</v>
      </c>
      <c r="I166" s="11"/>
      <c r="J166" s="14"/>
      <c r="K166" s="14"/>
      <c r="L166" s="14"/>
      <c r="M166" s="14" t="s">
        <v>2236</v>
      </c>
      <c r="N166" s="14" t="s">
        <v>2237</v>
      </c>
      <c r="O166" s="14"/>
      <c r="P166" s="11"/>
      <c r="Q166" s="11" t="s">
        <v>79</v>
      </c>
      <c r="R166" s="14" t="s">
        <v>2238</v>
      </c>
      <c r="S166" s="11" t="s">
        <v>880</v>
      </c>
      <c r="T166" s="11"/>
      <c r="U166" s="11" t="s">
        <v>881</v>
      </c>
    </row>
    <row r="167" customFormat="false" ht="42" hidden="false" customHeight="true" outlineLevel="0" collapsed="false">
      <c r="A167" s="11" t="n">
        <v>166</v>
      </c>
      <c r="B167" s="11" t="s">
        <v>871</v>
      </c>
      <c r="C167" s="11" t="s">
        <v>2239</v>
      </c>
      <c r="D167" s="11" t="s">
        <v>1638</v>
      </c>
      <c r="E167" s="11" t="s">
        <v>75</v>
      </c>
      <c r="F167" s="11" t="s">
        <v>74</v>
      </c>
      <c r="G167" s="11" t="n">
        <v>0</v>
      </c>
      <c r="H167" s="11"/>
      <c r="I167" s="11"/>
      <c r="J167" s="14"/>
      <c r="K167" s="14"/>
      <c r="L167" s="14"/>
      <c r="M167" s="14" t="s">
        <v>2240</v>
      </c>
      <c r="N167" s="14" t="s">
        <v>2241</v>
      </c>
      <c r="O167" s="14"/>
      <c r="P167" s="11" t="s">
        <v>2242</v>
      </c>
      <c r="Q167" s="11" t="s">
        <v>79</v>
      </c>
      <c r="R167" s="14"/>
      <c r="S167" s="11" t="s">
        <v>2243</v>
      </c>
      <c r="T167" s="11"/>
      <c r="U167" s="11" t="s">
        <v>2244</v>
      </c>
    </row>
    <row r="168" customFormat="false" ht="42" hidden="false" customHeight="true" outlineLevel="0" collapsed="false">
      <c r="A168" s="11" t="n">
        <v>167</v>
      </c>
      <c r="B168" s="11" t="s">
        <v>871</v>
      </c>
      <c r="C168" s="11" t="s">
        <v>882</v>
      </c>
      <c r="D168" s="11" t="s">
        <v>1638</v>
      </c>
      <c r="E168" s="11" t="s">
        <v>75</v>
      </c>
      <c r="F168" s="11" t="s">
        <v>74</v>
      </c>
      <c r="G168" s="11" t="n">
        <v>1</v>
      </c>
      <c r="H168" s="11" t="s">
        <v>883</v>
      </c>
      <c r="I168" s="11"/>
      <c r="J168" s="14"/>
      <c r="K168" s="14"/>
      <c r="L168" s="14"/>
      <c r="M168" s="14" t="s">
        <v>2245</v>
      </c>
      <c r="N168" s="14" t="s">
        <v>2246</v>
      </c>
      <c r="O168" s="14" t="s">
        <v>887</v>
      </c>
      <c r="P168" s="11" t="s">
        <v>2247</v>
      </c>
      <c r="Q168" s="11" t="s">
        <v>79</v>
      </c>
      <c r="R168" s="14" t="s">
        <v>2248</v>
      </c>
      <c r="S168" s="11" t="s">
        <v>888</v>
      </c>
      <c r="T168" s="11"/>
      <c r="U168" s="11" t="s">
        <v>889</v>
      </c>
    </row>
    <row r="169" customFormat="false" ht="42" hidden="false" customHeight="true" outlineLevel="0" collapsed="false">
      <c r="A169" s="11" t="n">
        <v>168</v>
      </c>
      <c r="B169" s="11" t="s">
        <v>871</v>
      </c>
      <c r="C169" s="11" t="s">
        <v>890</v>
      </c>
      <c r="D169" s="11" t="s">
        <v>1638</v>
      </c>
      <c r="E169" s="11" t="s">
        <v>126</v>
      </c>
      <c r="F169" s="11" t="s">
        <v>205</v>
      </c>
      <c r="G169" s="11" t="n">
        <v>1</v>
      </c>
      <c r="H169" s="11" t="s">
        <v>891</v>
      </c>
      <c r="I169" s="11"/>
      <c r="J169" s="14"/>
      <c r="K169" s="14"/>
      <c r="L169" s="14"/>
      <c r="M169" s="14" t="s">
        <v>2249</v>
      </c>
      <c r="N169" s="14" t="s">
        <v>2250</v>
      </c>
      <c r="O169" s="14" t="s">
        <v>894</v>
      </c>
      <c r="P169" s="11" t="s">
        <v>2251</v>
      </c>
      <c r="Q169" s="11" t="s">
        <v>79</v>
      </c>
      <c r="R169" s="14"/>
      <c r="S169" s="11" t="s">
        <v>895</v>
      </c>
      <c r="T169" s="11"/>
      <c r="U169" s="11" t="s">
        <v>896</v>
      </c>
    </row>
    <row r="170" customFormat="false" ht="42" hidden="false" customHeight="true" outlineLevel="0" collapsed="false">
      <c r="A170" s="11" t="n">
        <v>169</v>
      </c>
      <c r="B170" s="11" t="s">
        <v>871</v>
      </c>
      <c r="C170" s="11" t="s">
        <v>2252</v>
      </c>
      <c r="D170" s="11" t="s">
        <v>1638</v>
      </c>
      <c r="E170" s="11" t="s">
        <v>75</v>
      </c>
      <c r="F170" s="11" t="s">
        <v>74</v>
      </c>
      <c r="G170" s="11" t="n">
        <v>0</v>
      </c>
      <c r="H170" s="11"/>
      <c r="I170" s="11"/>
      <c r="J170" s="14"/>
      <c r="K170" s="14"/>
      <c r="L170" s="14"/>
      <c r="M170" s="14" t="s">
        <v>2253</v>
      </c>
      <c r="N170" s="14" t="s">
        <v>2254</v>
      </c>
      <c r="O170" s="14" t="s">
        <v>2255</v>
      </c>
      <c r="P170" s="11" t="s">
        <v>2256</v>
      </c>
      <c r="Q170" s="11" t="s">
        <v>79</v>
      </c>
      <c r="R170" s="14"/>
      <c r="S170" s="11" t="s">
        <v>2257</v>
      </c>
      <c r="T170" s="11"/>
      <c r="U170" s="11" t="s">
        <v>2258</v>
      </c>
    </row>
    <row r="171" customFormat="false" ht="42" hidden="false" customHeight="true" outlineLevel="0" collapsed="false">
      <c r="A171" s="11" t="n">
        <v>170</v>
      </c>
      <c r="B171" s="11" t="s">
        <v>897</v>
      </c>
      <c r="C171" s="11" t="s">
        <v>898</v>
      </c>
      <c r="D171" s="11" t="s">
        <v>1638</v>
      </c>
      <c r="E171" s="11" t="s">
        <v>126</v>
      </c>
      <c r="F171" s="11" t="s">
        <v>205</v>
      </c>
      <c r="G171" s="11" t="n">
        <v>1</v>
      </c>
      <c r="H171" s="11" t="s">
        <v>599</v>
      </c>
      <c r="I171" s="11"/>
      <c r="J171" s="14"/>
      <c r="K171" s="14"/>
      <c r="L171" s="14"/>
      <c r="M171" s="14" t="s">
        <v>2259</v>
      </c>
      <c r="N171" s="14" t="s">
        <v>2260</v>
      </c>
      <c r="O171" s="14" t="s">
        <v>900</v>
      </c>
      <c r="P171" s="11" t="s">
        <v>2261</v>
      </c>
      <c r="Q171" s="11" t="s">
        <v>79</v>
      </c>
      <c r="R171" s="14"/>
      <c r="S171" s="11" t="s">
        <v>901</v>
      </c>
      <c r="T171" s="11"/>
      <c r="U171" s="11" t="s">
        <v>902</v>
      </c>
    </row>
    <row r="172" customFormat="false" ht="42" hidden="false" customHeight="true" outlineLevel="0" collapsed="false">
      <c r="A172" s="11" t="n">
        <v>171</v>
      </c>
      <c r="B172" s="11" t="s">
        <v>897</v>
      </c>
      <c r="C172" s="11" t="s">
        <v>903</v>
      </c>
      <c r="D172" s="11" t="s">
        <v>1638</v>
      </c>
      <c r="E172" s="11" t="s">
        <v>126</v>
      </c>
      <c r="F172" s="11" t="s">
        <v>234</v>
      </c>
      <c r="G172" s="11" t="n">
        <v>1</v>
      </c>
      <c r="H172" s="11" t="s">
        <v>86</v>
      </c>
      <c r="I172" s="11"/>
      <c r="J172" s="14"/>
      <c r="K172" s="14"/>
      <c r="L172" s="14"/>
      <c r="M172" s="14" t="s">
        <v>2262</v>
      </c>
      <c r="N172" s="14" t="s">
        <v>2263</v>
      </c>
      <c r="O172" s="14" t="s">
        <v>905</v>
      </c>
      <c r="P172" s="11"/>
      <c r="Q172" s="11" t="s">
        <v>79</v>
      </c>
      <c r="R172" s="14" t="s">
        <v>2238</v>
      </c>
      <c r="S172" s="11" t="s">
        <v>906</v>
      </c>
      <c r="T172" s="11"/>
      <c r="U172" s="11" t="s">
        <v>907</v>
      </c>
    </row>
    <row r="173" customFormat="false" ht="42" hidden="false" customHeight="true" outlineLevel="0" collapsed="false">
      <c r="A173" s="11" t="n">
        <v>172</v>
      </c>
      <c r="B173" s="11" t="s">
        <v>897</v>
      </c>
      <c r="C173" s="11" t="s">
        <v>908</v>
      </c>
      <c r="D173" s="11" t="s">
        <v>1638</v>
      </c>
      <c r="E173" s="11" t="s">
        <v>126</v>
      </c>
      <c r="F173" s="11" t="s">
        <v>205</v>
      </c>
      <c r="G173" s="11" t="n">
        <v>1</v>
      </c>
      <c r="H173" s="11" t="s">
        <v>86</v>
      </c>
      <c r="I173" s="11"/>
      <c r="J173" s="14"/>
      <c r="K173" s="14"/>
      <c r="L173" s="14"/>
      <c r="M173" s="14" t="s">
        <v>2264</v>
      </c>
      <c r="N173" s="14" t="s">
        <v>2265</v>
      </c>
      <c r="O173" s="14" t="s">
        <v>910</v>
      </c>
      <c r="P173" s="11" t="s">
        <v>2266</v>
      </c>
      <c r="Q173" s="11" t="s">
        <v>79</v>
      </c>
      <c r="R173" s="14"/>
      <c r="S173" s="11" t="s">
        <v>911</v>
      </c>
      <c r="T173" s="11"/>
      <c r="U173" s="11" t="s">
        <v>912</v>
      </c>
    </row>
    <row r="174" customFormat="false" ht="42" hidden="false" customHeight="true" outlineLevel="0" collapsed="false">
      <c r="A174" s="11" t="n">
        <v>173</v>
      </c>
      <c r="B174" s="11" t="s">
        <v>897</v>
      </c>
      <c r="C174" s="11" t="s">
        <v>2267</v>
      </c>
      <c r="D174" s="11" t="s">
        <v>1638</v>
      </c>
      <c r="E174" s="11" t="s">
        <v>75</v>
      </c>
      <c r="F174" s="11" t="s">
        <v>74</v>
      </c>
      <c r="G174" s="11" t="n">
        <v>0</v>
      </c>
      <c r="H174" s="11"/>
      <c r="I174" s="11"/>
      <c r="J174" s="14"/>
      <c r="K174" s="14"/>
      <c r="L174" s="14"/>
      <c r="M174" s="14" t="s">
        <v>2268</v>
      </c>
      <c r="N174" s="14" t="s">
        <v>2269</v>
      </c>
      <c r="O174" s="14" t="s">
        <v>2270</v>
      </c>
      <c r="P174" s="11" t="s">
        <v>2271</v>
      </c>
      <c r="Q174" s="11" t="s">
        <v>79</v>
      </c>
      <c r="R174" s="14"/>
      <c r="S174" s="11" t="s">
        <v>2272</v>
      </c>
      <c r="T174" s="11"/>
      <c r="U174" s="11" t="s">
        <v>2273</v>
      </c>
    </row>
    <row r="175" customFormat="false" ht="42" hidden="false" customHeight="true" outlineLevel="0" collapsed="false">
      <c r="A175" s="11" t="n">
        <v>174</v>
      </c>
      <c r="B175" s="11" t="s">
        <v>897</v>
      </c>
      <c r="C175" s="11" t="s">
        <v>913</v>
      </c>
      <c r="D175" s="11" t="s">
        <v>1638</v>
      </c>
      <c r="E175" s="11" t="s">
        <v>75</v>
      </c>
      <c r="F175" s="11" t="s">
        <v>74</v>
      </c>
      <c r="G175" s="11" t="n">
        <v>1</v>
      </c>
      <c r="H175" s="11" t="s">
        <v>92</v>
      </c>
      <c r="I175" s="11"/>
      <c r="J175" s="14"/>
      <c r="K175" s="14"/>
      <c r="L175" s="14"/>
      <c r="M175" s="14" t="s">
        <v>2274</v>
      </c>
      <c r="N175" s="14" t="s">
        <v>2275</v>
      </c>
      <c r="O175" s="14" t="s">
        <v>915</v>
      </c>
      <c r="P175" s="11" t="s">
        <v>2276</v>
      </c>
      <c r="Q175" s="11" t="s">
        <v>79</v>
      </c>
      <c r="R175" s="14" t="s">
        <v>2277</v>
      </c>
      <c r="S175" s="11" t="s">
        <v>916</v>
      </c>
      <c r="T175" s="11"/>
      <c r="U175" s="11" t="s">
        <v>917</v>
      </c>
    </row>
    <row r="176" customFormat="false" ht="42" hidden="false" customHeight="true" outlineLevel="0" collapsed="false">
      <c r="A176" s="11" t="n">
        <v>175</v>
      </c>
      <c r="B176" s="11" t="s">
        <v>897</v>
      </c>
      <c r="C176" s="11" t="s">
        <v>918</v>
      </c>
      <c r="D176" s="11" t="s">
        <v>1638</v>
      </c>
      <c r="E176" s="11" t="s">
        <v>126</v>
      </c>
      <c r="F176" s="11" t="s">
        <v>205</v>
      </c>
      <c r="G176" s="11" t="n">
        <v>1</v>
      </c>
      <c r="H176" s="11" t="s">
        <v>919</v>
      </c>
      <c r="I176" s="11"/>
      <c r="J176" s="14"/>
      <c r="K176" s="14"/>
      <c r="L176" s="14"/>
      <c r="M176" s="14" t="s">
        <v>2278</v>
      </c>
      <c r="N176" s="14" t="s">
        <v>2279</v>
      </c>
      <c r="O176" s="14" t="s">
        <v>922</v>
      </c>
      <c r="P176" s="11" t="s">
        <v>2280</v>
      </c>
      <c r="Q176" s="11" t="s">
        <v>79</v>
      </c>
      <c r="R176" s="14"/>
      <c r="S176" s="11" t="s">
        <v>923</v>
      </c>
      <c r="T176" s="11"/>
      <c r="U176" s="11" t="s">
        <v>924</v>
      </c>
    </row>
    <row r="177" customFormat="false" ht="42" hidden="false" customHeight="true" outlineLevel="0" collapsed="false">
      <c r="A177" s="11" t="n">
        <v>176</v>
      </c>
      <c r="B177" s="11" t="s">
        <v>925</v>
      </c>
      <c r="C177" s="11" t="s">
        <v>926</v>
      </c>
      <c r="D177" s="11" t="s">
        <v>1638</v>
      </c>
      <c r="E177" s="11" t="s">
        <v>126</v>
      </c>
      <c r="F177" s="11" t="s">
        <v>205</v>
      </c>
      <c r="G177" s="11" t="n">
        <v>1</v>
      </c>
      <c r="H177" s="11" t="s">
        <v>415</v>
      </c>
      <c r="I177" s="11"/>
      <c r="J177" s="14"/>
      <c r="K177" s="14"/>
      <c r="L177" s="14"/>
      <c r="M177" s="14" t="s">
        <v>2281</v>
      </c>
      <c r="N177" s="14" t="s">
        <v>2282</v>
      </c>
      <c r="O177" s="14" t="s">
        <v>928</v>
      </c>
      <c r="P177" s="11" t="s">
        <v>2283</v>
      </c>
      <c r="Q177" s="11" t="s">
        <v>79</v>
      </c>
      <c r="R177" s="14"/>
      <c r="S177" s="11" t="s">
        <v>929</v>
      </c>
      <c r="T177" s="11"/>
      <c r="U177" s="11" t="s">
        <v>930</v>
      </c>
    </row>
    <row r="178" customFormat="false" ht="42" hidden="false" customHeight="true" outlineLevel="0" collapsed="false">
      <c r="A178" s="11" t="n">
        <v>177</v>
      </c>
      <c r="B178" s="11" t="s">
        <v>925</v>
      </c>
      <c r="C178" s="11" t="s">
        <v>931</v>
      </c>
      <c r="D178" s="11" t="s">
        <v>1638</v>
      </c>
      <c r="E178" s="11" t="s">
        <v>126</v>
      </c>
      <c r="F178" s="11" t="s">
        <v>205</v>
      </c>
      <c r="G178" s="11" t="n">
        <v>1</v>
      </c>
      <c r="H178" s="11" t="s">
        <v>626</v>
      </c>
      <c r="I178" s="11"/>
      <c r="J178" s="14"/>
      <c r="K178" s="14"/>
      <c r="L178" s="14"/>
      <c r="M178" s="14" t="s">
        <v>2284</v>
      </c>
      <c r="N178" s="14" t="s">
        <v>2285</v>
      </c>
      <c r="O178" s="14" t="s">
        <v>933</v>
      </c>
      <c r="P178" s="11" t="s">
        <v>2286</v>
      </c>
      <c r="Q178" s="11" t="s">
        <v>79</v>
      </c>
      <c r="R178" s="14"/>
      <c r="S178" s="11" t="s">
        <v>934</v>
      </c>
      <c r="T178" s="11"/>
      <c r="U178" s="11" t="s">
        <v>935</v>
      </c>
    </row>
    <row r="179" customFormat="false" ht="42" hidden="false" customHeight="true" outlineLevel="0" collapsed="false">
      <c r="A179" s="11" t="n">
        <v>178</v>
      </c>
      <c r="B179" s="11" t="s">
        <v>925</v>
      </c>
      <c r="C179" s="11" t="s">
        <v>936</v>
      </c>
      <c r="D179" s="11" t="s">
        <v>1638</v>
      </c>
      <c r="E179" s="11" t="s">
        <v>235</v>
      </c>
      <c r="F179" s="11" t="s">
        <v>937</v>
      </c>
      <c r="G179" s="11" t="n">
        <v>1</v>
      </c>
      <c r="H179" s="11" t="s">
        <v>86</v>
      </c>
      <c r="I179" s="11" t="s">
        <v>1740</v>
      </c>
      <c r="J179" s="14" t="s">
        <v>2287</v>
      </c>
      <c r="K179" s="14" t="s">
        <v>2288</v>
      </c>
      <c r="L179" s="14" t="s">
        <v>2289</v>
      </c>
      <c r="M179" s="14" t="s">
        <v>2290</v>
      </c>
      <c r="N179" s="14" t="s">
        <v>2291</v>
      </c>
      <c r="O179" s="14" t="s">
        <v>939</v>
      </c>
      <c r="P179" s="11"/>
      <c r="Q179" s="11" t="s">
        <v>79</v>
      </c>
      <c r="R179" s="14" t="s">
        <v>2292</v>
      </c>
      <c r="S179" s="11" t="s">
        <v>940</v>
      </c>
      <c r="T179" s="11"/>
      <c r="U179" s="11" t="s">
        <v>941</v>
      </c>
    </row>
    <row r="180" customFormat="false" ht="42" hidden="false" customHeight="true" outlineLevel="0" collapsed="false">
      <c r="A180" s="11" t="n">
        <v>179</v>
      </c>
      <c r="B180" s="11" t="s">
        <v>925</v>
      </c>
      <c r="C180" s="11" t="s">
        <v>942</v>
      </c>
      <c r="D180" s="11" t="s">
        <v>1638</v>
      </c>
      <c r="E180" s="11" t="s">
        <v>235</v>
      </c>
      <c r="F180" s="11" t="s">
        <v>937</v>
      </c>
      <c r="G180" s="11" t="n">
        <v>1</v>
      </c>
      <c r="H180" s="11" t="s">
        <v>86</v>
      </c>
      <c r="I180" s="11" t="s">
        <v>1651</v>
      </c>
      <c r="J180" s="14" t="s">
        <v>2293</v>
      </c>
      <c r="K180" s="14" t="s">
        <v>2294</v>
      </c>
      <c r="L180" s="14" t="s">
        <v>2295</v>
      </c>
      <c r="M180" s="14" t="s">
        <v>2296</v>
      </c>
      <c r="N180" s="14" t="s">
        <v>2297</v>
      </c>
      <c r="O180" s="14" t="s">
        <v>944</v>
      </c>
      <c r="P180" s="11"/>
      <c r="Q180" s="11" t="s">
        <v>79</v>
      </c>
      <c r="R180" s="14" t="s">
        <v>2298</v>
      </c>
      <c r="S180" s="11" t="s">
        <v>945</v>
      </c>
      <c r="T180" s="11"/>
      <c r="U180" s="11" t="s">
        <v>946</v>
      </c>
    </row>
    <row r="181" customFormat="false" ht="42" hidden="false" customHeight="true" outlineLevel="0" collapsed="false">
      <c r="A181" s="11" t="n">
        <v>180</v>
      </c>
      <c r="B181" s="11" t="s">
        <v>925</v>
      </c>
      <c r="C181" s="11" t="s">
        <v>947</v>
      </c>
      <c r="D181" s="11" t="s">
        <v>1638</v>
      </c>
      <c r="E181" s="11" t="s">
        <v>126</v>
      </c>
      <c r="F181" s="11" t="s">
        <v>937</v>
      </c>
      <c r="G181" s="11" t="n">
        <v>1</v>
      </c>
      <c r="H181" s="11" t="s">
        <v>86</v>
      </c>
      <c r="I181" s="11"/>
      <c r="J181" s="14"/>
      <c r="K181" s="14"/>
      <c r="L181" s="14"/>
      <c r="M181" s="14" t="s">
        <v>2299</v>
      </c>
      <c r="N181" s="14" t="s">
        <v>2300</v>
      </c>
      <c r="O181" s="14" t="s">
        <v>949</v>
      </c>
      <c r="P181" s="11"/>
      <c r="Q181" s="11" t="s">
        <v>79</v>
      </c>
      <c r="R181" s="14"/>
      <c r="S181" s="11" t="s">
        <v>950</v>
      </c>
      <c r="T181" s="11"/>
      <c r="U181" s="11" t="s">
        <v>951</v>
      </c>
    </row>
    <row r="182" customFormat="false" ht="42" hidden="false" customHeight="true" outlineLevel="0" collapsed="false">
      <c r="A182" s="11" t="n">
        <v>181</v>
      </c>
      <c r="B182" s="11" t="s">
        <v>952</v>
      </c>
      <c r="C182" s="11" t="s">
        <v>953</v>
      </c>
      <c r="D182" s="11" t="s">
        <v>1638</v>
      </c>
      <c r="E182" s="11" t="s">
        <v>75</v>
      </c>
      <c r="F182" s="11" t="s">
        <v>74</v>
      </c>
      <c r="G182" s="11" t="n">
        <v>1</v>
      </c>
      <c r="H182" s="11" t="s">
        <v>954</v>
      </c>
      <c r="I182" s="11"/>
      <c r="J182" s="14"/>
      <c r="K182" s="14"/>
      <c r="L182" s="14"/>
      <c r="M182" s="14" t="s">
        <v>2301</v>
      </c>
      <c r="N182" s="14" t="s">
        <v>2302</v>
      </c>
      <c r="O182" s="14" t="s">
        <v>957</v>
      </c>
      <c r="P182" s="11" t="s">
        <v>2303</v>
      </c>
      <c r="Q182" s="11" t="s">
        <v>79</v>
      </c>
      <c r="R182" s="14"/>
      <c r="S182" s="11" t="s">
        <v>958</v>
      </c>
      <c r="T182" s="11"/>
      <c r="U182" s="11" t="s">
        <v>959</v>
      </c>
    </row>
    <row r="183" customFormat="false" ht="42" hidden="false" customHeight="true" outlineLevel="0" collapsed="false">
      <c r="A183" s="11" t="n">
        <v>182</v>
      </c>
      <c r="B183" s="11" t="s">
        <v>952</v>
      </c>
      <c r="C183" s="11" t="s">
        <v>960</v>
      </c>
      <c r="D183" s="11" t="s">
        <v>1638</v>
      </c>
      <c r="E183" s="11" t="s">
        <v>126</v>
      </c>
      <c r="F183" s="11" t="s">
        <v>937</v>
      </c>
      <c r="G183" s="11" t="n">
        <v>1</v>
      </c>
      <c r="H183" s="11" t="s">
        <v>954</v>
      </c>
      <c r="I183" s="11"/>
      <c r="J183" s="14"/>
      <c r="K183" s="14"/>
      <c r="L183" s="14"/>
      <c r="M183" s="14" t="s">
        <v>2304</v>
      </c>
      <c r="N183" s="14" t="s">
        <v>2305</v>
      </c>
      <c r="O183" s="14" t="s">
        <v>962</v>
      </c>
      <c r="P183" s="11"/>
      <c r="Q183" s="11" t="s">
        <v>120</v>
      </c>
      <c r="R183" s="14" t="s">
        <v>2306</v>
      </c>
      <c r="S183" s="11" t="s">
        <v>963</v>
      </c>
      <c r="T183" s="11"/>
      <c r="U183" s="11" t="s">
        <v>964</v>
      </c>
    </row>
    <row r="184" customFormat="false" ht="42" hidden="false" customHeight="true" outlineLevel="0" collapsed="false">
      <c r="A184" s="11" t="n">
        <v>183</v>
      </c>
      <c r="B184" s="11" t="s">
        <v>965</v>
      </c>
      <c r="C184" s="11" t="s">
        <v>966</v>
      </c>
      <c r="D184" s="11" t="s">
        <v>1638</v>
      </c>
      <c r="E184" s="11" t="s">
        <v>126</v>
      </c>
      <c r="F184" s="11" t="s">
        <v>115</v>
      </c>
      <c r="G184" s="11" t="n">
        <v>1</v>
      </c>
      <c r="H184" s="11" t="s">
        <v>954</v>
      </c>
      <c r="I184" s="11"/>
      <c r="J184" s="14"/>
      <c r="K184" s="14"/>
      <c r="L184" s="14"/>
      <c r="M184" s="14" t="s">
        <v>2307</v>
      </c>
      <c r="N184" s="14" t="s">
        <v>2308</v>
      </c>
      <c r="O184" s="14" t="s">
        <v>968</v>
      </c>
      <c r="P184" s="11"/>
      <c r="Q184" s="11" t="s">
        <v>120</v>
      </c>
      <c r="R184" s="14" t="s">
        <v>2309</v>
      </c>
      <c r="S184" s="11" t="s">
        <v>969</v>
      </c>
      <c r="T184" s="11"/>
      <c r="U184" s="11" t="s">
        <v>970</v>
      </c>
    </row>
    <row r="185" customFormat="false" ht="42" hidden="false" customHeight="true" outlineLevel="0" collapsed="false">
      <c r="A185" s="11" t="n">
        <v>184</v>
      </c>
      <c r="B185" s="11" t="s">
        <v>971</v>
      </c>
      <c r="C185" s="11" t="s">
        <v>2310</v>
      </c>
      <c r="D185" s="11" t="s">
        <v>1638</v>
      </c>
      <c r="E185" s="11" t="s">
        <v>235</v>
      </c>
      <c r="F185" s="11" t="s">
        <v>115</v>
      </c>
      <c r="G185" s="11" t="n">
        <v>0</v>
      </c>
      <c r="H185" s="11"/>
      <c r="I185" s="11" t="s">
        <v>1651</v>
      </c>
      <c r="J185" s="14"/>
      <c r="K185" s="14"/>
      <c r="L185" s="14" t="s">
        <v>2311</v>
      </c>
      <c r="M185" s="14" t="s">
        <v>2312</v>
      </c>
      <c r="N185" s="14" t="s">
        <v>2313</v>
      </c>
      <c r="O185" s="14" t="s">
        <v>2314</v>
      </c>
      <c r="P185" s="11"/>
      <c r="Q185" s="11" t="s">
        <v>79</v>
      </c>
      <c r="R185" s="14" t="s">
        <v>2315</v>
      </c>
      <c r="S185" s="11" t="s">
        <v>2316</v>
      </c>
      <c r="T185" s="11"/>
      <c r="U185" s="11" t="s">
        <v>2317</v>
      </c>
    </row>
    <row r="186" customFormat="false" ht="42" hidden="false" customHeight="true" outlineLevel="0" collapsed="false">
      <c r="A186" s="11" t="n">
        <v>185</v>
      </c>
      <c r="B186" s="11" t="s">
        <v>971</v>
      </c>
      <c r="C186" s="11" t="s">
        <v>972</v>
      </c>
      <c r="D186" s="11" t="s">
        <v>1638</v>
      </c>
      <c r="E186" s="11" t="s">
        <v>126</v>
      </c>
      <c r="F186" s="11" t="s">
        <v>205</v>
      </c>
      <c r="G186" s="11" t="n">
        <v>1</v>
      </c>
      <c r="H186" s="11" t="s">
        <v>86</v>
      </c>
      <c r="I186" s="11"/>
      <c r="J186" s="14"/>
      <c r="K186" s="14"/>
      <c r="L186" s="14"/>
      <c r="M186" s="14" t="s">
        <v>2318</v>
      </c>
      <c r="N186" s="14" t="s">
        <v>2319</v>
      </c>
      <c r="O186" s="14" t="s">
        <v>974</v>
      </c>
      <c r="P186" s="11" t="s">
        <v>2320</v>
      </c>
      <c r="Q186" s="11" t="s">
        <v>79</v>
      </c>
      <c r="R186" s="14"/>
      <c r="S186" s="11" t="s">
        <v>975</v>
      </c>
      <c r="T186" s="11"/>
      <c r="U186" s="11" t="s">
        <v>976</v>
      </c>
    </row>
    <row r="187" customFormat="false" ht="42" hidden="false" customHeight="true" outlineLevel="0" collapsed="false">
      <c r="A187" s="11" t="n">
        <v>186</v>
      </c>
      <c r="B187" s="11" t="s">
        <v>971</v>
      </c>
      <c r="C187" s="11" t="s">
        <v>977</v>
      </c>
      <c r="D187" s="11" t="s">
        <v>1638</v>
      </c>
      <c r="E187" s="11" t="s">
        <v>126</v>
      </c>
      <c r="F187" s="11" t="s">
        <v>115</v>
      </c>
      <c r="G187" s="11" t="n">
        <v>1</v>
      </c>
      <c r="H187" s="11" t="s">
        <v>86</v>
      </c>
      <c r="I187" s="11"/>
      <c r="J187" s="14"/>
      <c r="K187" s="14"/>
      <c r="L187" s="14"/>
      <c r="M187" s="14" t="s">
        <v>2321</v>
      </c>
      <c r="N187" s="14" t="s">
        <v>2322</v>
      </c>
      <c r="O187" s="14" t="s">
        <v>979</v>
      </c>
      <c r="P187" s="11"/>
      <c r="Q187" s="11" t="s">
        <v>120</v>
      </c>
      <c r="R187" s="14" t="s">
        <v>2323</v>
      </c>
      <c r="S187" s="11" t="s">
        <v>980</v>
      </c>
      <c r="T187" s="11"/>
      <c r="U187" s="11" t="s">
        <v>981</v>
      </c>
    </row>
    <row r="188" customFormat="false" ht="42" hidden="false" customHeight="true" outlineLevel="0" collapsed="false">
      <c r="A188" s="11" t="n">
        <v>187</v>
      </c>
      <c r="B188" s="11" t="s">
        <v>971</v>
      </c>
      <c r="C188" s="11" t="s">
        <v>982</v>
      </c>
      <c r="D188" s="11" t="s">
        <v>1638</v>
      </c>
      <c r="E188" s="11" t="s">
        <v>126</v>
      </c>
      <c r="F188" s="11" t="s">
        <v>205</v>
      </c>
      <c r="G188" s="11" t="n">
        <v>1</v>
      </c>
      <c r="H188" s="11" t="s">
        <v>86</v>
      </c>
      <c r="I188" s="11"/>
      <c r="J188" s="14"/>
      <c r="K188" s="14"/>
      <c r="L188" s="14"/>
      <c r="M188" s="14" t="s">
        <v>2324</v>
      </c>
      <c r="N188" s="14" t="s">
        <v>2319</v>
      </c>
      <c r="O188" s="14" t="s">
        <v>984</v>
      </c>
      <c r="P188" s="11" t="s">
        <v>2320</v>
      </c>
      <c r="Q188" s="11" t="s">
        <v>79</v>
      </c>
      <c r="R188" s="14" t="s">
        <v>2325</v>
      </c>
      <c r="S188" s="11" t="s">
        <v>985</v>
      </c>
      <c r="T188" s="11" t="s">
        <v>975</v>
      </c>
      <c r="U188" s="11" t="s">
        <v>986</v>
      </c>
    </row>
    <row r="189" customFormat="false" ht="42" hidden="false" customHeight="true" outlineLevel="0" collapsed="false">
      <c r="A189" s="11" t="n">
        <v>188</v>
      </c>
      <c r="B189" s="11" t="s">
        <v>971</v>
      </c>
      <c r="C189" s="11" t="s">
        <v>987</v>
      </c>
      <c r="D189" s="11" t="s">
        <v>1638</v>
      </c>
      <c r="E189" s="11" t="s">
        <v>126</v>
      </c>
      <c r="F189" s="11" t="s">
        <v>115</v>
      </c>
      <c r="G189" s="11" t="n">
        <v>1</v>
      </c>
      <c r="H189" s="11" t="s">
        <v>86</v>
      </c>
      <c r="I189" s="11"/>
      <c r="J189" s="14"/>
      <c r="K189" s="14"/>
      <c r="L189" s="14"/>
      <c r="M189" s="14" t="s">
        <v>2326</v>
      </c>
      <c r="N189" s="14" t="s">
        <v>2327</v>
      </c>
      <c r="O189" s="14" t="s">
        <v>989</v>
      </c>
      <c r="P189" s="11"/>
      <c r="Q189" s="11" t="s">
        <v>120</v>
      </c>
      <c r="R189" s="14" t="s">
        <v>2328</v>
      </c>
      <c r="S189" s="11" t="s">
        <v>990</v>
      </c>
      <c r="T189" s="11"/>
      <c r="U189" s="11" t="s">
        <v>991</v>
      </c>
    </row>
    <row r="190" customFormat="false" ht="42" hidden="false" customHeight="true" outlineLevel="0" collapsed="false">
      <c r="A190" s="11" t="n">
        <v>189</v>
      </c>
      <c r="B190" s="11" t="s">
        <v>992</v>
      </c>
      <c r="C190" s="11" t="s">
        <v>993</v>
      </c>
      <c r="D190" s="11" t="s">
        <v>1638</v>
      </c>
      <c r="E190" s="11" t="s">
        <v>126</v>
      </c>
      <c r="F190" s="11" t="s">
        <v>115</v>
      </c>
      <c r="G190" s="11" t="n">
        <v>1</v>
      </c>
      <c r="H190" s="11" t="s">
        <v>86</v>
      </c>
      <c r="I190" s="11"/>
      <c r="J190" s="14"/>
      <c r="K190" s="14"/>
      <c r="L190" s="14"/>
      <c r="M190" s="14" t="s">
        <v>2329</v>
      </c>
      <c r="N190" s="14" t="s">
        <v>2330</v>
      </c>
      <c r="O190" s="14" t="s">
        <v>995</v>
      </c>
      <c r="P190" s="11"/>
      <c r="Q190" s="11" t="s">
        <v>79</v>
      </c>
      <c r="R190" s="14" t="s">
        <v>2331</v>
      </c>
      <c r="S190" s="11" t="s">
        <v>996</v>
      </c>
      <c r="T190" s="11"/>
      <c r="U190" s="11" t="s">
        <v>997</v>
      </c>
    </row>
    <row r="191" customFormat="false" ht="42" hidden="false" customHeight="true" outlineLevel="0" collapsed="false">
      <c r="A191" s="11" t="n">
        <v>190</v>
      </c>
      <c r="B191" s="11" t="s">
        <v>992</v>
      </c>
      <c r="C191" s="11" t="s">
        <v>998</v>
      </c>
      <c r="D191" s="11" t="s">
        <v>1638</v>
      </c>
      <c r="E191" s="11" t="s">
        <v>126</v>
      </c>
      <c r="F191" s="11" t="s">
        <v>115</v>
      </c>
      <c r="G191" s="11" t="n">
        <v>1</v>
      </c>
      <c r="H191" s="11" t="s">
        <v>86</v>
      </c>
      <c r="I191" s="11"/>
      <c r="J191" s="14"/>
      <c r="K191" s="14"/>
      <c r="L191" s="14"/>
      <c r="M191" s="14" t="s">
        <v>2332</v>
      </c>
      <c r="N191" s="14" t="s">
        <v>2333</v>
      </c>
      <c r="O191" s="14" t="s">
        <v>1001</v>
      </c>
      <c r="P191" s="11"/>
      <c r="Q191" s="11" t="s">
        <v>79</v>
      </c>
      <c r="R191" s="14" t="s">
        <v>2334</v>
      </c>
      <c r="S191" s="11" t="s">
        <v>1002</v>
      </c>
      <c r="T191" s="11"/>
      <c r="U191" s="11" t="s">
        <v>1003</v>
      </c>
    </row>
    <row r="192" customFormat="false" ht="42" hidden="false" customHeight="true" outlineLevel="0" collapsed="false">
      <c r="A192" s="11" t="n">
        <v>191</v>
      </c>
      <c r="B192" s="11" t="s">
        <v>1004</v>
      </c>
      <c r="C192" s="11" t="s">
        <v>1005</v>
      </c>
      <c r="D192" s="11" t="s">
        <v>1638</v>
      </c>
      <c r="E192" s="11" t="s">
        <v>126</v>
      </c>
      <c r="F192" s="11" t="s">
        <v>115</v>
      </c>
      <c r="G192" s="11" t="n">
        <v>1</v>
      </c>
      <c r="H192" s="11" t="s">
        <v>86</v>
      </c>
      <c r="I192" s="11"/>
      <c r="J192" s="14"/>
      <c r="K192" s="14"/>
      <c r="L192" s="14"/>
      <c r="M192" s="14" t="s">
        <v>2335</v>
      </c>
      <c r="N192" s="14" t="s">
        <v>2336</v>
      </c>
      <c r="O192" s="14" t="s">
        <v>1007</v>
      </c>
      <c r="P192" s="11"/>
      <c r="Q192" s="11" t="s">
        <v>79</v>
      </c>
      <c r="R192" s="14" t="s">
        <v>2337</v>
      </c>
      <c r="S192" s="11" t="s">
        <v>1008</v>
      </c>
      <c r="T192" s="11"/>
      <c r="U192" s="11" t="s">
        <v>1009</v>
      </c>
    </row>
    <row r="193" customFormat="false" ht="42" hidden="false" customHeight="true" outlineLevel="0" collapsed="false">
      <c r="A193" s="11" t="n">
        <v>192</v>
      </c>
      <c r="B193" s="11" t="s">
        <v>1004</v>
      </c>
      <c r="C193" s="11" t="s">
        <v>1010</v>
      </c>
      <c r="D193" s="11" t="s">
        <v>1638</v>
      </c>
      <c r="E193" s="11" t="s">
        <v>126</v>
      </c>
      <c r="F193" s="11" t="s">
        <v>205</v>
      </c>
      <c r="G193" s="11" t="n">
        <v>1</v>
      </c>
      <c r="H193" s="11" t="s">
        <v>86</v>
      </c>
      <c r="I193" s="11"/>
      <c r="J193" s="14"/>
      <c r="K193" s="14"/>
      <c r="L193" s="14"/>
      <c r="M193" s="14" t="s">
        <v>2338</v>
      </c>
      <c r="N193" s="14" t="s">
        <v>2339</v>
      </c>
      <c r="O193" s="14"/>
      <c r="P193" s="11" t="s">
        <v>2340</v>
      </c>
      <c r="Q193" s="11" t="s">
        <v>79</v>
      </c>
      <c r="R193" s="14"/>
      <c r="S193" s="11" t="s">
        <v>1012</v>
      </c>
      <c r="T193" s="11"/>
      <c r="U193" s="11" t="s">
        <v>1013</v>
      </c>
    </row>
    <row r="194" customFormat="false" ht="42" hidden="false" customHeight="true" outlineLevel="0" collapsed="false">
      <c r="A194" s="11" t="n">
        <v>193</v>
      </c>
      <c r="B194" s="11" t="s">
        <v>1004</v>
      </c>
      <c r="C194" s="11" t="s">
        <v>1014</v>
      </c>
      <c r="D194" s="11" t="s">
        <v>1638</v>
      </c>
      <c r="E194" s="11" t="s">
        <v>126</v>
      </c>
      <c r="F194" s="11" t="s">
        <v>205</v>
      </c>
      <c r="G194" s="11" t="n">
        <v>1</v>
      </c>
      <c r="H194" s="11" t="s">
        <v>86</v>
      </c>
      <c r="I194" s="11"/>
      <c r="J194" s="14"/>
      <c r="K194" s="14"/>
      <c r="L194" s="14"/>
      <c r="M194" s="14" t="s">
        <v>2341</v>
      </c>
      <c r="N194" s="14" t="s">
        <v>2342</v>
      </c>
      <c r="O194" s="14" t="s">
        <v>1016</v>
      </c>
      <c r="P194" s="11" t="s">
        <v>2343</v>
      </c>
      <c r="Q194" s="11" t="s">
        <v>79</v>
      </c>
      <c r="R194" s="14"/>
      <c r="S194" s="11" t="s">
        <v>1017</v>
      </c>
      <c r="T194" s="11"/>
      <c r="U194" s="11" t="s">
        <v>1018</v>
      </c>
    </row>
    <row r="195" customFormat="false" ht="42" hidden="false" customHeight="true" outlineLevel="0" collapsed="false">
      <c r="A195" s="11" t="n">
        <v>194</v>
      </c>
      <c r="B195" s="11" t="s">
        <v>1004</v>
      </c>
      <c r="C195" s="11" t="s">
        <v>1019</v>
      </c>
      <c r="D195" s="11" t="s">
        <v>1638</v>
      </c>
      <c r="E195" s="11" t="s">
        <v>126</v>
      </c>
      <c r="F195" s="11" t="s">
        <v>115</v>
      </c>
      <c r="G195" s="11" t="n">
        <v>1</v>
      </c>
      <c r="H195" s="11" t="s">
        <v>86</v>
      </c>
      <c r="I195" s="11"/>
      <c r="J195" s="14"/>
      <c r="K195" s="14"/>
      <c r="L195" s="14"/>
      <c r="M195" s="14" t="s">
        <v>2344</v>
      </c>
      <c r="N195" s="14" t="s">
        <v>2345</v>
      </c>
      <c r="O195" s="14" t="s">
        <v>1021</v>
      </c>
      <c r="P195" s="11"/>
      <c r="Q195" s="11" t="s">
        <v>120</v>
      </c>
      <c r="R195" s="14" t="s">
        <v>2346</v>
      </c>
      <c r="S195" s="11" t="s">
        <v>1022</v>
      </c>
      <c r="T195" s="11"/>
      <c r="U195" s="11" t="s">
        <v>1023</v>
      </c>
    </row>
    <row r="196" customFormat="false" ht="42" hidden="false" customHeight="true" outlineLevel="0" collapsed="false">
      <c r="A196" s="11" t="n">
        <v>195</v>
      </c>
      <c r="B196" s="11" t="s">
        <v>1024</v>
      </c>
      <c r="C196" s="11" t="s">
        <v>1025</v>
      </c>
      <c r="D196" s="11" t="s">
        <v>1638</v>
      </c>
      <c r="E196" s="11" t="s">
        <v>126</v>
      </c>
      <c r="F196" s="11" t="s">
        <v>205</v>
      </c>
      <c r="G196" s="11" t="n">
        <v>1</v>
      </c>
      <c r="H196" s="11" t="s">
        <v>86</v>
      </c>
      <c r="I196" s="11"/>
      <c r="J196" s="14"/>
      <c r="K196" s="14"/>
      <c r="L196" s="14"/>
      <c r="M196" s="14" t="s">
        <v>2347</v>
      </c>
      <c r="N196" s="14" t="s">
        <v>2342</v>
      </c>
      <c r="O196" s="14" t="s">
        <v>1027</v>
      </c>
      <c r="P196" s="11" t="s">
        <v>2343</v>
      </c>
      <c r="Q196" s="11" t="s">
        <v>79</v>
      </c>
      <c r="R196" s="14" t="s">
        <v>2348</v>
      </c>
      <c r="S196" s="11" t="s">
        <v>1028</v>
      </c>
      <c r="T196" s="11" t="s">
        <v>1017</v>
      </c>
      <c r="U196" s="11" t="s">
        <v>1029</v>
      </c>
    </row>
    <row r="197" customFormat="false" ht="42" hidden="false" customHeight="true" outlineLevel="0" collapsed="false">
      <c r="A197" s="11" t="n">
        <v>196</v>
      </c>
      <c r="B197" s="11" t="s">
        <v>1024</v>
      </c>
      <c r="C197" s="11" t="s">
        <v>1030</v>
      </c>
      <c r="D197" s="11" t="s">
        <v>1638</v>
      </c>
      <c r="E197" s="11" t="s">
        <v>126</v>
      </c>
      <c r="F197" s="11" t="s">
        <v>115</v>
      </c>
      <c r="G197" s="11" t="n">
        <v>1</v>
      </c>
      <c r="H197" s="11" t="s">
        <v>86</v>
      </c>
      <c r="I197" s="11"/>
      <c r="J197" s="14"/>
      <c r="K197" s="14"/>
      <c r="L197" s="14"/>
      <c r="M197" s="14" t="s">
        <v>2349</v>
      </c>
      <c r="N197" s="14" t="s">
        <v>2350</v>
      </c>
      <c r="O197" s="14" t="s">
        <v>1032</v>
      </c>
      <c r="P197" s="11"/>
      <c r="Q197" s="11" t="s">
        <v>120</v>
      </c>
      <c r="R197" s="14" t="s">
        <v>2351</v>
      </c>
      <c r="S197" s="11" t="s">
        <v>1033</v>
      </c>
      <c r="T197" s="11"/>
      <c r="U197" s="11" t="s">
        <v>1034</v>
      </c>
    </row>
    <row r="198" customFormat="false" ht="42" hidden="false" customHeight="true" outlineLevel="0" collapsed="false">
      <c r="A198" s="11" t="n">
        <v>197</v>
      </c>
      <c r="B198" s="11" t="s">
        <v>1024</v>
      </c>
      <c r="C198" s="11" t="s">
        <v>1035</v>
      </c>
      <c r="D198" s="11" t="s">
        <v>1638</v>
      </c>
      <c r="E198" s="11" t="s">
        <v>126</v>
      </c>
      <c r="F198" s="11" t="s">
        <v>205</v>
      </c>
      <c r="G198" s="11" t="n">
        <v>1</v>
      </c>
      <c r="H198" s="11" t="s">
        <v>86</v>
      </c>
      <c r="I198" s="11"/>
      <c r="J198" s="14"/>
      <c r="K198" s="14"/>
      <c r="L198" s="14"/>
      <c r="M198" s="14" t="s">
        <v>2352</v>
      </c>
      <c r="N198" s="14" t="s">
        <v>2353</v>
      </c>
      <c r="O198" s="14" t="s">
        <v>1037</v>
      </c>
      <c r="P198" s="11" t="s">
        <v>2354</v>
      </c>
      <c r="Q198" s="11" t="s">
        <v>79</v>
      </c>
      <c r="R198" s="14"/>
      <c r="S198" s="11" t="s">
        <v>1038</v>
      </c>
      <c r="T198" s="11"/>
      <c r="U198" s="11" t="s">
        <v>1039</v>
      </c>
    </row>
    <row r="199" customFormat="false" ht="42" hidden="false" customHeight="true" outlineLevel="0" collapsed="false">
      <c r="A199" s="11" t="n">
        <v>198</v>
      </c>
      <c r="B199" s="11" t="s">
        <v>1024</v>
      </c>
      <c r="C199" s="11" t="s">
        <v>1040</v>
      </c>
      <c r="D199" s="11" t="s">
        <v>1638</v>
      </c>
      <c r="E199" s="11" t="s">
        <v>126</v>
      </c>
      <c r="F199" s="11" t="s">
        <v>205</v>
      </c>
      <c r="G199" s="11" t="n">
        <v>1</v>
      </c>
      <c r="H199" s="11" t="s">
        <v>86</v>
      </c>
      <c r="I199" s="11"/>
      <c r="J199" s="14"/>
      <c r="K199" s="14"/>
      <c r="L199" s="14"/>
      <c r="M199" s="14" t="s">
        <v>2355</v>
      </c>
      <c r="N199" s="14" t="s">
        <v>2356</v>
      </c>
      <c r="O199" s="14" t="s">
        <v>1042</v>
      </c>
      <c r="P199" s="11" t="s">
        <v>2357</v>
      </c>
      <c r="Q199" s="11" t="s">
        <v>79</v>
      </c>
      <c r="R199" s="14"/>
      <c r="S199" s="11" t="s">
        <v>1043</v>
      </c>
      <c r="T199" s="11"/>
      <c r="U199" s="11" t="s">
        <v>1044</v>
      </c>
    </row>
    <row r="200" customFormat="false" ht="42" hidden="false" customHeight="true" outlineLevel="0" collapsed="false">
      <c r="A200" s="11" t="n">
        <v>199</v>
      </c>
      <c r="B200" s="11" t="s">
        <v>1024</v>
      </c>
      <c r="C200" s="11" t="s">
        <v>1045</v>
      </c>
      <c r="D200" s="11" t="s">
        <v>1638</v>
      </c>
      <c r="E200" s="11" t="s">
        <v>126</v>
      </c>
      <c r="F200" s="11" t="s">
        <v>115</v>
      </c>
      <c r="G200" s="11" t="n">
        <v>1</v>
      </c>
      <c r="H200" s="11" t="s">
        <v>86</v>
      </c>
      <c r="I200" s="11"/>
      <c r="J200" s="14"/>
      <c r="K200" s="14"/>
      <c r="L200" s="14"/>
      <c r="M200" s="14" t="s">
        <v>2358</v>
      </c>
      <c r="N200" s="14" t="s">
        <v>2359</v>
      </c>
      <c r="O200" s="14" t="s">
        <v>1047</v>
      </c>
      <c r="P200" s="11"/>
      <c r="Q200" s="11" t="s">
        <v>120</v>
      </c>
      <c r="R200" s="14" t="s">
        <v>2360</v>
      </c>
      <c r="S200" s="11" t="s">
        <v>1048</v>
      </c>
      <c r="T200" s="11"/>
      <c r="U200" s="11" t="s">
        <v>1049</v>
      </c>
    </row>
    <row r="201" customFormat="false" ht="42" hidden="false" customHeight="true" outlineLevel="0" collapsed="false">
      <c r="A201" s="11" t="n">
        <v>200</v>
      </c>
      <c r="B201" s="11" t="s">
        <v>1050</v>
      </c>
      <c r="C201" s="11" t="s">
        <v>1051</v>
      </c>
      <c r="D201" s="11" t="s">
        <v>1638</v>
      </c>
      <c r="E201" s="11" t="s">
        <v>75</v>
      </c>
      <c r="F201" s="11" t="s">
        <v>74</v>
      </c>
      <c r="G201" s="11" t="n">
        <v>1</v>
      </c>
      <c r="H201" s="11" t="s">
        <v>107</v>
      </c>
      <c r="I201" s="11"/>
      <c r="J201" s="14"/>
      <c r="K201" s="14"/>
      <c r="L201" s="14"/>
      <c r="M201" s="14" t="s">
        <v>2361</v>
      </c>
      <c r="N201" s="14" t="s">
        <v>2362</v>
      </c>
      <c r="O201" s="14" t="s">
        <v>1054</v>
      </c>
      <c r="P201" s="11" t="s">
        <v>2363</v>
      </c>
      <c r="Q201" s="11" t="s">
        <v>79</v>
      </c>
      <c r="R201" s="14" t="s">
        <v>2364</v>
      </c>
      <c r="S201" s="11" t="s">
        <v>1055</v>
      </c>
      <c r="T201" s="11"/>
      <c r="U201" s="11" t="s">
        <v>1056</v>
      </c>
    </row>
    <row r="202" customFormat="false" ht="42" hidden="false" customHeight="true" outlineLevel="0" collapsed="false">
      <c r="A202" s="11" t="n">
        <v>201</v>
      </c>
      <c r="B202" s="11" t="s">
        <v>1050</v>
      </c>
      <c r="C202" s="11" t="s">
        <v>1057</v>
      </c>
      <c r="D202" s="11" t="s">
        <v>1638</v>
      </c>
      <c r="E202" s="11" t="s">
        <v>126</v>
      </c>
      <c r="F202" s="11" t="s">
        <v>205</v>
      </c>
      <c r="G202" s="11" t="n">
        <v>1</v>
      </c>
      <c r="H202" s="11" t="s">
        <v>107</v>
      </c>
      <c r="I202" s="11"/>
      <c r="J202" s="14"/>
      <c r="K202" s="14"/>
      <c r="L202" s="14"/>
      <c r="M202" s="14" t="s">
        <v>2365</v>
      </c>
      <c r="N202" s="14" t="s">
        <v>2366</v>
      </c>
      <c r="O202" s="14"/>
      <c r="P202" s="11" t="s">
        <v>2367</v>
      </c>
      <c r="Q202" s="11" t="s">
        <v>79</v>
      </c>
      <c r="R202" s="14"/>
      <c r="S202" s="11" t="s">
        <v>1059</v>
      </c>
      <c r="T202" s="11"/>
      <c r="U202" s="11" t="s">
        <v>1060</v>
      </c>
    </row>
    <row r="203" customFormat="false" ht="42" hidden="false" customHeight="true" outlineLevel="0" collapsed="false">
      <c r="A203" s="11" t="n">
        <v>202</v>
      </c>
      <c r="B203" s="11" t="s">
        <v>1050</v>
      </c>
      <c r="C203" s="11" t="s">
        <v>1061</v>
      </c>
      <c r="D203" s="11" t="s">
        <v>1638</v>
      </c>
      <c r="E203" s="11" t="s">
        <v>75</v>
      </c>
      <c r="F203" s="11" t="s">
        <v>74</v>
      </c>
      <c r="G203" s="11" t="n">
        <v>1</v>
      </c>
      <c r="H203" s="11" t="s">
        <v>107</v>
      </c>
      <c r="I203" s="11"/>
      <c r="J203" s="14"/>
      <c r="K203" s="14"/>
      <c r="L203" s="14"/>
      <c r="M203" s="14" t="s">
        <v>2368</v>
      </c>
      <c r="N203" s="14" t="s">
        <v>2369</v>
      </c>
      <c r="O203" s="14" t="s">
        <v>1063</v>
      </c>
      <c r="P203" s="11" t="s">
        <v>2370</v>
      </c>
      <c r="Q203" s="11" t="s">
        <v>79</v>
      </c>
      <c r="R203" s="14" t="s">
        <v>2371</v>
      </c>
      <c r="S203" s="11" t="s">
        <v>1064</v>
      </c>
      <c r="T203" s="11"/>
      <c r="U203" s="11" t="s">
        <v>1065</v>
      </c>
    </row>
    <row r="204" customFormat="false" ht="42" hidden="false" customHeight="true" outlineLevel="0" collapsed="false">
      <c r="A204" s="11" t="n">
        <v>203</v>
      </c>
      <c r="B204" s="11" t="s">
        <v>1066</v>
      </c>
      <c r="C204" s="11" t="s">
        <v>1067</v>
      </c>
      <c r="D204" s="11" t="s">
        <v>1638</v>
      </c>
      <c r="E204" s="11" t="s">
        <v>235</v>
      </c>
      <c r="F204" s="11" t="s">
        <v>205</v>
      </c>
      <c r="G204" s="11" t="n">
        <v>1</v>
      </c>
      <c r="H204" s="11" t="s">
        <v>1068</v>
      </c>
      <c r="I204" s="11" t="s">
        <v>1740</v>
      </c>
      <c r="J204" s="14" t="s">
        <v>2372</v>
      </c>
      <c r="K204" s="14" t="s">
        <v>2373</v>
      </c>
      <c r="L204" s="14" t="s">
        <v>2374</v>
      </c>
      <c r="M204" s="14" t="s">
        <v>2375</v>
      </c>
      <c r="N204" s="14" t="s">
        <v>2376</v>
      </c>
      <c r="O204" s="14" t="s">
        <v>1071</v>
      </c>
      <c r="P204" s="11" t="s">
        <v>2377</v>
      </c>
      <c r="Q204" s="11" t="s">
        <v>120</v>
      </c>
      <c r="R204" s="14" t="s">
        <v>2378</v>
      </c>
      <c r="S204" s="11" t="s">
        <v>1072</v>
      </c>
      <c r="T204" s="11"/>
      <c r="U204" s="11" t="s">
        <v>1073</v>
      </c>
    </row>
    <row r="205" customFormat="false" ht="42" hidden="false" customHeight="true" outlineLevel="0" collapsed="false">
      <c r="A205" s="11" t="n">
        <v>204</v>
      </c>
      <c r="B205" s="11" t="s">
        <v>1066</v>
      </c>
      <c r="C205" s="11" t="s">
        <v>1074</v>
      </c>
      <c r="D205" s="11" t="s">
        <v>1638</v>
      </c>
      <c r="E205" s="11" t="s">
        <v>126</v>
      </c>
      <c r="F205" s="11" t="s">
        <v>205</v>
      </c>
      <c r="G205" s="11" t="n">
        <v>1</v>
      </c>
      <c r="H205" s="11" t="s">
        <v>1068</v>
      </c>
      <c r="I205" s="11"/>
      <c r="J205" s="14"/>
      <c r="K205" s="14"/>
      <c r="L205" s="14"/>
      <c r="M205" s="14" t="s">
        <v>2379</v>
      </c>
      <c r="N205" s="14" t="s">
        <v>2380</v>
      </c>
      <c r="O205" s="14"/>
      <c r="P205" s="11" t="s">
        <v>2381</v>
      </c>
      <c r="Q205" s="11" t="s">
        <v>79</v>
      </c>
      <c r="R205" s="14"/>
      <c r="S205" s="11" t="s">
        <v>1076</v>
      </c>
      <c r="T205" s="11"/>
      <c r="U205" s="11" t="s">
        <v>1077</v>
      </c>
    </row>
    <row r="206" customFormat="false" ht="42" hidden="false" customHeight="true" outlineLevel="0" collapsed="false">
      <c r="A206" s="11" t="n">
        <v>205</v>
      </c>
      <c r="B206" s="11" t="s">
        <v>1078</v>
      </c>
      <c r="C206" s="11" t="s">
        <v>1079</v>
      </c>
      <c r="D206" s="11" t="s">
        <v>1638</v>
      </c>
      <c r="E206" s="11" t="s">
        <v>126</v>
      </c>
      <c r="F206" s="11" t="s">
        <v>205</v>
      </c>
      <c r="G206" s="11" t="n">
        <v>1</v>
      </c>
      <c r="H206" s="11" t="s">
        <v>86</v>
      </c>
      <c r="I206" s="11"/>
      <c r="J206" s="14"/>
      <c r="K206" s="14"/>
      <c r="L206" s="14"/>
      <c r="M206" s="14" t="s">
        <v>2382</v>
      </c>
      <c r="N206" s="14" t="s">
        <v>2383</v>
      </c>
      <c r="O206" s="14" t="s">
        <v>1081</v>
      </c>
      <c r="P206" s="11" t="s">
        <v>2384</v>
      </c>
      <c r="Q206" s="11" t="s">
        <v>79</v>
      </c>
      <c r="R206" s="14"/>
      <c r="S206" s="11" t="s">
        <v>1082</v>
      </c>
      <c r="T206" s="11"/>
      <c r="U206" s="11" t="s">
        <v>1083</v>
      </c>
    </row>
    <row r="207" customFormat="false" ht="42" hidden="false" customHeight="true" outlineLevel="0" collapsed="false">
      <c r="A207" s="11" t="n">
        <v>206</v>
      </c>
      <c r="B207" s="11" t="s">
        <v>1078</v>
      </c>
      <c r="C207" s="11" t="s">
        <v>1084</v>
      </c>
      <c r="D207" s="11" t="s">
        <v>1638</v>
      </c>
      <c r="E207" s="11" t="s">
        <v>126</v>
      </c>
      <c r="F207" s="11" t="s">
        <v>205</v>
      </c>
      <c r="G207" s="11" t="n">
        <v>1</v>
      </c>
      <c r="H207" s="11" t="s">
        <v>107</v>
      </c>
      <c r="I207" s="11"/>
      <c r="J207" s="14"/>
      <c r="K207" s="14"/>
      <c r="L207" s="14"/>
      <c r="M207" s="14" t="s">
        <v>2385</v>
      </c>
      <c r="N207" s="14" t="s">
        <v>2386</v>
      </c>
      <c r="O207" s="14" t="s">
        <v>1086</v>
      </c>
      <c r="P207" s="11"/>
      <c r="Q207" s="11" t="s">
        <v>79</v>
      </c>
      <c r="R207" s="14" t="s">
        <v>2387</v>
      </c>
      <c r="S207" s="11" t="s">
        <v>1087</v>
      </c>
      <c r="T207" s="11"/>
      <c r="U207" s="11" t="s">
        <v>1088</v>
      </c>
    </row>
    <row r="208" customFormat="false" ht="42" hidden="false" customHeight="true" outlineLevel="0" collapsed="false">
      <c r="A208" s="11" t="n">
        <v>207</v>
      </c>
      <c r="B208" s="11" t="s">
        <v>1089</v>
      </c>
      <c r="C208" s="11" t="s">
        <v>1090</v>
      </c>
      <c r="D208" s="11" t="s">
        <v>1638</v>
      </c>
      <c r="E208" s="11" t="s">
        <v>1091</v>
      </c>
      <c r="F208" s="11" t="s">
        <v>115</v>
      </c>
      <c r="G208" s="11" t="n">
        <v>1</v>
      </c>
      <c r="H208" s="11" t="s">
        <v>86</v>
      </c>
      <c r="I208" s="11"/>
      <c r="J208" s="14"/>
      <c r="K208" s="14"/>
      <c r="L208" s="14"/>
      <c r="M208" s="14" t="s">
        <v>2388</v>
      </c>
      <c r="N208" s="14" t="s">
        <v>2389</v>
      </c>
      <c r="O208" s="14" t="s">
        <v>1093</v>
      </c>
      <c r="P208" s="11"/>
      <c r="Q208" s="11" t="s">
        <v>120</v>
      </c>
      <c r="R208" s="14" t="s">
        <v>2390</v>
      </c>
      <c r="S208" s="11" t="s">
        <v>1094</v>
      </c>
      <c r="T208" s="11"/>
      <c r="U208" s="11" t="s">
        <v>1095</v>
      </c>
    </row>
    <row r="209" customFormat="false" ht="42" hidden="false" customHeight="true" outlineLevel="0" collapsed="false">
      <c r="A209" s="11" t="n">
        <v>208</v>
      </c>
      <c r="B209" s="11" t="s">
        <v>1096</v>
      </c>
      <c r="C209" s="11" t="s">
        <v>1097</v>
      </c>
      <c r="D209" s="11" t="s">
        <v>1638</v>
      </c>
      <c r="E209" s="11" t="s">
        <v>126</v>
      </c>
      <c r="F209" s="11" t="s">
        <v>205</v>
      </c>
      <c r="G209" s="11" t="n">
        <v>1</v>
      </c>
      <c r="H209" s="11" t="s">
        <v>86</v>
      </c>
      <c r="I209" s="11"/>
      <c r="J209" s="14"/>
      <c r="K209" s="14"/>
      <c r="L209" s="14"/>
      <c r="M209" s="14" t="s">
        <v>2391</v>
      </c>
      <c r="N209" s="14" t="s">
        <v>2392</v>
      </c>
      <c r="O209" s="14" t="s">
        <v>1099</v>
      </c>
      <c r="P209" s="11" t="s">
        <v>2393</v>
      </c>
      <c r="Q209" s="11" t="s">
        <v>79</v>
      </c>
      <c r="R209" s="14"/>
      <c r="S209" s="11" t="s">
        <v>1100</v>
      </c>
      <c r="T209" s="11"/>
      <c r="U209" s="11" t="s">
        <v>1101</v>
      </c>
    </row>
    <row r="210" customFormat="false" ht="42" hidden="false" customHeight="true" outlineLevel="0" collapsed="false">
      <c r="A210" s="11" t="n">
        <v>209</v>
      </c>
      <c r="B210" s="11" t="s">
        <v>1096</v>
      </c>
      <c r="C210" s="11" t="s">
        <v>1102</v>
      </c>
      <c r="D210" s="11" t="s">
        <v>1638</v>
      </c>
      <c r="E210" s="11" t="s">
        <v>126</v>
      </c>
      <c r="F210" s="11" t="s">
        <v>205</v>
      </c>
      <c r="G210" s="11" t="n">
        <v>1</v>
      </c>
      <c r="H210" s="11" t="s">
        <v>86</v>
      </c>
      <c r="I210" s="11"/>
      <c r="J210" s="14"/>
      <c r="K210" s="14"/>
      <c r="L210" s="14"/>
      <c r="M210" s="14" t="s">
        <v>2394</v>
      </c>
      <c r="N210" s="14" t="s">
        <v>2395</v>
      </c>
      <c r="O210" s="14" t="s">
        <v>1104</v>
      </c>
      <c r="P210" s="11" t="s">
        <v>2396</v>
      </c>
      <c r="Q210" s="11" t="s">
        <v>79</v>
      </c>
      <c r="R210" s="14"/>
      <c r="S210" s="11" t="s">
        <v>1105</v>
      </c>
      <c r="T210" s="11"/>
      <c r="U210" s="11" t="s">
        <v>1106</v>
      </c>
    </row>
    <row r="211" customFormat="false" ht="42" hidden="false" customHeight="true" outlineLevel="0" collapsed="false">
      <c r="A211" s="11" t="n">
        <v>210</v>
      </c>
      <c r="B211" s="11" t="s">
        <v>1096</v>
      </c>
      <c r="C211" s="11" t="s">
        <v>1102</v>
      </c>
      <c r="D211" s="11" t="s">
        <v>1638</v>
      </c>
      <c r="E211" s="11" t="s">
        <v>126</v>
      </c>
      <c r="F211" s="11" t="s">
        <v>205</v>
      </c>
      <c r="G211" s="11" t="n">
        <v>1</v>
      </c>
      <c r="H211" s="11" t="s">
        <v>86</v>
      </c>
      <c r="I211" s="11"/>
      <c r="J211" s="14"/>
      <c r="K211" s="14"/>
      <c r="L211" s="14"/>
      <c r="M211" s="14" t="s">
        <v>2397</v>
      </c>
      <c r="N211" s="14" t="s">
        <v>2392</v>
      </c>
      <c r="O211" s="14" t="s">
        <v>1104</v>
      </c>
      <c r="P211" s="11" t="s">
        <v>2393</v>
      </c>
      <c r="Q211" s="11" t="s">
        <v>79</v>
      </c>
      <c r="R211" s="14" t="s">
        <v>2398</v>
      </c>
      <c r="S211" s="11" t="s">
        <v>1108</v>
      </c>
      <c r="T211" s="11" t="s">
        <v>1100</v>
      </c>
      <c r="U211" s="11" t="s">
        <v>1106</v>
      </c>
    </row>
    <row r="212" customFormat="false" ht="42" hidden="false" customHeight="true" outlineLevel="0" collapsed="false">
      <c r="A212" s="11" t="n">
        <v>211</v>
      </c>
      <c r="B212" s="11" t="s">
        <v>1096</v>
      </c>
      <c r="C212" s="11" t="s">
        <v>1109</v>
      </c>
      <c r="D212" s="11" t="s">
        <v>1638</v>
      </c>
      <c r="E212" s="11" t="s">
        <v>126</v>
      </c>
      <c r="F212" s="11" t="s">
        <v>205</v>
      </c>
      <c r="G212" s="11" t="n">
        <v>1</v>
      </c>
      <c r="H212" s="11" t="s">
        <v>86</v>
      </c>
      <c r="I212" s="11"/>
      <c r="J212" s="14"/>
      <c r="K212" s="14"/>
      <c r="L212" s="14"/>
      <c r="M212" s="14" t="s">
        <v>2399</v>
      </c>
      <c r="N212" s="14" t="s">
        <v>2400</v>
      </c>
      <c r="O212" s="14" t="s">
        <v>1111</v>
      </c>
      <c r="P212" s="11" t="s">
        <v>2401</v>
      </c>
      <c r="Q212" s="11" t="s">
        <v>79</v>
      </c>
      <c r="R212" s="14"/>
      <c r="S212" s="11" t="s">
        <v>1112</v>
      </c>
      <c r="T212" s="11"/>
      <c r="U212" s="11" t="s">
        <v>1113</v>
      </c>
    </row>
    <row r="213" customFormat="false" ht="42" hidden="false" customHeight="true" outlineLevel="0" collapsed="false">
      <c r="A213" s="11" t="n">
        <v>212</v>
      </c>
      <c r="B213" s="11" t="s">
        <v>1096</v>
      </c>
      <c r="C213" s="11" t="s">
        <v>1114</v>
      </c>
      <c r="D213" s="11" t="s">
        <v>1638</v>
      </c>
      <c r="E213" s="11" t="s">
        <v>126</v>
      </c>
      <c r="F213" s="11" t="s">
        <v>234</v>
      </c>
      <c r="G213" s="11" t="n">
        <v>1</v>
      </c>
      <c r="H213" s="11" t="s">
        <v>86</v>
      </c>
      <c r="I213" s="11"/>
      <c r="J213" s="14"/>
      <c r="K213" s="14"/>
      <c r="L213" s="14"/>
      <c r="M213" s="14" t="s">
        <v>2402</v>
      </c>
      <c r="N213" s="14" t="s">
        <v>2403</v>
      </c>
      <c r="O213" s="14" t="s">
        <v>1116</v>
      </c>
      <c r="P213" s="11"/>
      <c r="Q213" s="11" t="s">
        <v>79</v>
      </c>
      <c r="R213" s="14" t="s">
        <v>2404</v>
      </c>
      <c r="S213" s="11" t="s">
        <v>1117</v>
      </c>
      <c r="T213" s="11"/>
      <c r="U213" s="11" t="s">
        <v>1118</v>
      </c>
    </row>
    <row r="214" customFormat="false" ht="42" hidden="false" customHeight="true" outlineLevel="0" collapsed="false">
      <c r="A214" s="11" t="n">
        <v>213</v>
      </c>
      <c r="B214" s="11" t="s">
        <v>1096</v>
      </c>
      <c r="C214" s="11" t="s">
        <v>1119</v>
      </c>
      <c r="D214" s="11" t="s">
        <v>1638</v>
      </c>
      <c r="E214" s="11" t="s">
        <v>126</v>
      </c>
      <c r="F214" s="11" t="s">
        <v>205</v>
      </c>
      <c r="G214" s="11" t="n">
        <v>1</v>
      </c>
      <c r="H214" s="11" t="s">
        <v>107</v>
      </c>
      <c r="I214" s="11"/>
      <c r="J214" s="14"/>
      <c r="K214" s="14"/>
      <c r="L214" s="14"/>
      <c r="M214" s="14" t="s">
        <v>2405</v>
      </c>
      <c r="N214" s="14" t="s">
        <v>2406</v>
      </c>
      <c r="O214" s="14" t="s">
        <v>1121</v>
      </c>
      <c r="P214" s="11" t="s">
        <v>2407</v>
      </c>
      <c r="Q214" s="11" t="s">
        <v>79</v>
      </c>
      <c r="R214" s="14"/>
      <c r="S214" s="11" t="s">
        <v>1122</v>
      </c>
      <c r="T214" s="11"/>
      <c r="U214" s="11" t="s">
        <v>1123</v>
      </c>
    </row>
    <row r="215" customFormat="false" ht="42" hidden="false" customHeight="true" outlineLevel="0" collapsed="false">
      <c r="A215" s="11" t="n">
        <v>214</v>
      </c>
      <c r="B215" s="11" t="s">
        <v>1124</v>
      </c>
      <c r="C215" s="11" t="s">
        <v>1125</v>
      </c>
      <c r="D215" s="11" t="s">
        <v>1638</v>
      </c>
      <c r="E215" s="11" t="s">
        <v>126</v>
      </c>
      <c r="F215" s="11" t="s">
        <v>205</v>
      </c>
      <c r="G215" s="11" t="n">
        <v>1</v>
      </c>
      <c r="H215" s="11" t="s">
        <v>107</v>
      </c>
      <c r="I215" s="11"/>
      <c r="J215" s="14"/>
      <c r="K215" s="14"/>
      <c r="L215" s="14"/>
      <c r="M215" s="14" t="s">
        <v>2408</v>
      </c>
      <c r="N215" s="14" t="s">
        <v>2409</v>
      </c>
      <c r="O215" s="14" t="s">
        <v>1127</v>
      </c>
      <c r="P215" s="11" t="s">
        <v>2410</v>
      </c>
      <c r="Q215" s="11" t="s">
        <v>79</v>
      </c>
      <c r="R215" s="14"/>
      <c r="S215" s="11" t="s">
        <v>1128</v>
      </c>
      <c r="T215" s="11"/>
      <c r="U215" s="11" t="s">
        <v>1129</v>
      </c>
    </row>
    <row r="216" customFormat="false" ht="42" hidden="false" customHeight="true" outlineLevel="0" collapsed="false">
      <c r="A216" s="11" t="n">
        <v>215</v>
      </c>
      <c r="B216" s="11" t="s">
        <v>1130</v>
      </c>
      <c r="C216" s="11" t="s">
        <v>1131</v>
      </c>
      <c r="D216" s="11" t="s">
        <v>1638</v>
      </c>
      <c r="E216" s="11" t="s">
        <v>126</v>
      </c>
      <c r="F216" s="11" t="s">
        <v>205</v>
      </c>
      <c r="G216" s="11" t="n">
        <v>1</v>
      </c>
      <c r="H216" s="11" t="s">
        <v>90</v>
      </c>
      <c r="I216" s="11"/>
      <c r="J216" s="14"/>
      <c r="K216" s="14"/>
      <c r="L216" s="14"/>
      <c r="M216" s="14" t="s">
        <v>2411</v>
      </c>
      <c r="N216" s="14" t="s">
        <v>2412</v>
      </c>
      <c r="O216" s="14" t="s">
        <v>1133</v>
      </c>
      <c r="P216" s="11" t="s">
        <v>2413</v>
      </c>
      <c r="Q216" s="11" t="s">
        <v>79</v>
      </c>
      <c r="R216" s="14"/>
      <c r="S216" s="11" t="s">
        <v>1134</v>
      </c>
      <c r="T216" s="11"/>
      <c r="U216" s="11" t="s">
        <v>1135</v>
      </c>
    </row>
    <row r="217" customFormat="false" ht="42" hidden="false" customHeight="true" outlineLevel="0" collapsed="false">
      <c r="A217" s="11" t="n">
        <v>216</v>
      </c>
      <c r="B217" s="11" t="s">
        <v>1130</v>
      </c>
      <c r="C217" s="11" t="s">
        <v>1136</v>
      </c>
      <c r="D217" s="11" t="s">
        <v>1638</v>
      </c>
      <c r="E217" s="11" t="s">
        <v>126</v>
      </c>
      <c r="F217" s="11" t="s">
        <v>205</v>
      </c>
      <c r="G217" s="11" t="n">
        <v>1</v>
      </c>
      <c r="H217" s="11" t="s">
        <v>259</v>
      </c>
      <c r="I217" s="11"/>
      <c r="J217" s="14"/>
      <c r="K217" s="14"/>
      <c r="L217" s="14"/>
      <c r="M217" s="14" t="s">
        <v>2414</v>
      </c>
      <c r="N217" s="14" t="s">
        <v>2415</v>
      </c>
      <c r="O217" s="14" t="s">
        <v>1138</v>
      </c>
      <c r="P217" s="11" t="s">
        <v>2416</v>
      </c>
      <c r="Q217" s="11" t="s">
        <v>79</v>
      </c>
      <c r="R217" s="14"/>
      <c r="S217" s="11" t="s">
        <v>1139</v>
      </c>
      <c r="T217" s="11"/>
      <c r="U217" s="11" t="s">
        <v>1140</v>
      </c>
    </row>
    <row r="218" customFormat="false" ht="42" hidden="false" customHeight="true" outlineLevel="0" collapsed="false">
      <c r="A218" s="11" t="n">
        <v>217</v>
      </c>
      <c r="B218" s="11" t="s">
        <v>1130</v>
      </c>
      <c r="C218" s="11" t="s">
        <v>1141</v>
      </c>
      <c r="D218" s="11" t="s">
        <v>1638</v>
      </c>
      <c r="E218" s="11" t="s">
        <v>126</v>
      </c>
      <c r="F218" s="11" t="s">
        <v>205</v>
      </c>
      <c r="G218" s="11" t="n">
        <v>1</v>
      </c>
      <c r="H218" s="11" t="s">
        <v>259</v>
      </c>
      <c r="I218" s="11"/>
      <c r="J218" s="14"/>
      <c r="K218" s="14"/>
      <c r="L218" s="14"/>
      <c r="M218" s="14" t="s">
        <v>2417</v>
      </c>
      <c r="N218" s="14" t="s">
        <v>2418</v>
      </c>
      <c r="O218" s="14" t="s">
        <v>1143</v>
      </c>
      <c r="P218" s="11" t="s">
        <v>2419</v>
      </c>
      <c r="Q218" s="11" t="s">
        <v>79</v>
      </c>
      <c r="R218" s="14"/>
      <c r="S218" s="11" t="s">
        <v>1144</v>
      </c>
      <c r="T218" s="11"/>
      <c r="U218" s="11" t="s">
        <v>1145</v>
      </c>
    </row>
    <row r="219" customFormat="false" ht="42" hidden="false" customHeight="true" outlineLevel="0" collapsed="false">
      <c r="A219" s="11" t="n">
        <v>218</v>
      </c>
      <c r="B219" s="11" t="s">
        <v>1130</v>
      </c>
      <c r="C219" s="11" t="s">
        <v>2420</v>
      </c>
      <c r="D219" s="11" t="s">
        <v>1638</v>
      </c>
      <c r="E219" s="11" t="s">
        <v>75</v>
      </c>
      <c r="F219" s="11" t="s">
        <v>74</v>
      </c>
      <c r="G219" s="11" t="n">
        <v>0</v>
      </c>
      <c r="H219" s="11"/>
      <c r="I219" s="11"/>
      <c r="J219" s="14"/>
      <c r="K219" s="14"/>
      <c r="L219" s="14"/>
      <c r="M219" s="14" t="s">
        <v>2421</v>
      </c>
      <c r="N219" s="14" t="s">
        <v>2422</v>
      </c>
      <c r="O219" s="14" t="s">
        <v>2423</v>
      </c>
      <c r="P219" s="11" t="s">
        <v>2424</v>
      </c>
      <c r="Q219" s="11" t="s">
        <v>79</v>
      </c>
      <c r="R219" s="14" t="s">
        <v>2425</v>
      </c>
      <c r="S219" s="11" t="s">
        <v>2426</v>
      </c>
      <c r="T219" s="11"/>
      <c r="U219" s="11" t="s">
        <v>2427</v>
      </c>
    </row>
    <row r="220" customFormat="false" ht="42" hidden="false" customHeight="true" outlineLevel="0" collapsed="false">
      <c r="A220" s="11" t="n">
        <v>219</v>
      </c>
      <c r="B220" s="11" t="s">
        <v>1146</v>
      </c>
      <c r="C220" s="11" t="s">
        <v>1147</v>
      </c>
      <c r="D220" s="11" t="s">
        <v>1638</v>
      </c>
      <c r="E220" s="11" t="s">
        <v>1091</v>
      </c>
      <c r="F220" s="11" t="s">
        <v>115</v>
      </c>
      <c r="G220" s="11" t="n">
        <v>1</v>
      </c>
      <c r="H220" s="11" t="s">
        <v>259</v>
      </c>
      <c r="I220" s="11"/>
      <c r="J220" s="14"/>
      <c r="K220" s="14"/>
      <c r="L220" s="14"/>
      <c r="M220" s="14" t="s">
        <v>2428</v>
      </c>
      <c r="N220" s="14" t="s">
        <v>2429</v>
      </c>
      <c r="O220" s="14" t="s">
        <v>1149</v>
      </c>
      <c r="P220" s="11"/>
      <c r="Q220" s="11" t="s">
        <v>120</v>
      </c>
      <c r="R220" s="14" t="s">
        <v>2430</v>
      </c>
      <c r="S220" s="11" t="s">
        <v>1150</v>
      </c>
      <c r="T220" s="11"/>
      <c r="U220" s="11" t="s">
        <v>1151</v>
      </c>
    </row>
    <row r="221" customFormat="false" ht="42" hidden="false" customHeight="true" outlineLevel="0" collapsed="false">
      <c r="A221" s="11" t="n">
        <v>220</v>
      </c>
      <c r="B221" s="11" t="s">
        <v>1146</v>
      </c>
      <c r="C221" s="11" t="s">
        <v>1152</v>
      </c>
      <c r="D221" s="11" t="s">
        <v>1638</v>
      </c>
      <c r="E221" s="11" t="s">
        <v>126</v>
      </c>
      <c r="F221" s="11" t="s">
        <v>205</v>
      </c>
      <c r="G221" s="11" t="n">
        <v>1</v>
      </c>
      <c r="H221" s="11" t="s">
        <v>626</v>
      </c>
      <c r="I221" s="11"/>
      <c r="J221" s="14"/>
      <c r="K221" s="14"/>
      <c r="L221" s="14"/>
      <c r="M221" s="14" t="s">
        <v>2431</v>
      </c>
      <c r="N221" s="14" t="s">
        <v>2432</v>
      </c>
      <c r="O221" s="14" t="s">
        <v>1154</v>
      </c>
      <c r="P221" s="11" t="s">
        <v>2433</v>
      </c>
      <c r="Q221" s="11" t="s">
        <v>79</v>
      </c>
      <c r="R221" s="14"/>
      <c r="S221" s="11" t="s">
        <v>1155</v>
      </c>
      <c r="T221" s="11"/>
      <c r="U221" s="11" t="s">
        <v>1156</v>
      </c>
    </row>
    <row r="222" customFormat="false" ht="42" hidden="false" customHeight="true" outlineLevel="0" collapsed="false">
      <c r="A222" s="11" t="n">
        <v>221</v>
      </c>
      <c r="B222" s="11" t="s">
        <v>1146</v>
      </c>
      <c r="C222" s="11" t="s">
        <v>1157</v>
      </c>
      <c r="D222" s="11" t="s">
        <v>1638</v>
      </c>
      <c r="E222" s="11" t="s">
        <v>126</v>
      </c>
      <c r="F222" s="11" t="s">
        <v>205</v>
      </c>
      <c r="G222" s="11" t="n">
        <v>1</v>
      </c>
      <c r="H222" s="11" t="s">
        <v>626</v>
      </c>
      <c r="I222" s="11"/>
      <c r="J222" s="14"/>
      <c r="K222" s="14"/>
      <c r="L222" s="14"/>
      <c r="M222" s="14" t="s">
        <v>2434</v>
      </c>
      <c r="N222" s="14" t="s">
        <v>2435</v>
      </c>
      <c r="O222" s="14" t="s">
        <v>1159</v>
      </c>
      <c r="P222" s="11" t="s">
        <v>2436</v>
      </c>
      <c r="Q222" s="11" t="s">
        <v>79</v>
      </c>
      <c r="R222" s="14"/>
      <c r="S222" s="11" t="s">
        <v>1160</v>
      </c>
      <c r="T222" s="11"/>
      <c r="U222" s="11" t="s">
        <v>1161</v>
      </c>
    </row>
    <row r="223" customFormat="false" ht="42" hidden="false" customHeight="true" outlineLevel="0" collapsed="false">
      <c r="A223" s="11" t="n">
        <v>222</v>
      </c>
      <c r="B223" s="11" t="s">
        <v>1162</v>
      </c>
      <c r="C223" s="11" t="s">
        <v>1163</v>
      </c>
      <c r="D223" s="11" t="s">
        <v>1638</v>
      </c>
      <c r="E223" s="11" t="s">
        <v>126</v>
      </c>
      <c r="F223" s="11" t="s">
        <v>205</v>
      </c>
      <c r="G223" s="11" t="n">
        <v>1</v>
      </c>
      <c r="H223" s="11" t="s">
        <v>349</v>
      </c>
      <c r="I223" s="11"/>
      <c r="J223" s="14"/>
      <c r="K223" s="14"/>
      <c r="L223" s="14"/>
      <c r="M223" s="14" t="s">
        <v>2437</v>
      </c>
      <c r="N223" s="14" t="s">
        <v>2438</v>
      </c>
      <c r="O223" s="14" t="s">
        <v>1165</v>
      </c>
      <c r="P223" s="11" t="s">
        <v>2439</v>
      </c>
      <c r="Q223" s="11" t="s">
        <v>79</v>
      </c>
      <c r="R223" s="14"/>
      <c r="S223" s="11" t="s">
        <v>1166</v>
      </c>
      <c r="T223" s="11"/>
      <c r="U223" s="11" t="s">
        <v>1167</v>
      </c>
    </row>
    <row r="224" customFormat="false" ht="42" hidden="false" customHeight="true" outlineLevel="0" collapsed="false">
      <c r="A224" s="11" t="n">
        <v>223</v>
      </c>
      <c r="B224" s="11" t="s">
        <v>1162</v>
      </c>
      <c r="C224" s="11" t="s">
        <v>1168</v>
      </c>
      <c r="D224" s="11" t="s">
        <v>1638</v>
      </c>
      <c r="E224" s="11" t="s">
        <v>126</v>
      </c>
      <c r="F224" s="11" t="s">
        <v>205</v>
      </c>
      <c r="G224" s="11" t="n">
        <v>1</v>
      </c>
      <c r="H224" s="11" t="s">
        <v>349</v>
      </c>
      <c r="I224" s="11"/>
      <c r="J224" s="14"/>
      <c r="K224" s="14"/>
      <c r="L224" s="14"/>
      <c r="M224" s="14" t="s">
        <v>2440</v>
      </c>
      <c r="N224" s="14" t="s">
        <v>2441</v>
      </c>
      <c r="O224" s="14" t="s">
        <v>1170</v>
      </c>
      <c r="P224" s="11" t="s">
        <v>2442</v>
      </c>
      <c r="Q224" s="11" t="s">
        <v>79</v>
      </c>
      <c r="R224" s="14"/>
      <c r="S224" s="11" t="s">
        <v>1171</v>
      </c>
      <c r="T224" s="11"/>
      <c r="U224" s="11" t="s">
        <v>1172</v>
      </c>
    </row>
    <row r="225" customFormat="false" ht="42" hidden="false" customHeight="true" outlineLevel="0" collapsed="false">
      <c r="A225" s="11" t="n">
        <v>224</v>
      </c>
      <c r="B225" s="11" t="s">
        <v>1162</v>
      </c>
      <c r="C225" s="11" t="s">
        <v>1173</v>
      </c>
      <c r="D225" s="11" t="s">
        <v>1638</v>
      </c>
      <c r="E225" s="11" t="s">
        <v>126</v>
      </c>
      <c r="F225" s="11" t="s">
        <v>205</v>
      </c>
      <c r="G225" s="11" t="n">
        <v>1</v>
      </c>
      <c r="H225" s="11" t="s">
        <v>1174</v>
      </c>
      <c r="I225" s="11"/>
      <c r="J225" s="14"/>
      <c r="K225" s="14"/>
      <c r="L225" s="14"/>
      <c r="M225" s="14" t="s">
        <v>2443</v>
      </c>
      <c r="N225" s="14" t="s">
        <v>2444</v>
      </c>
      <c r="O225" s="14" t="s">
        <v>1177</v>
      </c>
      <c r="P225" s="11" t="s">
        <v>2445</v>
      </c>
      <c r="Q225" s="11" t="s">
        <v>79</v>
      </c>
      <c r="R225" s="14"/>
      <c r="S225" s="11" t="s">
        <v>1178</v>
      </c>
      <c r="T225" s="11"/>
      <c r="U225" s="11" t="s">
        <v>1179</v>
      </c>
    </row>
    <row r="226" customFormat="false" ht="42" hidden="false" customHeight="true" outlineLevel="0" collapsed="false">
      <c r="A226" s="11" t="n">
        <v>225</v>
      </c>
      <c r="B226" s="11" t="s">
        <v>1162</v>
      </c>
      <c r="C226" s="11" t="s">
        <v>1180</v>
      </c>
      <c r="D226" s="11" t="s">
        <v>1638</v>
      </c>
      <c r="E226" s="11" t="s">
        <v>126</v>
      </c>
      <c r="F226" s="11" t="s">
        <v>205</v>
      </c>
      <c r="G226" s="11" t="n">
        <v>1</v>
      </c>
      <c r="H226" s="11" t="s">
        <v>90</v>
      </c>
      <c r="I226" s="11"/>
      <c r="J226" s="14"/>
      <c r="K226" s="14"/>
      <c r="L226" s="14"/>
      <c r="M226" s="14" t="s">
        <v>2446</v>
      </c>
      <c r="N226" s="14" t="s">
        <v>2447</v>
      </c>
      <c r="O226" s="14" t="s">
        <v>1182</v>
      </c>
      <c r="P226" s="11" t="s">
        <v>2448</v>
      </c>
      <c r="Q226" s="11" t="s">
        <v>79</v>
      </c>
      <c r="R226" s="14"/>
      <c r="S226" s="11" t="s">
        <v>1183</v>
      </c>
      <c r="T226" s="11"/>
      <c r="U226" s="11" t="s">
        <v>1184</v>
      </c>
    </row>
    <row r="227" customFormat="false" ht="42" hidden="false" customHeight="true" outlineLevel="0" collapsed="false">
      <c r="A227" s="11" t="n">
        <v>226</v>
      </c>
      <c r="B227" s="11" t="s">
        <v>1185</v>
      </c>
      <c r="C227" s="11" t="s">
        <v>1186</v>
      </c>
      <c r="D227" s="11" t="s">
        <v>1638</v>
      </c>
      <c r="E227" s="11" t="s">
        <v>126</v>
      </c>
      <c r="F227" s="11" t="s">
        <v>205</v>
      </c>
      <c r="G227" s="11" t="n">
        <v>1</v>
      </c>
      <c r="H227" s="11" t="s">
        <v>92</v>
      </c>
      <c r="I227" s="11"/>
      <c r="J227" s="14"/>
      <c r="K227" s="14"/>
      <c r="L227" s="14"/>
      <c r="M227" s="14" t="s">
        <v>2449</v>
      </c>
      <c r="N227" s="14" t="s">
        <v>2450</v>
      </c>
      <c r="O227" s="14" t="s">
        <v>1188</v>
      </c>
      <c r="P227" s="11" t="s">
        <v>2451</v>
      </c>
      <c r="Q227" s="11" t="s">
        <v>79</v>
      </c>
      <c r="R227" s="14"/>
      <c r="S227" s="11" t="s">
        <v>1189</v>
      </c>
      <c r="T227" s="11"/>
      <c r="U227" s="11" t="s">
        <v>1190</v>
      </c>
    </row>
    <row r="228" customFormat="false" ht="42" hidden="false" customHeight="true" outlineLevel="0" collapsed="false">
      <c r="A228" s="11" t="n">
        <v>227</v>
      </c>
      <c r="B228" s="11" t="s">
        <v>1185</v>
      </c>
      <c r="C228" s="11" t="s">
        <v>1191</v>
      </c>
      <c r="D228" s="11" t="s">
        <v>1638</v>
      </c>
      <c r="E228" s="11" t="s">
        <v>126</v>
      </c>
      <c r="F228" s="11" t="s">
        <v>205</v>
      </c>
      <c r="G228" s="11" t="n">
        <v>1</v>
      </c>
      <c r="H228" s="11" t="s">
        <v>1192</v>
      </c>
      <c r="I228" s="11"/>
      <c r="J228" s="14"/>
      <c r="K228" s="14"/>
      <c r="L228" s="14"/>
      <c r="M228" s="14" t="s">
        <v>2452</v>
      </c>
      <c r="N228" s="14" t="s">
        <v>2453</v>
      </c>
      <c r="O228" s="14" t="s">
        <v>1195</v>
      </c>
      <c r="P228" s="11" t="s">
        <v>2454</v>
      </c>
      <c r="Q228" s="11" t="s">
        <v>79</v>
      </c>
      <c r="R228" s="14"/>
      <c r="S228" s="11" t="s">
        <v>1196</v>
      </c>
      <c r="T228" s="11"/>
      <c r="U228" s="11" t="s">
        <v>1197</v>
      </c>
    </row>
    <row r="229" customFormat="false" ht="42" hidden="false" customHeight="true" outlineLevel="0" collapsed="false">
      <c r="A229" s="11" t="n">
        <v>228</v>
      </c>
      <c r="B229" s="11" t="s">
        <v>1185</v>
      </c>
      <c r="C229" s="11" t="s">
        <v>1198</v>
      </c>
      <c r="D229" s="11" t="s">
        <v>1638</v>
      </c>
      <c r="E229" s="11" t="s">
        <v>126</v>
      </c>
      <c r="F229" s="11" t="s">
        <v>205</v>
      </c>
      <c r="G229" s="11" t="n">
        <v>1</v>
      </c>
      <c r="H229" s="11" t="s">
        <v>90</v>
      </c>
      <c r="I229" s="11"/>
      <c r="J229" s="14"/>
      <c r="K229" s="14"/>
      <c r="L229" s="14"/>
      <c r="M229" s="14" t="s">
        <v>2455</v>
      </c>
      <c r="N229" s="14" t="s">
        <v>2456</v>
      </c>
      <c r="O229" s="14" t="s">
        <v>1200</v>
      </c>
      <c r="P229" s="11" t="s">
        <v>2457</v>
      </c>
      <c r="Q229" s="11" t="s">
        <v>79</v>
      </c>
      <c r="R229" s="14"/>
      <c r="S229" s="11" t="s">
        <v>1201</v>
      </c>
      <c r="T229" s="11"/>
      <c r="U229" s="11" t="s">
        <v>1202</v>
      </c>
    </row>
    <row r="230" customFormat="false" ht="42" hidden="false" customHeight="true" outlineLevel="0" collapsed="false">
      <c r="A230" s="11" t="n">
        <v>229</v>
      </c>
      <c r="B230" s="11" t="s">
        <v>1185</v>
      </c>
      <c r="C230" s="11" t="s">
        <v>2458</v>
      </c>
      <c r="D230" s="11" t="s">
        <v>1638</v>
      </c>
      <c r="E230" s="11" t="s">
        <v>2459</v>
      </c>
      <c r="F230" s="11" t="s">
        <v>205</v>
      </c>
      <c r="G230" s="11" t="n">
        <v>0</v>
      </c>
      <c r="H230" s="11"/>
      <c r="I230" s="11"/>
      <c r="J230" s="14"/>
      <c r="K230" s="14"/>
      <c r="L230" s="14"/>
      <c r="M230" s="14" t="s">
        <v>2460</v>
      </c>
      <c r="N230" s="14" t="s">
        <v>2461</v>
      </c>
      <c r="O230" s="14" t="s">
        <v>2462</v>
      </c>
      <c r="P230" s="11"/>
      <c r="Q230" s="11" t="s">
        <v>79</v>
      </c>
      <c r="R230" s="14" t="s">
        <v>2463</v>
      </c>
      <c r="S230" s="11" t="s">
        <v>2464</v>
      </c>
      <c r="T230" s="11"/>
      <c r="U230" s="11" t="s">
        <v>2465</v>
      </c>
    </row>
    <row r="231" customFormat="false" ht="42" hidden="false" customHeight="true" outlineLevel="0" collapsed="false">
      <c r="A231" s="11" t="n">
        <v>230</v>
      </c>
      <c r="B231" s="11" t="s">
        <v>1185</v>
      </c>
      <c r="C231" s="11" t="s">
        <v>2466</v>
      </c>
      <c r="D231" s="11" t="s">
        <v>1638</v>
      </c>
      <c r="E231" s="11" t="s">
        <v>2459</v>
      </c>
      <c r="F231" s="11" t="s">
        <v>205</v>
      </c>
      <c r="G231" s="11" t="n">
        <v>0</v>
      </c>
      <c r="H231" s="11"/>
      <c r="I231" s="11"/>
      <c r="J231" s="14"/>
      <c r="K231" s="14"/>
      <c r="L231" s="14"/>
      <c r="M231" s="14" t="s">
        <v>2467</v>
      </c>
      <c r="N231" s="14" t="s">
        <v>2468</v>
      </c>
      <c r="O231" s="14" t="s">
        <v>2469</v>
      </c>
      <c r="P231" s="11" t="s">
        <v>2470</v>
      </c>
      <c r="Q231" s="11" t="s">
        <v>79</v>
      </c>
      <c r="R231" s="14" t="s">
        <v>2471</v>
      </c>
      <c r="S231" s="11" t="s">
        <v>2472</v>
      </c>
      <c r="T231" s="11"/>
      <c r="U231" s="11" t="s">
        <v>2473</v>
      </c>
    </row>
    <row r="232" customFormat="false" ht="42" hidden="false" customHeight="true" outlineLevel="0" collapsed="false">
      <c r="A232" s="11" t="n">
        <v>231</v>
      </c>
      <c r="B232" s="11" t="s">
        <v>1203</v>
      </c>
      <c r="C232" s="11" t="s">
        <v>2474</v>
      </c>
      <c r="D232" s="11" t="s">
        <v>1638</v>
      </c>
      <c r="E232" s="11" t="s">
        <v>75</v>
      </c>
      <c r="F232" s="11" t="s">
        <v>74</v>
      </c>
      <c r="G232" s="11" t="n">
        <v>0</v>
      </c>
      <c r="H232" s="11"/>
      <c r="I232" s="11"/>
      <c r="J232" s="14"/>
      <c r="K232" s="14"/>
      <c r="L232" s="14"/>
      <c r="M232" s="14" t="s">
        <v>2475</v>
      </c>
      <c r="N232" s="14" t="s">
        <v>2476</v>
      </c>
      <c r="O232" s="14" t="s">
        <v>2477</v>
      </c>
      <c r="P232" s="11" t="s">
        <v>2478</v>
      </c>
      <c r="Q232" s="11" t="s">
        <v>79</v>
      </c>
      <c r="R232" s="14" t="s">
        <v>2479</v>
      </c>
      <c r="S232" s="11" t="s">
        <v>2480</v>
      </c>
      <c r="T232" s="11"/>
      <c r="U232" s="11" t="s">
        <v>2481</v>
      </c>
    </row>
    <row r="233" customFormat="false" ht="42" hidden="false" customHeight="true" outlineLevel="0" collapsed="false">
      <c r="A233" s="11" t="n">
        <v>232</v>
      </c>
      <c r="B233" s="11" t="s">
        <v>1203</v>
      </c>
      <c r="C233" s="11" t="s">
        <v>1204</v>
      </c>
      <c r="D233" s="11" t="s">
        <v>1638</v>
      </c>
      <c r="E233" s="11" t="s">
        <v>75</v>
      </c>
      <c r="F233" s="11" t="s">
        <v>74</v>
      </c>
      <c r="G233" s="11" t="n">
        <v>1</v>
      </c>
      <c r="H233" s="11" t="s">
        <v>86</v>
      </c>
      <c r="I233" s="11"/>
      <c r="J233" s="14"/>
      <c r="K233" s="14"/>
      <c r="L233" s="14"/>
      <c r="M233" s="14" t="s">
        <v>2482</v>
      </c>
      <c r="N233" s="14" t="s">
        <v>2483</v>
      </c>
      <c r="O233" s="14" t="s">
        <v>1206</v>
      </c>
      <c r="P233" s="11" t="s">
        <v>2484</v>
      </c>
      <c r="Q233" s="11" t="s">
        <v>79</v>
      </c>
      <c r="R233" s="14"/>
      <c r="S233" s="11" t="s">
        <v>1207</v>
      </c>
      <c r="T233" s="11"/>
      <c r="U233" s="11" t="s">
        <v>1208</v>
      </c>
    </row>
    <row r="234" customFormat="false" ht="42" hidden="false" customHeight="true" outlineLevel="0" collapsed="false">
      <c r="A234" s="11" t="n">
        <v>233</v>
      </c>
      <c r="B234" s="11" t="s">
        <v>1203</v>
      </c>
      <c r="C234" s="11" t="s">
        <v>1209</v>
      </c>
      <c r="D234" s="11" t="s">
        <v>1638</v>
      </c>
      <c r="E234" s="11" t="s">
        <v>126</v>
      </c>
      <c r="F234" s="11" t="s">
        <v>205</v>
      </c>
      <c r="G234" s="11" t="n">
        <v>1</v>
      </c>
      <c r="H234" s="11" t="s">
        <v>1210</v>
      </c>
      <c r="I234" s="11"/>
      <c r="J234" s="14"/>
      <c r="K234" s="14"/>
      <c r="L234" s="14"/>
      <c r="M234" s="14" t="s">
        <v>2485</v>
      </c>
      <c r="N234" s="14" t="s">
        <v>2486</v>
      </c>
      <c r="O234" s="14" t="s">
        <v>1213</v>
      </c>
      <c r="P234" s="11" t="s">
        <v>2487</v>
      </c>
      <c r="Q234" s="11" t="s">
        <v>79</v>
      </c>
      <c r="R234" s="14"/>
      <c r="S234" s="11" t="s">
        <v>1214</v>
      </c>
      <c r="T234" s="11"/>
      <c r="U234" s="11" t="s">
        <v>1215</v>
      </c>
    </row>
    <row r="235" customFormat="false" ht="42" hidden="false" customHeight="true" outlineLevel="0" collapsed="false">
      <c r="A235" s="11" t="n">
        <v>234</v>
      </c>
      <c r="B235" s="11" t="s">
        <v>1216</v>
      </c>
      <c r="C235" s="11" t="s">
        <v>1217</v>
      </c>
      <c r="D235" s="11" t="s">
        <v>1638</v>
      </c>
      <c r="E235" s="11" t="s">
        <v>126</v>
      </c>
      <c r="F235" s="11" t="s">
        <v>205</v>
      </c>
      <c r="G235" s="11" t="n">
        <v>1</v>
      </c>
      <c r="H235" s="11" t="s">
        <v>86</v>
      </c>
      <c r="I235" s="11"/>
      <c r="J235" s="14"/>
      <c r="K235" s="14"/>
      <c r="L235" s="14"/>
      <c r="M235" s="14" t="s">
        <v>2488</v>
      </c>
      <c r="N235" s="14" t="s">
        <v>2489</v>
      </c>
      <c r="O235" s="14" t="s">
        <v>1219</v>
      </c>
      <c r="P235" s="11" t="s">
        <v>2490</v>
      </c>
      <c r="Q235" s="11" t="s">
        <v>79</v>
      </c>
      <c r="R235" s="14"/>
      <c r="S235" s="11" t="s">
        <v>1220</v>
      </c>
      <c r="T235" s="11"/>
      <c r="U235" s="11" t="s">
        <v>1221</v>
      </c>
    </row>
    <row r="236" customFormat="false" ht="42" hidden="false" customHeight="true" outlineLevel="0" collapsed="false">
      <c r="A236" s="11" t="n">
        <v>235</v>
      </c>
      <c r="B236" s="11" t="s">
        <v>1222</v>
      </c>
      <c r="C236" s="11" t="s">
        <v>1223</v>
      </c>
      <c r="D236" s="11" t="s">
        <v>1638</v>
      </c>
      <c r="E236" s="11" t="s">
        <v>126</v>
      </c>
      <c r="F236" s="11" t="s">
        <v>205</v>
      </c>
      <c r="G236" s="11" t="n">
        <v>1</v>
      </c>
      <c r="H236" s="11" t="s">
        <v>1224</v>
      </c>
      <c r="I236" s="11"/>
      <c r="J236" s="14"/>
      <c r="K236" s="14"/>
      <c r="L236" s="14"/>
      <c r="M236" s="14" t="s">
        <v>2491</v>
      </c>
      <c r="N236" s="14" t="s">
        <v>2492</v>
      </c>
      <c r="O236" s="14" t="s">
        <v>1227</v>
      </c>
      <c r="P236" s="11" t="s">
        <v>2493</v>
      </c>
      <c r="Q236" s="11" t="s">
        <v>79</v>
      </c>
      <c r="R236" s="14"/>
      <c r="S236" s="11" t="s">
        <v>1228</v>
      </c>
      <c r="T236" s="11"/>
      <c r="U236" s="11" t="s">
        <v>1229</v>
      </c>
    </row>
    <row r="237" customFormat="false" ht="42" hidden="false" customHeight="true" outlineLevel="0" collapsed="false">
      <c r="A237" s="11" t="n">
        <v>236</v>
      </c>
      <c r="B237" s="11" t="s">
        <v>1222</v>
      </c>
      <c r="C237" s="11" t="s">
        <v>1230</v>
      </c>
      <c r="D237" s="11" t="s">
        <v>1638</v>
      </c>
      <c r="E237" s="11" t="s">
        <v>126</v>
      </c>
      <c r="F237" s="11" t="s">
        <v>205</v>
      </c>
      <c r="G237" s="11" t="n">
        <v>1</v>
      </c>
      <c r="H237" s="11" t="s">
        <v>86</v>
      </c>
      <c r="I237" s="11"/>
      <c r="J237" s="14"/>
      <c r="K237" s="14"/>
      <c r="L237" s="14"/>
      <c r="M237" s="14" t="s">
        <v>2494</v>
      </c>
      <c r="N237" s="14" t="s">
        <v>2495</v>
      </c>
      <c r="O237" s="14" t="s">
        <v>1232</v>
      </c>
      <c r="P237" s="11" t="s">
        <v>2496</v>
      </c>
      <c r="Q237" s="11" t="s">
        <v>79</v>
      </c>
      <c r="R237" s="14"/>
      <c r="S237" s="11" t="s">
        <v>1233</v>
      </c>
      <c r="T237" s="11"/>
      <c r="U237" s="11" t="s">
        <v>1234</v>
      </c>
    </row>
    <row r="238" customFormat="false" ht="42" hidden="false" customHeight="true" outlineLevel="0" collapsed="false">
      <c r="A238" s="11" t="n">
        <v>237</v>
      </c>
      <c r="B238" s="11" t="s">
        <v>1235</v>
      </c>
      <c r="C238" s="11" t="s">
        <v>1236</v>
      </c>
      <c r="D238" s="11" t="s">
        <v>1638</v>
      </c>
      <c r="E238" s="11" t="s">
        <v>75</v>
      </c>
      <c r="F238" s="11" t="s">
        <v>74</v>
      </c>
      <c r="G238" s="11" t="n">
        <v>1</v>
      </c>
      <c r="H238" s="11" t="s">
        <v>86</v>
      </c>
      <c r="I238" s="11"/>
      <c r="J238" s="14"/>
      <c r="K238" s="14"/>
      <c r="L238" s="14"/>
      <c r="M238" s="14" t="s">
        <v>2497</v>
      </c>
      <c r="N238" s="14" t="s">
        <v>2498</v>
      </c>
      <c r="O238" s="14" t="s">
        <v>1238</v>
      </c>
      <c r="P238" s="11" t="s">
        <v>2499</v>
      </c>
      <c r="Q238" s="11" t="s">
        <v>79</v>
      </c>
      <c r="R238" s="14" t="s">
        <v>2500</v>
      </c>
      <c r="S238" s="11" t="s">
        <v>1239</v>
      </c>
      <c r="T238" s="11"/>
      <c r="U238" s="11" t="s">
        <v>1240</v>
      </c>
    </row>
    <row r="239" customFormat="false" ht="42" hidden="false" customHeight="true" outlineLevel="0" collapsed="false">
      <c r="A239" s="11" t="n">
        <v>238</v>
      </c>
      <c r="B239" s="11" t="s">
        <v>1235</v>
      </c>
      <c r="C239" s="11" t="s">
        <v>1241</v>
      </c>
      <c r="D239" s="11" t="s">
        <v>1638</v>
      </c>
      <c r="E239" s="11" t="s">
        <v>75</v>
      </c>
      <c r="F239" s="11" t="s">
        <v>74</v>
      </c>
      <c r="G239" s="11" t="n">
        <v>1</v>
      </c>
      <c r="H239" s="11" t="s">
        <v>86</v>
      </c>
      <c r="I239" s="11"/>
      <c r="J239" s="14"/>
      <c r="K239" s="14"/>
      <c r="L239" s="14"/>
      <c r="M239" s="14" t="s">
        <v>2501</v>
      </c>
      <c r="N239" s="14" t="s">
        <v>2502</v>
      </c>
      <c r="O239" s="14"/>
      <c r="P239" s="11" t="s">
        <v>2503</v>
      </c>
      <c r="Q239" s="11" t="s">
        <v>79</v>
      </c>
      <c r="R239" s="14" t="s">
        <v>2504</v>
      </c>
      <c r="S239" s="11" t="s">
        <v>1243</v>
      </c>
      <c r="T239" s="11"/>
      <c r="U239" s="11" t="s">
        <v>1244</v>
      </c>
    </row>
    <row r="240" customFormat="false" ht="42" hidden="false" customHeight="true" outlineLevel="0" collapsed="false">
      <c r="A240" s="11" t="n">
        <v>239</v>
      </c>
      <c r="B240" s="11" t="s">
        <v>1245</v>
      </c>
      <c r="C240" s="11" t="s">
        <v>1246</v>
      </c>
      <c r="D240" s="11" t="s">
        <v>1638</v>
      </c>
      <c r="E240" s="11" t="s">
        <v>126</v>
      </c>
      <c r="F240" s="11" t="s">
        <v>234</v>
      </c>
      <c r="G240" s="11" t="n">
        <v>1</v>
      </c>
      <c r="H240" s="11" t="s">
        <v>86</v>
      </c>
      <c r="I240" s="11"/>
      <c r="J240" s="14"/>
      <c r="K240" s="14"/>
      <c r="L240" s="14"/>
      <c r="M240" s="14" t="s">
        <v>2505</v>
      </c>
      <c r="N240" s="14" t="s">
        <v>2506</v>
      </c>
      <c r="O240" s="14" t="s">
        <v>1248</v>
      </c>
      <c r="P240" s="11"/>
      <c r="Q240" s="11" t="s">
        <v>79</v>
      </c>
      <c r="R240" s="14" t="s">
        <v>2507</v>
      </c>
      <c r="S240" s="11" t="s">
        <v>1249</v>
      </c>
      <c r="T240" s="11"/>
      <c r="U240" s="11" t="s">
        <v>1250</v>
      </c>
    </row>
    <row r="241" customFormat="false" ht="42" hidden="false" customHeight="true" outlineLevel="0" collapsed="false">
      <c r="A241" s="11" t="n">
        <v>240</v>
      </c>
      <c r="B241" s="11" t="s">
        <v>1245</v>
      </c>
      <c r="C241" s="11" t="s">
        <v>2508</v>
      </c>
      <c r="D241" s="11" t="s">
        <v>1873</v>
      </c>
      <c r="E241" s="11" t="s">
        <v>2509</v>
      </c>
      <c r="F241" s="11" t="s">
        <v>1091</v>
      </c>
      <c r="G241" s="11" t="n">
        <v>0</v>
      </c>
      <c r="H241" s="11"/>
      <c r="I241" s="11"/>
      <c r="J241" s="14"/>
      <c r="K241" s="14"/>
      <c r="L241" s="14"/>
      <c r="M241" s="14" t="s">
        <v>2510</v>
      </c>
      <c r="N241" s="14" t="s">
        <v>2511</v>
      </c>
      <c r="O241" s="14"/>
      <c r="P241" s="11"/>
      <c r="Q241" s="11" t="s">
        <v>79</v>
      </c>
      <c r="R241" s="14"/>
      <c r="S241" s="11" t="s">
        <v>2512</v>
      </c>
      <c r="T241" s="11"/>
      <c r="U241" s="11" t="s">
        <v>2513</v>
      </c>
    </row>
    <row r="242" customFormat="false" ht="42" hidden="false" customHeight="true" outlineLevel="0" collapsed="false">
      <c r="A242" s="11" t="n">
        <v>241</v>
      </c>
      <c r="B242" s="11" t="s">
        <v>1245</v>
      </c>
      <c r="C242" s="11" t="s">
        <v>2514</v>
      </c>
      <c r="D242" s="11" t="s">
        <v>1638</v>
      </c>
      <c r="E242" s="11" t="s">
        <v>75</v>
      </c>
      <c r="F242" s="11" t="s">
        <v>74</v>
      </c>
      <c r="G242" s="11" t="n">
        <v>0</v>
      </c>
      <c r="H242" s="11"/>
      <c r="I242" s="11"/>
      <c r="J242" s="14"/>
      <c r="K242" s="14"/>
      <c r="L242" s="14"/>
      <c r="M242" s="14" t="s">
        <v>2515</v>
      </c>
      <c r="N242" s="14" t="s">
        <v>2516</v>
      </c>
      <c r="O242" s="14" t="s">
        <v>2517</v>
      </c>
      <c r="P242" s="11" t="s">
        <v>2518</v>
      </c>
      <c r="Q242" s="11" t="s">
        <v>79</v>
      </c>
      <c r="R242" s="14" t="s">
        <v>2519</v>
      </c>
      <c r="S242" s="11" t="s">
        <v>2520</v>
      </c>
      <c r="T242" s="11"/>
      <c r="U242" s="11" t="s">
        <v>2521</v>
      </c>
    </row>
    <row r="243" customFormat="false" ht="42" hidden="false" customHeight="true" outlineLevel="0" collapsed="false">
      <c r="A243" s="11" t="n">
        <v>242</v>
      </c>
      <c r="B243" s="11" t="s">
        <v>1251</v>
      </c>
      <c r="C243" s="11" t="s">
        <v>1252</v>
      </c>
      <c r="D243" s="11" t="s">
        <v>1638</v>
      </c>
      <c r="E243" s="11" t="s">
        <v>126</v>
      </c>
      <c r="F243" s="11" t="s">
        <v>205</v>
      </c>
      <c r="G243" s="11" t="n">
        <v>1</v>
      </c>
      <c r="H243" s="11" t="s">
        <v>86</v>
      </c>
      <c r="I243" s="11"/>
      <c r="J243" s="14"/>
      <c r="K243" s="14"/>
      <c r="L243" s="14"/>
      <c r="M243" s="14" t="s">
        <v>2522</v>
      </c>
      <c r="N243" s="14" t="s">
        <v>2523</v>
      </c>
      <c r="O243" s="14" t="s">
        <v>1254</v>
      </c>
      <c r="P243" s="11"/>
      <c r="Q243" s="11" t="s">
        <v>120</v>
      </c>
      <c r="R243" s="14" t="s">
        <v>2524</v>
      </c>
      <c r="S243" s="11" t="s">
        <v>1255</v>
      </c>
      <c r="T243" s="11"/>
      <c r="U243" s="11" t="s">
        <v>1256</v>
      </c>
    </row>
    <row r="244" customFormat="false" ht="42" hidden="false" customHeight="true" outlineLevel="0" collapsed="false">
      <c r="A244" s="11" t="n">
        <v>243</v>
      </c>
      <c r="B244" s="11" t="s">
        <v>1257</v>
      </c>
      <c r="C244" s="11" t="s">
        <v>1258</v>
      </c>
      <c r="D244" s="11" t="s">
        <v>1638</v>
      </c>
      <c r="E244" s="11" t="s">
        <v>126</v>
      </c>
      <c r="F244" s="11" t="s">
        <v>205</v>
      </c>
      <c r="G244" s="11" t="n">
        <v>1</v>
      </c>
      <c r="H244" s="11" t="s">
        <v>349</v>
      </c>
      <c r="I244" s="11"/>
      <c r="J244" s="14"/>
      <c r="K244" s="14"/>
      <c r="L244" s="14"/>
      <c r="M244" s="14" t="s">
        <v>2525</v>
      </c>
      <c r="N244" s="14" t="s">
        <v>2526</v>
      </c>
      <c r="O244" s="14"/>
      <c r="P244" s="11"/>
      <c r="Q244" s="11" t="s">
        <v>120</v>
      </c>
      <c r="R244" s="14" t="s">
        <v>2527</v>
      </c>
      <c r="S244" s="11" t="s">
        <v>1260</v>
      </c>
      <c r="T244" s="11"/>
      <c r="U244" s="11" t="s">
        <v>1261</v>
      </c>
    </row>
    <row r="245" customFormat="false" ht="42" hidden="false" customHeight="true" outlineLevel="0" collapsed="false">
      <c r="A245" s="11" t="n">
        <v>244</v>
      </c>
      <c r="B245" s="11" t="s">
        <v>1262</v>
      </c>
      <c r="C245" s="11" t="s">
        <v>1263</v>
      </c>
      <c r="D245" s="11" t="s">
        <v>1638</v>
      </c>
      <c r="E245" s="11" t="s">
        <v>126</v>
      </c>
      <c r="F245" s="11" t="s">
        <v>416</v>
      </c>
      <c r="G245" s="11" t="n">
        <v>1</v>
      </c>
      <c r="H245" s="11" t="s">
        <v>86</v>
      </c>
      <c r="I245" s="11"/>
      <c r="J245" s="14"/>
      <c r="K245" s="14"/>
      <c r="L245" s="14"/>
      <c r="M245" s="14" t="s">
        <v>2528</v>
      </c>
      <c r="N245" s="14" t="s">
        <v>2529</v>
      </c>
      <c r="O245" s="14" t="s">
        <v>1265</v>
      </c>
      <c r="P245" s="11" t="s">
        <v>2530</v>
      </c>
      <c r="Q245" s="11" t="s">
        <v>79</v>
      </c>
      <c r="R245" s="14"/>
      <c r="S245" s="11" t="s">
        <v>1266</v>
      </c>
      <c r="T245" s="11"/>
      <c r="U245" s="11" t="s">
        <v>1267</v>
      </c>
    </row>
    <row r="246" customFormat="false" ht="42" hidden="false" customHeight="true" outlineLevel="0" collapsed="false">
      <c r="A246" s="11" t="n">
        <v>245</v>
      </c>
      <c r="B246" s="11" t="s">
        <v>1262</v>
      </c>
      <c r="C246" s="11" t="s">
        <v>2531</v>
      </c>
      <c r="D246" s="11" t="s">
        <v>1638</v>
      </c>
      <c r="E246" s="11" t="s">
        <v>75</v>
      </c>
      <c r="F246" s="11" t="s">
        <v>74</v>
      </c>
      <c r="G246" s="11" t="n">
        <v>0</v>
      </c>
      <c r="H246" s="11"/>
      <c r="I246" s="11"/>
      <c r="J246" s="14"/>
      <c r="K246" s="14"/>
      <c r="L246" s="14"/>
      <c r="M246" s="14" t="s">
        <v>2532</v>
      </c>
      <c r="N246" s="14" t="s">
        <v>2516</v>
      </c>
      <c r="O246" s="14" t="s">
        <v>2533</v>
      </c>
      <c r="P246" s="11" t="s">
        <v>2518</v>
      </c>
      <c r="Q246" s="11" t="s">
        <v>79</v>
      </c>
      <c r="R246" s="14" t="s">
        <v>2534</v>
      </c>
      <c r="S246" s="11" t="s">
        <v>2535</v>
      </c>
      <c r="T246" s="11" t="s">
        <v>2520</v>
      </c>
      <c r="U246" s="11" t="s">
        <v>2536</v>
      </c>
    </row>
    <row r="247" customFormat="false" ht="42" hidden="false" customHeight="true" outlineLevel="0" collapsed="false">
      <c r="A247" s="11" t="n">
        <v>246</v>
      </c>
      <c r="B247" s="11" t="s">
        <v>1262</v>
      </c>
      <c r="C247" s="11" t="s">
        <v>2537</v>
      </c>
      <c r="D247" s="11" t="s">
        <v>1638</v>
      </c>
      <c r="E247" s="11" t="s">
        <v>235</v>
      </c>
      <c r="F247" s="11" t="s">
        <v>416</v>
      </c>
      <c r="G247" s="11" t="n">
        <v>0</v>
      </c>
      <c r="H247" s="11"/>
      <c r="I247" s="11" t="s">
        <v>2538</v>
      </c>
      <c r="J247" s="14" t="s">
        <v>2539</v>
      </c>
      <c r="K247" s="14" t="s">
        <v>2540</v>
      </c>
      <c r="L247" s="14" t="s">
        <v>2541</v>
      </c>
      <c r="M247" s="14" t="s">
        <v>2542</v>
      </c>
      <c r="N247" s="14" t="s">
        <v>2543</v>
      </c>
      <c r="O247" s="14"/>
      <c r="P247" s="11"/>
      <c r="Q247" s="11" t="s">
        <v>79</v>
      </c>
      <c r="R247" s="14" t="s">
        <v>2544</v>
      </c>
      <c r="S247" s="11" t="s">
        <v>2545</v>
      </c>
      <c r="T247" s="11"/>
      <c r="U247" s="11" t="s">
        <v>2546</v>
      </c>
    </row>
    <row r="248" customFormat="false" ht="42" hidden="false" customHeight="true" outlineLevel="0" collapsed="false">
      <c r="A248" s="11" t="n">
        <v>247</v>
      </c>
      <c r="B248" s="11" t="s">
        <v>1262</v>
      </c>
      <c r="C248" s="11" t="s">
        <v>1268</v>
      </c>
      <c r="D248" s="11" t="s">
        <v>1638</v>
      </c>
      <c r="E248" s="11" t="s">
        <v>126</v>
      </c>
      <c r="F248" s="11" t="s">
        <v>416</v>
      </c>
      <c r="G248" s="11" t="n">
        <v>1</v>
      </c>
      <c r="H248" s="11" t="s">
        <v>86</v>
      </c>
      <c r="I248" s="11"/>
      <c r="J248" s="14"/>
      <c r="K248" s="14"/>
      <c r="L248" s="14"/>
      <c r="M248" s="14" t="s">
        <v>2547</v>
      </c>
      <c r="N248" s="14" t="s">
        <v>2548</v>
      </c>
      <c r="O248" s="14" t="s">
        <v>1270</v>
      </c>
      <c r="P248" s="11"/>
      <c r="Q248" s="11" t="s">
        <v>120</v>
      </c>
      <c r="R248" s="14" t="s">
        <v>2549</v>
      </c>
      <c r="S248" s="11" t="s">
        <v>1271</v>
      </c>
      <c r="T248" s="11"/>
      <c r="U248" s="11" t="s">
        <v>1272</v>
      </c>
    </row>
    <row r="249" customFormat="false" ht="42" hidden="false" customHeight="true" outlineLevel="0" collapsed="false">
      <c r="A249" s="11" t="n">
        <v>248</v>
      </c>
      <c r="B249" s="11" t="s">
        <v>1273</v>
      </c>
      <c r="C249" s="11" t="s">
        <v>1274</v>
      </c>
      <c r="D249" s="11" t="s">
        <v>1638</v>
      </c>
      <c r="E249" s="11" t="s">
        <v>126</v>
      </c>
      <c r="F249" s="11" t="s">
        <v>205</v>
      </c>
      <c r="G249" s="11" t="n">
        <v>1</v>
      </c>
      <c r="H249" s="11" t="s">
        <v>107</v>
      </c>
      <c r="I249" s="11"/>
      <c r="J249" s="14"/>
      <c r="K249" s="14"/>
      <c r="L249" s="14"/>
      <c r="M249" s="14" t="s">
        <v>2550</v>
      </c>
      <c r="N249" s="14" t="s">
        <v>2551</v>
      </c>
      <c r="O249" s="14" t="s">
        <v>1276</v>
      </c>
      <c r="P249" s="11" t="s">
        <v>2552</v>
      </c>
      <c r="Q249" s="11" t="s">
        <v>79</v>
      </c>
      <c r="R249" s="14"/>
      <c r="S249" s="11" t="s">
        <v>1277</v>
      </c>
      <c r="T249" s="11"/>
      <c r="U249" s="11" t="s">
        <v>1278</v>
      </c>
    </row>
    <row r="250" customFormat="false" ht="42" hidden="false" customHeight="true" outlineLevel="0" collapsed="false">
      <c r="A250" s="11" t="n">
        <v>249</v>
      </c>
      <c r="B250" s="11" t="s">
        <v>1279</v>
      </c>
      <c r="C250" s="11" t="s">
        <v>1280</v>
      </c>
      <c r="D250" s="11" t="s">
        <v>1638</v>
      </c>
      <c r="E250" s="11" t="s">
        <v>126</v>
      </c>
      <c r="F250" s="11" t="s">
        <v>205</v>
      </c>
      <c r="G250" s="11" t="n">
        <v>1</v>
      </c>
      <c r="H250" s="11" t="s">
        <v>349</v>
      </c>
      <c r="I250" s="11"/>
      <c r="J250" s="14"/>
      <c r="K250" s="14"/>
      <c r="L250" s="14"/>
      <c r="M250" s="14" t="s">
        <v>2553</v>
      </c>
      <c r="N250" s="14" t="s">
        <v>2554</v>
      </c>
      <c r="O250" s="14" t="s">
        <v>1282</v>
      </c>
      <c r="P250" s="11" t="s">
        <v>2555</v>
      </c>
      <c r="Q250" s="11" t="s">
        <v>79</v>
      </c>
      <c r="R250" s="14"/>
      <c r="S250" s="11" t="s">
        <v>1283</v>
      </c>
      <c r="T250" s="11"/>
      <c r="U250" s="11" t="s">
        <v>1284</v>
      </c>
    </row>
    <row r="251" customFormat="false" ht="42" hidden="false" customHeight="true" outlineLevel="0" collapsed="false">
      <c r="A251" s="11" t="n">
        <v>250</v>
      </c>
      <c r="B251" s="11" t="s">
        <v>1285</v>
      </c>
      <c r="C251" s="11" t="s">
        <v>1286</v>
      </c>
      <c r="D251" s="11" t="s">
        <v>1638</v>
      </c>
      <c r="E251" s="11" t="s">
        <v>126</v>
      </c>
      <c r="F251" s="11" t="s">
        <v>205</v>
      </c>
      <c r="G251" s="11" t="n">
        <v>1</v>
      </c>
      <c r="H251" s="11" t="s">
        <v>86</v>
      </c>
      <c r="I251" s="11"/>
      <c r="J251" s="14"/>
      <c r="K251" s="14"/>
      <c r="L251" s="14"/>
      <c r="M251" s="14" t="s">
        <v>2556</v>
      </c>
      <c r="N251" s="14" t="s">
        <v>2557</v>
      </c>
      <c r="O251" s="14" t="s">
        <v>1288</v>
      </c>
      <c r="P251" s="11" t="s">
        <v>2558</v>
      </c>
      <c r="Q251" s="11" t="s">
        <v>79</v>
      </c>
      <c r="R251" s="14"/>
      <c r="S251" s="11" t="s">
        <v>1289</v>
      </c>
      <c r="T251" s="11"/>
      <c r="U251" s="11" t="s">
        <v>1290</v>
      </c>
    </row>
    <row r="252" customFormat="false" ht="42" hidden="false" customHeight="true" outlineLevel="0" collapsed="false">
      <c r="A252" s="11" t="n">
        <v>251</v>
      </c>
      <c r="B252" s="11" t="s">
        <v>1285</v>
      </c>
      <c r="C252" s="11" t="s">
        <v>1291</v>
      </c>
      <c r="D252" s="11" t="s">
        <v>1638</v>
      </c>
      <c r="E252" s="11" t="s">
        <v>126</v>
      </c>
      <c r="F252" s="11" t="s">
        <v>205</v>
      </c>
      <c r="G252" s="11" t="n">
        <v>1</v>
      </c>
      <c r="H252" s="11" t="s">
        <v>86</v>
      </c>
      <c r="I252" s="11"/>
      <c r="J252" s="14"/>
      <c r="K252" s="14"/>
      <c r="L252" s="14"/>
      <c r="M252" s="14" t="s">
        <v>2559</v>
      </c>
      <c r="N252" s="14" t="s">
        <v>2560</v>
      </c>
      <c r="O252" s="14" t="s">
        <v>1293</v>
      </c>
      <c r="P252" s="11" t="s">
        <v>2561</v>
      </c>
      <c r="Q252" s="11" t="s">
        <v>79</v>
      </c>
      <c r="R252" s="14" t="s">
        <v>2562</v>
      </c>
      <c r="S252" s="11" t="s">
        <v>1294</v>
      </c>
      <c r="T252" s="11"/>
      <c r="U252" s="11" t="s">
        <v>1295</v>
      </c>
    </row>
    <row r="253" customFormat="false" ht="42" hidden="false" customHeight="true" outlineLevel="0" collapsed="false">
      <c r="A253" s="11" t="n">
        <v>252</v>
      </c>
      <c r="B253" s="11" t="s">
        <v>1296</v>
      </c>
      <c r="C253" s="11" t="s">
        <v>1297</v>
      </c>
      <c r="D253" s="11" t="s">
        <v>1638</v>
      </c>
      <c r="E253" s="11" t="s">
        <v>126</v>
      </c>
      <c r="F253" s="11" t="s">
        <v>205</v>
      </c>
      <c r="G253" s="11" t="n">
        <v>1</v>
      </c>
      <c r="H253" s="11" t="s">
        <v>86</v>
      </c>
      <c r="I253" s="11"/>
      <c r="J253" s="14"/>
      <c r="K253" s="14"/>
      <c r="L253" s="14"/>
      <c r="M253" s="14" t="s">
        <v>2563</v>
      </c>
      <c r="N253" s="14" t="s">
        <v>2564</v>
      </c>
      <c r="O253" s="14" t="s">
        <v>1299</v>
      </c>
      <c r="P253" s="11" t="s">
        <v>2565</v>
      </c>
      <c r="Q253" s="11" t="s">
        <v>79</v>
      </c>
      <c r="R253" s="14"/>
      <c r="S253" s="11" t="s">
        <v>1300</v>
      </c>
      <c r="T253" s="11"/>
      <c r="U253" s="11" t="s">
        <v>1301</v>
      </c>
    </row>
    <row r="254" customFormat="false" ht="42" hidden="false" customHeight="true" outlineLevel="0" collapsed="false">
      <c r="A254" s="11" t="n">
        <v>253</v>
      </c>
      <c r="B254" s="11" t="s">
        <v>1296</v>
      </c>
      <c r="C254" s="11" t="s">
        <v>1302</v>
      </c>
      <c r="D254" s="11" t="s">
        <v>1638</v>
      </c>
      <c r="E254" s="11" t="s">
        <v>126</v>
      </c>
      <c r="F254" s="11" t="s">
        <v>205</v>
      </c>
      <c r="G254" s="11" t="n">
        <v>1</v>
      </c>
      <c r="H254" s="11" t="s">
        <v>1303</v>
      </c>
      <c r="I254" s="11"/>
      <c r="J254" s="14"/>
      <c r="K254" s="14"/>
      <c r="L254" s="14"/>
      <c r="M254" s="14" t="s">
        <v>2566</v>
      </c>
      <c r="N254" s="14" t="s">
        <v>2567</v>
      </c>
      <c r="O254" s="14" t="s">
        <v>1306</v>
      </c>
      <c r="P254" s="11" t="s">
        <v>2568</v>
      </c>
      <c r="Q254" s="11" t="s">
        <v>79</v>
      </c>
      <c r="R254" s="14"/>
      <c r="S254" s="11" t="s">
        <v>1307</v>
      </c>
      <c r="T254" s="11"/>
      <c r="U254" s="11" t="s">
        <v>1308</v>
      </c>
    </row>
    <row r="255" customFormat="false" ht="42" hidden="false" customHeight="true" outlineLevel="0" collapsed="false">
      <c r="A255" s="11" t="n">
        <v>254</v>
      </c>
      <c r="B255" s="11" t="s">
        <v>1309</v>
      </c>
      <c r="C255" s="11" t="s">
        <v>1310</v>
      </c>
      <c r="D255" s="11" t="s">
        <v>1638</v>
      </c>
      <c r="E255" s="11" t="s">
        <v>126</v>
      </c>
      <c r="F255" s="11" t="s">
        <v>205</v>
      </c>
      <c r="G255" s="11" t="n">
        <v>1</v>
      </c>
      <c r="H255" s="11" t="s">
        <v>1311</v>
      </c>
      <c r="I255" s="11"/>
      <c r="J255" s="14"/>
      <c r="K255" s="14"/>
      <c r="L255" s="14"/>
      <c r="M255" s="14" t="s">
        <v>2569</v>
      </c>
      <c r="N255" s="14" t="s">
        <v>2570</v>
      </c>
      <c r="O255" s="14" t="s">
        <v>1314</v>
      </c>
      <c r="P255" s="11" t="s">
        <v>2571</v>
      </c>
      <c r="Q255" s="11" t="s">
        <v>79</v>
      </c>
      <c r="R255" s="14"/>
      <c r="S255" s="11" t="s">
        <v>1315</v>
      </c>
      <c r="T255" s="11"/>
      <c r="U255" s="11" t="s">
        <v>1316</v>
      </c>
    </row>
    <row r="256" customFormat="false" ht="42" hidden="false" customHeight="true" outlineLevel="0" collapsed="false">
      <c r="A256" s="11" t="n">
        <v>255</v>
      </c>
      <c r="B256" s="11" t="s">
        <v>1309</v>
      </c>
      <c r="C256" s="11" t="s">
        <v>1317</v>
      </c>
      <c r="D256" s="11" t="s">
        <v>1638</v>
      </c>
      <c r="E256" s="11" t="s">
        <v>126</v>
      </c>
      <c r="F256" s="11" t="s">
        <v>234</v>
      </c>
      <c r="G256" s="11" t="n">
        <v>1</v>
      </c>
      <c r="H256" s="11" t="s">
        <v>1318</v>
      </c>
      <c r="I256" s="11"/>
      <c r="J256" s="14"/>
      <c r="K256" s="14"/>
      <c r="L256" s="14"/>
      <c r="M256" s="14" t="s">
        <v>2572</v>
      </c>
      <c r="N256" s="14" t="s">
        <v>2573</v>
      </c>
      <c r="O256" s="14" t="s">
        <v>1321</v>
      </c>
      <c r="P256" s="11"/>
      <c r="Q256" s="11" t="s">
        <v>79</v>
      </c>
      <c r="R256" s="14" t="s">
        <v>2574</v>
      </c>
      <c r="S256" s="11" t="s">
        <v>1322</v>
      </c>
      <c r="T256" s="11"/>
      <c r="U256" s="11" t="s">
        <v>1323</v>
      </c>
    </row>
    <row r="257" customFormat="false" ht="42" hidden="false" customHeight="true" outlineLevel="0" collapsed="false">
      <c r="A257" s="11" t="n">
        <v>256</v>
      </c>
      <c r="B257" s="11" t="s">
        <v>1309</v>
      </c>
      <c r="C257" s="11" t="s">
        <v>1324</v>
      </c>
      <c r="D257" s="11" t="s">
        <v>1638</v>
      </c>
      <c r="E257" s="11" t="s">
        <v>126</v>
      </c>
      <c r="F257" s="11" t="s">
        <v>205</v>
      </c>
      <c r="G257" s="11" t="n">
        <v>1</v>
      </c>
      <c r="H257" s="11" t="s">
        <v>1325</v>
      </c>
      <c r="I257" s="11"/>
      <c r="J257" s="14"/>
      <c r="K257" s="14"/>
      <c r="L257" s="14"/>
      <c r="M257" s="14" t="s">
        <v>2575</v>
      </c>
      <c r="N257" s="14" t="s">
        <v>2576</v>
      </c>
      <c r="O257" s="14" t="s">
        <v>1328</v>
      </c>
      <c r="P257" s="11" t="s">
        <v>2577</v>
      </c>
      <c r="Q257" s="11" t="s">
        <v>79</v>
      </c>
      <c r="R257" s="14"/>
      <c r="S257" s="11" t="s">
        <v>1329</v>
      </c>
      <c r="T257" s="11"/>
      <c r="U257" s="11" t="s">
        <v>1330</v>
      </c>
    </row>
    <row r="258" customFormat="false" ht="42" hidden="false" customHeight="true" outlineLevel="0" collapsed="false">
      <c r="A258" s="11" t="n">
        <v>257</v>
      </c>
      <c r="B258" s="11" t="s">
        <v>1331</v>
      </c>
      <c r="C258" s="11" t="s">
        <v>1332</v>
      </c>
      <c r="D258" s="11" t="s">
        <v>1638</v>
      </c>
      <c r="E258" s="11" t="s">
        <v>126</v>
      </c>
      <c r="F258" s="11" t="s">
        <v>205</v>
      </c>
      <c r="G258" s="11" t="n">
        <v>1</v>
      </c>
      <c r="H258" s="11" t="s">
        <v>675</v>
      </c>
      <c r="I258" s="11"/>
      <c r="J258" s="14"/>
      <c r="K258" s="14"/>
      <c r="L258" s="14"/>
      <c r="M258" s="14" t="s">
        <v>2578</v>
      </c>
      <c r="N258" s="14" t="s">
        <v>2579</v>
      </c>
      <c r="O258" s="14" t="s">
        <v>1334</v>
      </c>
      <c r="P258" s="11" t="s">
        <v>2580</v>
      </c>
      <c r="Q258" s="11" t="s">
        <v>79</v>
      </c>
      <c r="R258" s="14"/>
      <c r="S258" s="11" t="s">
        <v>1335</v>
      </c>
      <c r="T258" s="11"/>
      <c r="U258" s="11" t="s">
        <v>1336</v>
      </c>
    </row>
    <row r="259" customFormat="false" ht="42" hidden="false" customHeight="true" outlineLevel="0" collapsed="false">
      <c r="A259" s="11" t="n">
        <v>258</v>
      </c>
      <c r="B259" s="11" t="s">
        <v>1331</v>
      </c>
      <c r="C259" s="11" t="s">
        <v>1337</v>
      </c>
      <c r="D259" s="11" t="s">
        <v>1638</v>
      </c>
      <c r="E259" s="11" t="s">
        <v>126</v>
      </c>
      <c r="F259" s="11" t="s">
        <v>205</v>
      </c>
      <c r="G259" s="11" t="n">
        <v>1</v>
      </c>
      <c r="H259" s="11" t="s">
        <v>86</v>
      </c>
      <c r="I259" s="11"/>
      <c r="J259" s="14"/>
      <c r="K259" s="14"/>
      <c r="L259" s="14"/>
      <c r="M259" s="14" t="s">
        <v>2581</v>
      </c>
      <c r="N259" s="14" t="s">
        <v>2582</v>
      </c>
      <c r="O259" s="14" t="s">
        <v>1339</v>
      </c>
      <c r="P259" s="11" t="s">
        <v>2583</v>
      </c>
      <c r="Q259" s="11" t="s">
        <v>79</v>
      </c>
      <c r="R259" s="14"/>
      <c r="S259" s="11" t="s">
        <v>1340</v>
      </c>
      <c r="T259" s="11"/>
      <c r="U259" s="11" t="s">
        <v>1341</v>
      </c>
    </row>
    <row r="260" customFormat="false" ht="42" hidden="false" customHeight="true" outlineLevel="0" collapsed="false">
      <c r="A260" s="11" t="n">
        <v>259</v>
      </c>
      <c r="B260" s="11" t="s">
        <v>1331</v>
      </c>
      <c r="C260" s="11" t="s">
        <v>1337</v>
      </c>
      <c r="D260" s="11" t="s">
        <v>1638</v>
      </c>
      <c r="E260" s="11" t="s">
        <v>126</v>
      </c>
      <c r="F260" s="11" t="s">
        <v>205</v>
      </c>
      <c r="G260" s="11" t="n">
        <v>1</v>
      </c>
      <c r="H260" s="11" t="s">
        <v>86</v>
      </c>
      <c r="I260" s="11"/>
      <c r="J260" s="14"/>
      <c r="K260" s="14"/>
      <c r="L260" s="14"/>
      <c r="M260" s="14" t="s">
        <v>2584</v>
      </c>
      <c r="N260" s="14" t="s">
        <v>2564</v>
      </c>
      <c r="O260" s="14" t="s">
        <v>1339</v>
      </c>
      <c r="P260" s="11" t="s">
        <v>2565</v>
      </c>
      <c r="Q260" s="11" t="s">
        <v>79</v>
      </c>
      <c r="R260" s="14" t="s">
        <v>2585</v>
      </c>
      <c r="S260" s="11" t="s">
        <v>1343</v>
      </c>
      <c r="T260" s="11" t="s">
        <v>1300</v>
      </c>
      <c r="U260" s="11" t="s">
        <v>1341</v>
      </c>
    </row>
    <row r="261" customFormat="false" ht="42" hidden="false" customHeight="true" outlineLevel="0" collapsed="false">
      <c r="A261" s="11" t="n">
        <v>260</v>
      </c>
      <c r="B261" s="11" t="s">
        <v>1344</v>
      </c>
      <c r="C261" s="11" t="s">
        <v>2586</v>
      </c>
      <c r="D261" s="11" t="s">
        <v>1638</v>
      </c>
      <c r="E261" s="11" t="s">
        <v>1091</v>
      </c>
      <c r="F261" s="11" t="s">
        <v>416</v>
      </c>
      <c r="G261" s="11" t="n">
        <v>0</v>
      </c>
      <c r="H261" s="11"/>
      <c r="I261" s="11"/>
      <c r="J261" s="14"/>
      <c r="K261" s="14"/>
      <c r="L261" s="14"/>
      <c r="M261" s="14" t="s">
        <v>2587</v>
      </c>
      <c r="N261" s="14" t="s">
        <v>2588</v>
      </c>
      <c r="O261" s="14" t="s">
        <v>2589</v>
      </c>
      <c r="P261" s="11"/>
      <c r="Q261" s="11" t="s">
        <v>120</v>
      </c>
      <c r="R261" s="14" t="s">
        <v>2590</v>
      </c>
      <c r="S261" s="11" t="s">
        <v>2591</v>
      </c>
      <c r="T261" s="11"/>
      <c r="U261" s="11" t="s">
        <v>2592</v>
      </c>
    </row>
    <row r="262" customFormat="false" ht="42" hidden="false" customHeight="true" outlineLevel="0" collapsed="false">
      <c r="A262" s="11" t="n">
        <v>261</v>
      </c>
      <c r="B262" s="11" t="s">
        <v>1344</v>
      </c>
      <c r="C262" s="11" t="s">
        <v>1345</v>
      </c>
      <c r="D262" s="11" t="s">
        <v>1638</v>
      </c>
      <c r="E262" s="11" t="s">
        <v>126</v>
      </c>
      <c r="F262" s="11" t="s">
        <v>115</v>
      </c>
      <c r="G262" s="11" t="n">
        <v>1</v>
      </c>
      <c r="H262" s="11" t="s">
        <v>675</v>
      </c>
      <c r="I262" s="11"/>
      <c r="J262" s="14"/>
      <c r="K262" s="14"/>
      <c r="L262" s="14"/>
      <c r="M262" s="14" t="s">
        <v>2593</v>
      </c>
      <c r="N262" s="14" t="s">
        <v>2594</v>
      </c>
      <c r="O262" s="14" t="s">
        <v>1347</v>
      </c>
      <c r="P262" s="11"/>
      <c r="Q262" s="11" t="s">
        <v>120</v>
      </c>
      <c r="R262" s="14" t="s">
        <v>2595</v>
      </c>
      <c r="S262" s="11" t="s">
        <v>1348</v>
      </c>
      <c r="T262" s="11"/>
      <c r="U262" s="11" t="s">
        <v>1349</v>
      </c>
    </row>
    <row r="263" customFormat="false" ht="42" hidden="false" customHeight="true" outlineLevel="0" collapsed="false">
      <c r="A263" s="11" t="n">
        <v>262</v>
      </c>
      <c r="B263" s="11" t="s">
        <v>1344</v>
      </c>
      <c r="C263" s="11" t="s">
        <v>1350</v>
      </c>
      <c r="D263" s="11" t="s">
        <v>1638</v>
      </c>
      <c r="E263" s="11" t="s">
        <v>126</v>
      </c>
      <c r="F263" s="11" t="s">
        <v>205</v>
      </c>
      <c r="G263" s="11" t="n">
        <v>1</v>
      </c>
      <c r="H263" s="11" t="s">
        <v>675</v>
      </c>
      <c r="I263" s="11"/>
      <c r="J263" s="14"/>
      <c r="K263" s="14"/>
      <c r="L263" s="14"/>
      <c r="M263" s="14" t="s">
        <v>2596</v>
      </c>
      <c r="N263" s="14" t="s">
        <v>2597</v>
      </c>
      <c r="O263" s="14"/>
      <c r="P263" s="11" t="s">
        <v>2598</v>
      </c>
      <c r="Q263" s="11" t="s">
        <v>79</v>
      </c>
      <c r="R263" s="14"/>
      <c r="S263" s="11" t="s">
        <v>1352</v>
      </c>
      <c r="T263" s="11"/>
      <c r="U263" s="11" t="s">
        <v>1353</v>
      </c>
    </row>
    <row r="264" customFormat="false" ht="42" hidden="false" customHeight="true" outlineLevel="0" collapsed="false">
      <c r="A264" s="11" t="n">
        <v>263</v>
      </c>
      <c r="B264" s="11" t="s">
        <v>1344</v>
      </c>
      <c r="C264" s="11" t="s">
        <v>1354</v>
      </c>
      <c r="D264" s="11" t="s">
        <v>1638</v>
      </c>
      <c r="E264" s="11" t="s">
        <v>126</v>
      </c>
      <c r="F264" s="11" t="s">
        <v>234</v>
      </c>
      <c r="G264" s="11" t="n">
        <v>1</v>
      </c>
      <c r="H264" s="11" t="s">
        <v>259</v>
      </c>
      <c r="I264" s="11"/>
      <c r="J264" s="14"/>
      <c r="K264" s="14"/>
      <c r="L264" s="14"/>
      <c r="M264" s="14" t="s">
        <v>2599</v>
      </c>
      <c r="N264" s="14" t="s">
        <v>2600</v>
      </c>
      <c r="O264" s="14" t="s">
        <v>1356</v>
      </c>
      <c r="P264" s="11" t="s">
        <v>2601</v>
      </c>
      <c r="Q264" s="11" t="s">
        <v>120</v>
      </c>
      <c r="R264" s="14" t="s">
        <v>2602</v>
      </c>
      <c r="S264" s="11" t="s">
        <v>1357</v>
      </c>
      <c r="T264" s="11"/>
      <c r="U264" s="11" t="s">
        <v>1358</v>
      </c>
    </row>
    <row r="265" customFormat="false" ht="42" hidden="false" customHeight="true" outlineLevel="0" collapsed="false">
      <c r="A265" s="11" t="n">
        <v>264</v>
      </c>
      <c r="B265" s="11" t="s">
        <v>1344</v>
      </c>
      <c r="C265" s="11" t="s">
        <v>1359</v>
      </c>
      <c r="D265" s="11" t="s">
        <v>1638</v>
      </c>
      <c r="E265" s="11" t="s">
        <v>126</v>
      </c>
      <c r="F265" s="11" t="s">
        <v>205</v>
      </c>
      <c r="G265" s="11" t="n">
        <v>1</v>
      </c>
      <c r="H265" s="11" t="s">
        <v>349</v>
      </c>
      <c r="I265" s="11"/>
      <c r="J265" s="14"/>
      <c r="K265" s="14"/>
      <c r="L265" s="14"/>
      <c r="M265" s="14" t="s">
        <v>2603</v>
      </c>
      <c r="N265" s="14" t="s">
        <v>2604</v>
      </c>
      <c r="O265" s="14"/>
      <c r="P265" s="11" t="s">
        <v>2605</v>
      </c>
      <c r="Q265" s="11" t="s">
        <v>79</v>
      </c>
      <c r="R265" s="14"/>
      <c r="S265" s="11" t="s">
        <v>1361</v>
      </c>
      <c r="T265" s="11"/>
      <c r="U265" s="11" t="s">
        <v>1362</v>
      </c>
    </row>
    <row r="266" customFormat="false" ht="42" hidden="false" customHeight="true" outlineLevel="0" collapsed="false">
      <c r="A266" s="11" t="n">
        <v>265</v>
      </c>
      <c r="B266" s="11" t="s">
        <v>1344</v>
      </c>
      <c r="C266" s="11" t="s">
        <v>1363</v>
      </c>
      <c r="D266" s="11" t="s">
        <v>1638</v>
      </c>
      <c r="E266" s="11" t="s">
        <v>126</v>
      </c>
      <c r="F266" s="11" t="s">
        <v>205</v>
      </c>
      <c r="G266" s="11" t="n">
        <v>1</v>
      </c>
      <c r="H266" s="11" t="s">
        <v>86</v>
      </c>
      <c r="I266" s="11"/>
      <c r="J266" s="14"/>
      <c r="K266" s="14"/>
      <c r="L266" s="14"/>
      <c r="M266" s="14" t="s">
        <v>2606</v>
      </c>
      <c r="N266" s="14" t="s">
        <v>2607</v>
      </c>
      <c r="O266" s="14"/>
      <c r="P266" s="11" t="s">
        <v>2608</v>
      </c>
      <c r="Q266" s="11" t="s">
        <v>79</v>
      </c>
      <c r="R266" s="14"/>
      <c r="S266" s="11" t="s">
        <v>1365</v>
      </c>
      <c r="T266" s="11"/>
      <c r="U266" s="11" t="s">
        <v>1366</v>
      </c>
    </row>
    <row r="267" customFormat="false" ht="42" hidden="false" customHeight="true" outlineLevel="0" collapsed="false">
      <c r="A267" s="11" t="n">
        <v>266</v>
      </c>
      <c r="B267" s="11" t="s">
        <v>1367</v>
      </c>
      <c r="C267" s="11" t="s">
        <v>1368</v>
      </c>
      <c r="D267" s="11" t="s">
        <v>1638</v>
      </c>
      <c r="E267" s="11" t="s">
        <v>126</v>
      </c>
      <c r="F267" s="11" t="s">
        <v>205</v>
      </c>
      <c r="G267" s="11" t="n">
        <v>1</v>
      </c>
      <c r="H267" s="11" t="s">
        <v>107</v>
      </c>
      <c r="I267" s="11"/>
      <c r="J267" s="14"/>
      <c r="K267" s="14"/>
      <c r="L267" s="14"/>
      <c r="M267" s="14" t="s">
        <v>2609</v>
      </c>
      <c r="N267" s="14" t="s">
        <v>2610</v>
      </c>
      <c r="O267" s="14" t="s">
        <v>1370</v>
      </c>
      <c r="P267" s="11" t="s">
        <v>2611</v>
      </c>
      <c r="Q267" s="11" t="s">
        <v>79</v>
      </c>
      <c r="R267" s="14"/>
      <c r="S267" s="11" t="s">
        <v>1371</v>
      </c>
      <c r="T267" s="11"/>
      <c r="U267" s="11" t="s">
        <v>1372</v>
      </c>
    </row>
    <row r="268" customFormat="false" ht="42" hidden="false" customHeight="true" outlineLevel="0" collapsed="false">
      <c r="A268" s="11" t="n">
        <v>267</v>
      </c>
      <c r="B268" s="11" t="s">
        <v>1367</v>
      </c>
      <c r="C268" s="11" t="s">
        <v>1373</v>
      </c>
      <c r="D268" s="11" t="s">
        <v>1638</v>
      </c>
      <c r="E268" s="11" t="s">
        <v>126</v>
      </c>
      <c r="F268" s="11" t="s">
        <v>205</v>
      </c>
      <c r="G268" s="11" t="n">
        <v>1</v>
      </c>
      <c r="H268" s="11" t="s">
        <v>86</v>
      </c>
      <c r="I268" s="11"/>
      <c r="J268" s="14"/>
      <c r="K268" s="14"/>
      <c r="L268" s="14"/>
      <c r="M268" s="14" t="s">
        <v>2612</v>
      </c>
      <c r="N268" s="14" t="s">
        <v>2613</v>
      </c>
      <c r="O268" s="14" t="s">
        <v>1375</v>
      </c>
      <c r="P268" s="11" t="s">
        <v>2614</v>
      </c>
      <c r="Q268" s="11" t="s">
        <v>79</v>
      </c>
      <c r="R268" s="14"/>
      <c r="S268" s="11" t="s">
        <v>1376</v>
      </c>
      <c r="T268" s="11"/>
      <c r="U268" s="11" t="s">
        <v>1377</v>
      </c>
    </row>
    <row r="269" customFormat="false" ht="42" hidden="false" customHeight="true" outlineLevel="0" collapsed="false">
      <c r="A269" s="11" t="n">
        <v>268</v>
      </c>
      <c r="B269" s="11" t="s">
        <v>1378</v>
      </c>
      <c r="C269" s="11" t="s">
        <v>1379</v>
      </c>
      <c r="D269" s="11" t="s">
        <v>1638</v>
      </c>
      <c r="E269" s="11" t="s">
        <v>126</v>
      </c>
      <c r="F269" s="11" t="s">
        <v>205</v>
      </c>
      <c r="G269" s="11" t="n">
        <v>1</v>
      </c>
      <c r="H269" s="11" t="s">
        <v>86</v>
      </c>
      <c r="I269" s="11"/>
      <c r="J269" s="14"/>
      <c r="K269" s="14"/>
      <c r="L269" s="14"/>
      <c r="M269" s="14" t="s">
        <v>2615</v>
      </c>
      <c r="N269" s="14" t="s">
        <v>2616</v>
      </c>
      <c r="O269" s="14" t="s">
        <v>1381</v>
      </c>
      <c r="P269" s="11"/>
      <c r="Q269" s="11" t="s">
        <v>120</v>
      </c>
      <c r="R269" s="14" t="s">
        <v>2617</v>
      </c>
      <c r="S269" s="11" t="s">
        <v>1382</v>
      </c>
      <c r="T269" s="11"/>
      <c r="U269" s="11" t="s">
        <v>1383</v>
      </c>
    </row>
    <row r="270" customFormat="false" ht="42" hidden="false" customHeight="true" outlineLevel="0" collapsed="false">
      <c r="A270" s="11" t="n">
        <v>269</v>
      </c>
      <c r="B270" s="11" t="s">
        <v>1384</v>
      </c>
      <c r="C270" s="11" t="s">
        <v>1385</v>
      </c>
      <c r="D270" s="11" t="s">
        <v>1638</v>
      </c>
      <c r="E270" s="11" t="s">
        <v>126</v>
      </c>
      <c r="F270" s="11" t="s">
        <v>205</v>
      </c>
      <c r="G270" s="11" t="n">
        <v>1</v>
      </c>
      <c r="H270" s="11" t="s">
        <v>86</v>
      </c>
      <c r="I270" s="11"/>
      <c r="J270" s="14"/>
      <c r="K270" s="14"/>
      <c r="L270" s="14"/>
      <c r="M270" s="14" t="s">
        <v>2618</v>
      </c>
      <c r="N270" s="14" t="s">
        <v>2619</v>
      </c>
      <c r="O270" s="14" t="s">
        <v>1387</v>
      </c>
      <c r="P270" s="11" t="s">
        <v>2620</v>
      </c>
      <c r="Q270" s="11" t="s">
        <v>79</v>
      </c>
      <c r="R270" s="14"/>
      <c r="S270" s="11" t="s">
        <v>1388</v>
      </c>
      <c r="T270" s="11"/>
      <c r="U270" s="11" t="s">
        <v>1389</v>
      </c>
    </row>
    <row r="271" customFormat="false" ht="42" hidden="false" customHeight="true" outlineLevel="0" collapsed="false">
      <c r="A271" s="11" t="n">
        <v>270</v>
      </c>
      <c r="B271" s="11" t="s">
        <v>1384</v>
      </c>
      <c r="C271" s="11" t="s">
        <v>1390</v>
      </c>
      <c r="D271" s="11" t="s">
        <v>1638</v>
      </c>
      <c r="E271" s="11" t="s">
        <v>126</v>
      </c>
      <c r="F271" s="11" t="s">
        <v>205</v>
      </c>
      <c r="G271" s="11" t="n">
        <v>1</v>
      </c>
      <c r="H271" s="11" t="s">
        <v>86</v>
      </c>
      <c r="I271" s="11"/>
      <c r="J271" s="14"/>
      <c r="K271" s="14"/>
      <c r="L271" s="14"/>
      <c r="M271" s="14" t="s">
        <v>2621</v>
      </c>
      <c r="N271" s="14" t="s">
        <v>2622</v>
      </c>
      <c r="O271" s="14" t="s">
        <v>1392</v>
      </c>
      <c r="P271" s="11" t="s">
        <v>2623</v>
      </c>
      <c r="Q271" s="11" t="s">
        <v>79</v>
      </c>
      <c r="R271" s="14"/>
      <c r="S271" s="11" t="s">
        <v>1393</v>
      </c>
      <c r="T271" s="11"/>
      <c r="U271" s="11" t="s">
        <v>1394</v>
      </c>
    </row>
    <row r="272" customFormat="false" ht="42" hidden="false" customHeight="true" outlineLevel="0" collapsed="false">
      <c r="A272" s="11" t="n">
        <v>271</v>
      </c>
      <c r="B272" s="11" t="s">
        <v>1395</v>
      </c>
      <c r="C272" s="11" t="s">
        <v>1396</v>
      </c>
      <c r="D272" s="11" t="s">
        <v>1638</v>
      </c>
      <c r="E272" s="11" t="s">
        <v>126</v>
      </c>
      <c r="F272" s="11" t="s">
        <v>416</v>
      </c>
      <c r="G272" s="11" t="n">
        <v>1</v>
      </c>
      <c r="H272" s="11" t="s">
        <v>86</v>
      </c>
      <c r="I272" s="11"/>
      <c r="J272" s="14"/>
      <c r="K272" s="14"/>
      <c r="L272" s="14"/>
      <c r="M272" s="14" t="s">
        <v>2624</v>
      </c>
      <c r="N272" s="14" t="s">
        <v>2625</v>
      </c>
      <c r="O272" s="14" t="s">
        <v>1398</v>
      </c>
      <c r="P272" s="11" t="s">
        <v>2626</v>
      </c>
      <c r="Q272" s="11" t="s">
        <v>79</v>
      </c>
      <c r="R272" s="14" t="s">
        <v>2627</v>
      </c>
      <c r="S272" s="11" t="s">
        <v>1399</v>
      </c>
      <c r="T272" s="11"/>
      <c r="U272" s="11" t="s">
        <v>1400</v>
      </c>
    </row>
    <row r="273" customFormat="false" ht="42" hidden="false" customHeight="true" outlineLevel="0" collapsed="false">
      <c r="A273" s="11" t="n">
        <v>272</v>
      </c>
      <c r="B273" s="11" t="s">
        <v>1395</v>
      </c>
      <c r="C273" s="11" t="s">
        <v>1401</v>
      </c>
      <c r="D273" s="11" t="s">
        <v>1638</v>
      </c>
      <c r="E273" s="11" t="s">
        <v>126</v>
      </c>
      <c r="F273" s="11" t="s">
        <v>205</v>
      </c>
      <c r="G273" s="11" t="n">
        <v>1</v>
      </c>
      <c r="H273" s="11" t="s">
        <v>1402</v>
      </c>
      <c r="I273" s="11"/>
      <c r="J273" s="14"/>
      <c r="K273" s="14"/>
      <c r="L273" s="14"/>
      <c r="M273" s="14" t="s">
        <v>2628</v>
      </c>
      <c r="N273" s="14" t="s">
        <v>2629</v>
      </c>
      <c r="O273" s="14" t="s">
        <v>1405</v>
      </c>
      <c r="P273" s="11"/>
      <c r="Q273" s="11" t="s">
        <v>120</v>
      </c>
      <c r="R273" s="14" t="s">
        <v>2630</v>
      </c>
      <c r="S273" s="11" t="s">
        <v>1406</v>
      </c>
      <c r="T273" s="11"/>
      <c r="U273" s="11" t="s">
        <v>1407</v>
      </c>
    </row>
    <row r="274" customFormat="false" ht="42" hidden="false" customHeight="true" outlineLevel="0" collapsed="false">
      <c r="A274" s="11" t="n">
        <v>273</v>
      </c>
      <c r="B274" s="11" t="s">
        <v>1408</v>
      </c>
      <c r="C274" s="11" t="s">
        <v>1409</v>
      </c>
      <c r="D274" s="11" t="s">
        <v>1638</v>
      </c>
      <c r="E274" s="11" t="s">
        <v>126</v>
      </c>
      <c r="F274" s="11" t="s">
        <v>205</v>
      </c>
      <c r="G274" s="11" t="n">
        <v>1</v>
      </c>
      <c r="H274" s="11" t="s">
        <v>123</v>
      </c>
      <c r="I274" s="11"/>
      <c r="J274" s="14"/>
      <c r="K274" s="14"/>
      <c r="L274" s="14"/>
      <c r="M274" s="14" t="s">
        <v>2631</v>
      </c>
      <c r="N274" s="14" t="s">
        <v>2632</v>
      </c>
      <c r="O274" s="14" t="s">
        <v>1411</v>
      </c>
      <c r="P274" s="11" t="s">
        <v>2633</v>
      </c>
      <c r="Q274" s="11" t="s">
        <v>79</v>
      </c>
      <c r="R274" s="14"/>
      <c r="S274" s="11" t="s">
        <v>1412</v>
      </c>
      <c r="T274" s="11"/>
      <c r="U274" s="11" t="s">
        <v>1413</v>
      </c>
    </row>
    <row r="275" customFormat="false" ht="42" hidden="false" customHeight="true" outlineLevel="0" collapsed="false">
      <c r="A275" s="11" t="n">
        <v>274</v>
      </c>
      <c r="B275" s="11" t="s">
        <v>1414</v>
      </c>
      <c r="C275" s="11" t="s">
        <v>1415</v>
      </c>
      <c r="D275" s="11" t="s">
        <v>1638</v>
      </c>
      <c r="E275" s="11" t="s">
        <v>126</v>
      </c>
      <c r="F275" s="11" t="s">
        <v>416</v>
      </c>
      <c r="G275" s="11" t="n">
        <v>1</v>
      </c>
      <c r="H275" s="11" t="s">
        <v>86</v>
      </c>
      <c r="I275" s="11"/>
      <c r="J275" s="14"/>
      <c r="K275" s="14"/>
      <c r="L275" s="14"/>
      <c r="M275" s="14" t="s">
        <v>2634</v>
      </c>
      <c r="N275" s="14" t="s">
        <v>2635</v>
      </c>
      <c r="O275" s="14" t="s">
        <v>1417</v>
      </c>
      <c r="P275" s="11" t="s">
        <v>2636</v>
      </c>
      <c r="Q275" s="11" t="s">
        <v>79</v>
      </c>
      <c r="R275" s="14" t="s">
        <v>2637</v>
      </c>
      <c r="S275" s="11" t="s">
        <v>1418</v>
      </c>
      <c r="T275" s="11"/>
      <c r="U275" s="11" t="s">
        <v>1419</v>
      </c>
    </row>
    <row r="276" customFormat="false" ht="42" hidden="false" customHeight="true" outlineLevel="0" collapsed="false">
      <c r="A276" s="11" t="n">
        <v>275</v>
      </c>
      <c r="B276" s="11" t="s">
        <v>1414</v>
      </c>
      <c r="C276" s="11" t="s">
        <v>1420</v>
      </c>
      <c r="D276" s="11" t="s">
        <v>1638</v>
      </c>
      <c r="E276" s="11" t="s">
        <v>126</v>
      </c>
      <c r="F276" s="11" t="s">
        <v>416</v>
      </c>
      <c r="G276" s="11" t="n">
        <v>1</v>
      </c>
      <c r="H276" s="11" t="s">
        <v>349</v>
      </c>
      <c r="I276" s="11"/>
      <c r="J276" s="14"/>
      <c r="K276" s="14"/>
      <c r="L276" s="14"/>
      <c r="M276" s="14" t="s">
        <v>2638</v>
      </c>
      <c r="N276" s="14" t="s">
        <v>2639</v>
      </c>
      <c r="O276" s="14" t="s">
        <v>1422</v>
      </c>
      <c r="P276" s="11" t="s">
        <v>2640</v>
      </c>
      <c r="Q276" s="11" t="s">
        <v>79</v>
      </c>
      <c r="R276" s="14" t="s">
        <v>2641</v>
      </c>
      <c r="S276" s="11" t="s">
        <v>1423</v>
      </c>
      <c r="T276" s="11"/>
      <c r="U276" s="11" t="s">
        <v>1424</v>
      </c>
    </row>
    <row r="277" customFormat="false" ht="42" hidden="false" customHeight="true" outlineLevel="0" collapsed="false">
      <c r="A277" s="11" t="n">
        <v>276</v>
      </c>
      <c r="B277" s="11" t="s">
        <v>1425</v>
      </c>
      <c r="C277" s="11" t="s">
        <v>1426</v>
      </c>
      <c r="D277" s="11" t="s">
        <v>1638</v>
      </c>
      <c r="E277" s="11" t="s">
        <v>126</v>
      </c>
      <c r="F277" s="11" t="s">
        <v>416</v>
      </c>
      <c r="G277" s="11" t="n">
        <v>1</v>
      </c>
      <c r="H277" s="11" t="s">
        <v>90</v>
      </c>
      <c r="I277" s="11"/>
      <c r="J277" s="14"/>
      <c r="K277" s="14"/>
      <c r="L277" s="14"/>
      <c r="M277" s="14" t="s">
        <v>2642</v>
      </c>
      <c r="N277" s="14" t="s">
        <v>2643</v>
      </c>
      <c r="O277" s="14" t="s">
        <v>1428</v>
      </c>
      <c r="P277" s="11" t="s">
        <v>2644</v>
      </c>
      <c r="Q277" s="11" t="s">
        <v>79</v>
      </c>
      <c r="R277" s="14" t="s">
        <v>2641</v>
      </c>
      <c r="S277" s="11" t="s">
        <v>1429</v>
      </c>
      <c r="T277" s="11"/>
      <c r="U277" s="11" t="s">
        <v>1430</v>
      </c>
    </row>
    <row r="278" customFormat="false" ht="42" hidden="false" customHeight="true" outlineLevel="0" collapsed="false">
      <c r="A278" s="11" t="n">
        <v>277</v>
      </c>
      <c r="B278" s="11" t="s">
        <v>1425</v>
      </c>
      <c r="C278" s="11" t="s">
        <v>1431</v>
      </c>
      <c r="D278" s="11" t="s">
        <v>1638</v>
      </c>
      <c r="E278" s="11" t="s">
        <v>126</v>
      </c>
      <c r="F278" s="11" t="s">
        <v>234</v>
      </c>
      <c r="G278" s="11" t="n">
        <v>1</v>
      </c>
      <c r="H278" s="11" t="s">
        <v>86</v>
      </c>
      <c r="I278" s="11"/>
      <c r="J278" s="14"/>
      <c r="K278" s="14"/>
      <c r="L278" s="14"/>
      <c r="M278" s="14" t="s">
        <v>2645</v>
      </c>
      <c r="N278" s="14" t="s">
        <v>2646</v>
      </c>
      <c r="O278" s="14" t="s">
        <v>1433</v>
      </c>
      <c r="P278" s="11"/>
      <c r="Q278" s="11" t="s">
        <v>79</v>
      </c>
      <c r="R278" s="14" t="s">
        <v>2647</v>
      </c>
      <c r="S278" s="11" t="s">
        <v>1434</v>
      </c>
      <c r="T278" s="11"/>
      <c r="U278" s="11" t="s">
        <v>1435</v>
      </c>
    </row>
    <row r="279" customFormat="false" ht="42" hidden="false" customHeight="true" outlineLevel="0" collapsed="false">
      <c r="A279" s="11" t="n">
        <v>278</v>
      </c>
      <c r="B279" s="11" t="s">
        <v>1425</v>
      </c>
      <c r="C279" s="11" t="s">
        <v>1436</v>
      </c>
      <c r="D279" s="11" t="s">
        <v>1638</v>
      </c>
      <c r="E279" s="11" t="s">
        <v>126</v>
      </c>
      <c r="F279" s="11" t="s">
        <v>416</v>
      </c>
      <c r="G279" s="11" t="n">
        <v>1</v>
      </c>
      <c r="H279" s="11" t="s">
        <v>92</v>
      </c>
      <c r="I279" s="11"/>
      <c r="J279" s="14"/>
      <c r="K279" s="14"/>
      <c r="L279" s="14"/>
      <c r="M279" s="14" t="s">
        <v>2648</v>
      </c>
      <c r="N279" s="14" t="s">
        <v>2649</v>
      </c>
      <c r="O279" s="14" t="s">
        <v>1438</v>
      </c>
      <c r="P279" s="11" t="s">
        <v>2650</v>
      </c>
      <c r="Q279" s="11" t="s">
        <v>79</v>
      </c>
      <c r="R279" s="14" t="s">
        <v>2641</v>
      </c>
      <c r="S279" s="11" t="s">
        <v>1439</v>
      </c>
      <c r="T279" s="11"/>
      <c r="U279" s="11" t="s">
        <v>1440</v>
      </c>
    </row>
    <row r="280" customFormat="false" ht="42" hidden="false" customHeight="true" outlineLevel="0" collapsed="false">
      <c r="A280" s="11" t="n">
        <v>279</v>
      </c>
      <c r="B280" s="11" t="s">
        <v>1425</v>
      </c>
      <c r="C280" s="11" t="s">
        <v>1441</v>
      </c>
      <c r="D280" s="11" t="s">
        <v>1638</v>
      </c>
      <c r="E280" s="11" t="s">
        <v>126</v>
      </c>
      <c r="F280" s="11" t="s">
        <v>416</v>
      </c>
      <c r="G280" s="11" t="n">
        <v>1</v>
      </c>
      <c r="H280" s="11" t="s">
        <v>349</v>
      </c>
      <c r="I280" s="11"/>
      <c r="J280" s="14"/>
      <c r="K280" s="14"/>
      <c r="L280" s="14"/>
      <c r="M280" s="14" t="s">
        <v>2651</v>
      </c>
      <c r="N280" s="14" t="s">
        <v>2652</v>
      </c>
      <c r="O280" s="14" t="s">
        <v>1443</v>
      </c>
      <c r="P280" s="11" t="s">
        <v>2653</v>
      </c>
      <c r="Q280" s="11" t="s">
        <v>79</v>
      </c>
      <c r="R280" s="14" t="s">
        <v>2654</v>
      </c>
      <c r="S280" s="11" t="s">
        <v>1444</v>
      </c>
      <c r="T280" s="11"/>
      <c r="U280" s="11" t="s">
        <v>1445</v>
      </c>
    </row>
    <row r="281" customFormat="false" ht="42" hidden="false" customHeight="true" outlineLevel="0" collapsed="false">
      <c r="A281" s="11" t="n">
        <v>280</v>
      </c>
      <c r="B281" s="11" t="s">
        <v>1425</v>
      </c>
      <c r="C281" s="11" t="s">
        <v>1446</v>
      </c>
      <c r="D281" s="11" t="s">
        <v>1638</v>
      </c>
      <c r="E281" s="11" t="s">
        <v>126</v>
      </c>
      <c r="F281" s="11" t="s">
        <v>416</v>
      </c>
      <c r="G281" s="11" t="n">
        <v>1</v>
      </c>
      <c r="H281" s="11" t="s">
        <v>1447</v>
      </c>
      <c r="I281" s="11"/>
      <c r="J281" s="14"/>
      <c r="K281" s="14"/>
      <c r="L281" s="14"/>
      <c r="M281" s="14" t="s">
        <v>2655</v>
      </c>
      <c r="N281" s="14" t="s">
        <v>2656</v>
      </c>
      <c r="O281" s="14" t="s">
        <v>1450</v>
      </c>
      <c r="P281" s="11" t="s">
        <v>2657</v>
      </c>
      <c r="Q281" s="11" t="s">
        <v>79</v>
      </c>
      <c r="R281" s="14"/>
      <c r="S281" s="11" t="s">
        <v>1451</v>
      </c>
      <c r="T281" s="11"/>
      <c r="U281" s="11" t="s">
        <v>1452</v>
      </c>
    </row>
    <row r="282" customFormat="false" ht="42" hidden="false" customHeight="true" outlineLevel="0" collapsed="false">
      <c r="A282" s="11" t="n">
        <v>281</v>
      </c>
      <c r="B282" s="11" t="s">
        <v>1425</v>
      </c>
      <c r="C282" s="11" t="s">
        <v>1446</v>
      </c>
      <c r="D282" s="11" t="s">
        <v>1638</v>
      </c>
      <c r="E282" s="11" t="s">
        <v>126</v>
      </c>
      <c r="F282" s="11" t="s">
        <v>416</v>
      </c>
      <c r="G282" s="11" t="n">
        <v>1</v>
      </c>
      <c r="H282" s="11" t="s">
        <v>349</v>
      </c>
      <c r="I282" s="11"/>
      <c r="J282" s="14"/>
      <c r="K282" s="14"/>
      <c r="L282" s="14"/>
      <c r="M282" s="14" t="s">
        <v>2658</v>
      </c>
      <c r="N282" s="14" t="s">
        <v>2652</v>
      </c>
      <c r="O282" s="14" t="s">
        <v>1450</v>
      </c>
      <c r="P282" s="11" t="s">
        <v>2653</v>
      </c>
      <c r="Q282" s="11" t="s">
        <v>79</v>
      </c>
      <c r="R282" s="14" t="s">
        <v>2659</v>
      </c>
      <c r="S282" s="11" t="s">
        <v>1454</v>
      </c>
      <c r="T282" s="11" t="s">
        <v>1444</v>
      </c>
      <c r="U282" s="11" t="s">
        <v>1452</v>
      </c>
    </row>
    <row r="283" customFormat="false" ht="42" hidden="false" customHeight="true" outlineLevel="0" collapsed="false">
      <c r="A283" s="11" t="n">
        <v>282</v>
      </c>
      <c r="B283" s="11" t="s">
        <v>1425</v>
      </c>
      <c r="C283" s="11" t="s">
        <v>1446</v>
      </c>
      <c r="D283" s="11" t="s">
        <v>1638</v>
      </c>
      <c r="E283" s="11" t="s">
        <v>126</v>
      </c>
      <c r="F283" s="11" t="s">
        <v>416</v>
      </c>
      <c r="G283" s="11" t="n">
        <v>1</v>
      </c>
      <c r="H283" s="11" t="s">
        <v>92</v>
      </c>
      <c r="I283" s="11"/>
      <c r="J283" s="14"/>
      <c r="K283" s="14"/>
      <c r="L283" s="14"/>
      <c r="M283" s="14" t="s">
        <v>2660</v>
      </c>
      <c r="N283" s="14" t="s">
        <v>2649</v>
      </c>
      <c r="O283" s="14" t="s">
        <v>1450</v>
      </c>
      <c r="P283" s="11" t="s">
        <v>2650</v>
      </c>
      <c r="Q283" s="11" t="s">
        <v>79</v>
      </c>
      <c r="R283" s="14" t="s">
        <v>2661</v>
      </c>
      <c r="S283" s="11" t="s">
        <v>1456</v>
      </c>
      <c r="T283" s="11" t="s">
        <v>1439</v>
      </c>
      <c r="U283" s="11" t="s">
        <v>1452</v>
      </c>
    </row>
    <row r="284" customFormat="false" ht="42" hidden="false" customHeight="true" outlineLevel="0" collapsed="false">
      <c r="A284" s="11" t="n">
        <v>283</v>
      </c>
      <c r="B284" s="11" t="s">
        <v>1425</v>
      </c>
      <c r="C284" s="11" t="s">
        <v>1446</v>
      </c>
      <c r="D284" s="11" t="s">
        <v>1638</v>
      </c>
      <c r="E284" s="11" t="s">
        <v>126</v>
      </c>
      <c r="F284" s="11" t="s">
        <v>416</v>
      </c>
      <c r="G284" s="11" t="n">
        <v>1</v>
      </c>
      <c r="H284" s="11" t="s">
        <v>90</v>
      </c>
      <c r="I284" s="11"/>
      <c r="J284" s="14"/>
      <c r="K284" s="14"/>
      <c r="L284" s="14"/>
      <c r="M284" s="14" t="s">
        <v>2662</v>
      </c>
      <c r="N284" s="14" t="s">
        <v>2663</v>
      </c>
      <c r="O284" s="14" t="s">
        <v>1450</v>
      </c>
      <c r="P284" s="11" t="s">
        <v>2644</v>
      </c>
      <c r="Q284" s="11" t="s">
        <v>79</v>
      </c>
      <c r="R284" s="14" t="s">
        <v>2664</v>
      </c>
      <c r="S284" s="11" t="s">
        <v>1458</v>
      </c>
      <c r="T284" s="11" t="s">
        <v>1429</v>
      </c>
      <c r="U284" s="11" t="s">
        <v>1452</v>
      </c>
    </row>
    <row r="285" customFormat="false" ht="42" hidden="false" customHeight="true" outlineLevel="0" collapsed="false">
      <c r="A285" s="11" t="n">
        <v>284</v>
      </c>
      <c r="B285" s="11" t="s">
        <v>1425</v>
      </c>
      <c r="C285" s="11" t="s">
        <v>1446</v>
      </c>
      <c r="D285" s="11" t="s">
        <v>1638</v>
      </c>
      <c r="E285" s="11" t="s">
        <v>126</v>
      </c>
      <c r="F285" s="11" t="s">
        <v>416</v>
      </c>
      <c r="G285" s="11" t="n">
        <v>1</v>
      </c>
      <c r="H285" s="11" t="s">
        <v>349</v>
      </c>
      <c r="I285" s="11"/>
      <c r="J285" s="14"/>
      <c r="K285" s="14"/>
      <c r="L285" s="14"/>
      <c r="M285" s="14" t="s">
        <v>2665</v>
      </c>
      <c r="N285" s="14" t="s">
        <v>2666</v>
      </c>
      <c r="O285" s="14" t="s">
        <v>1450</v>
      </c>
      <c r="P285" s="11" t="s">
        <v>2640</v>
      </c>
      <c r="Q285" s="11" t="s">
        <v>79</v>
      </c>
      <c r="R285" s="14" t="s">
        <v>2664</v>
      </c>
      <c r="S285" s="11" t="s">
        <v>1460</v>
      </c>
      <c r="T285" s="11" t="s">
        <v>1423</v>
      </c>
      <c r="U285" s="11" t="s">
        <v>1452</v>
      </c>
    </row>
    <row r="286" customFormat="false" ht="42" hidden="false" customHeight="true" outlineLevel="0" collapsed="false">
      <c r="A286" s="11" t="n">
        <v>285</v>
      </c>
      <c r="B286" s="11" t="s">
        <v>1425</v>
      </c>
      <c r="C286" s="11" t="s">
        <v>1446</v>
      </c>
      <c r="D286" s="11" t="s">
        <v>1638</v>
      </c>
      <c r="E286" s="11" t="s">
        <v>126</v>
      </c>
      <c r="F286" s="11" t="s">
        <v>416</v>
      </c>
      <c r="G286" s="11" t="n">
        <v>1</v>
      </c>
      <c r="H286" s="11" t="s">
        <v>86</v>
      </c>
      <c r="I286" s="11"/>
      <c r="J286" s="14"/>
      <c r="K286" s="14"/>
      <c r="L286" s="14"/>
      <c r="M286" s="14" t="s">
        <v>2667</v>
      </c>
      <c r="N286" s="14" t="s">
        <v>2668</v>
      </c>
      <c r="O286" s="14" t="s">
        <v>1450</v>
      </c>
      <c r="P286" s="11" t="s">
        <v>2669</v>
      </c>
      <c r="Q286" s="11" t="s">
        <v>79</v>
      </c>
      <c r="R286" s="14" t="s">
        <v>2664</v>
      </c>
      <c r="S286" s="11" t="s">
        <v>1461</v>
      </c>
      <c r="T286" s="11"/>
      <c r="U286" s="11" t="s">
        <v>1452</v>
      </c>
    </row>
    <row r="287" customFormat="false" ht="42" hidden="false" customHeight="true" outlineLevel="0" collapsed="false">
      <c r="A287" s="11" t="n">
        <v>286</v>
      </c>
      <c r="B287" s="11" t="s">
        <v>1425</v>
      </c>
      <c r="C287" s="11" t="s">
        <v>1462</v>
      </c>
      <c r="D287" s="11" t="s">
        <v>1638</v>
      </c>
      <c r="E287" s="11" t="s">
        <v>126</v>
      </c>
      <c r="F287" s="11" t="s">
        <v>416</v>
      </c>
      <c r="G287" s="11" t="n">
        <v>1</v>
      </c>
      <c r="H287" s="11" t="s">
        <v>1447</v>
      </c>
      <c r="I287" s="11"/>
      <c r="J287" s="14"/>
      <c r="K287" s="14"/>
      <c r="L287" s="14"/>
      <c r="M287" s="14" t="s">
        <v>2670</v>
      </c>
      <c r="N287" s="14" t="s">
        <v>2671</v>
      </c>
      <c r="O287" s="14" t="s">
        <v>1464</v>
      </c>
      <c r="P287" s="11" t="s">
        <v>2672</v>
      </c>
      <c r="Q287" s="11" t="s">
        <v>79</v>
      </c>
      <c r="R287" s="14"/>
      <c r="S287" s="11" t="s">
        <v>1465</v>
      </c>
      <c r="T287" s="11"/>
      <c r="U287" s="11" t="s">
        <v>1466</v>
      </c>
    </row>
    <row r="288" customFormat="false" ht="42" hidden="false" customHeight="true" outlineLevel="0" collapsed="false">
      <c r="A288" s="11" t="n">
        <v>287</v>
      </c>
      <c r="B288" s="11" t="s">
        <v>1467</v>
      </c>
      <c r="C288" s="11" t="s">
        <v>1468</v>
      </c>
      <c r="D288" s="11" t="s">
        <v>1638</v>
      </c>
      <c r="E288" s="11" t="s">
        <v>126</v>
      </c>
      <c r="F288" s="11" t="s">
        <v>416</v>
      </c>
      <c r="G288" s="11" t="n">
        <v>1</v>
      </c>
      <c r="H288" s="11" t="s">
        <v>1447</v>
      </c>
      <c r="I288" s="11"/>
      <c r="J288" s="14"/>
      <c r="K288" s="14"/>
      <c r="L288" s="14"/>
      <c r="M288" s="14" t="s">
        <v>2673</v>
      </c>
      <c r="N288" s="14" t="s">
        <v>2674</v>
      </c>
      <c r="O288" s="14" t="s">
        <v>1470</v>
      </c>
      <c r="P288" s="11" t="s">
        <v>2675</v>
      </c>
      <c r="Q288" s="11" t="s">
        <v>79</v>
      </c>
      <c r="R288" s="14"/>
      <c r="S288" s="11" t="s">
        <v>1471</v>
      </c>
      <c r="T288" s="11"/>
      <c r="U288" s="11" t="s">
        <v>1472</v>
      </c>
    </row>
    <row r="289" customFormat="false" ht="42" hidden="false" customHeight="true" outlineLevel="0" collapsed="false">
      <c r="A289" s="11" t="n">
        <v>288</v>
      </c>
      <c r="B289" s="11" t="s">
        <v>1467</v>
      </c>
      <c r="C289" s="11" t="s">
        <v>1473</v>
      </c>
      <c r="D289" s="11" t="s">
        <v>1638</v>
      </c>
      <c r="E289" s="11" t="s">
        <v>126</v>
      </c>
      <c r="F289" s="11" t="s">
        <v>416</v>
      </c>
      <c r="G289" s="11" t="n">
        <v>1</v>
      </c>
      <c r="H289" s="11" t="s">
        <v>1447</v>
      </c>
      <c r="I289" s="11"/>
      <c r="J289" s="14"/>
      <c r="K289" s="14"/>
      <c r="L289" s="14"/>
      <c r="M289" s="14" t="s">
        <v>2676</v>
      </c>
      <c r="N289" s="14" t="s">
        <v>2677</v>
      </c>
      <c r="O289" s="14" t="s">
        <v>1475</v>
      </c>
      <c r="P289" s="11" t="s">
        <v>2678</v>
      </c>
      <c r="Q289" s="11" t="s">
        <v>79</v>
      </c>
      <c r="R289" s="14"/>
      <c r="S289" s="11" t="s">
        <v>1476</v>
      </c>
      <c r="T289" s="11"/>
      <c r="U289" s="11" t="s">
        <v>1477</v>
      </c>
    </row>
    <row r="290" customFormat="false" ht="42" hidden="false" customHeight="true" outlineLevel="0" collapsed="false">
      <c r="A290" s="11" t="n">
        <v>289</v>
      </c>
      <c r="B290" s="11" t="s">
        <v>1478</v>
      </c>
      <c r="C290" s="11" t="s">
        <v>1479</v>
      </c>
      <c r="D290" s="11" t="s">
        <v>1638</v>
      </c>
      <c r="E290" s="11" t="s">
        <v>126</v>
      </c>
      <c r="F290" s="11" t="s">
        <v>416</v>
      </c>
      <c r="G290" s="11" t="n">
        <v>1</v>
      </c>
      <c r="H290" s="11" t="s">
        <v>90</v>
      </c>
      <c r="I290" s="11"/>
      <c r="J290" s="14"/>
      <c r="K290" s="14"/>
      <c r="L290" s="14"/>
      <c r="M290" s="14" t="s">
        <v>2679</v>
      </c>
      <c r="N290" s="14" t="s">
        <v>2680</v>
      </c>
      <c r="O290" s="14" t="s">
        <v>1481</v>
      </c>
      <c r="P290" s="11" t="s">
        <v>2681</v>
      </c>
      <c r="Q290" s="11" t="s">
        <v>79</v>
      </c>
      <c r="R290" s="14" t="s">
        <v>2682</v>
      </c>
      <c r="S290" s="11" t="s">
        <v>1482</v>
      </c>
      <c r="T290" s="11"/>
      <c r="U290" s="11" t="s">
        <v>1483</v>
      </c>
    </row>
    <row r="291" customFormat="false" ht="42" hidden="false" customHeight="true" outlineLevel="0" collapsed="false">
      <c r="A291" s="11" t="n">
        <v>290</v>
      </c>
      <c r="B291" s="11" t="s">
        <v>1478</v>
      </c>
      <c r="C291" s="11" t="s">
        <v>1484</v>
      </c>
      <c r="D291" s="11" t="s">
        <v>1638</v>
      </c>
      <c r="E291" s="11" t="s">
        <v>126</v>
      </c>
      <c r="F291" s="11" t="s">
        <v>234</v>
      </c>
      <c r="G291" s="11" t="n">
        <v>1</v>
      </c>
      <c r="H291" s="11" t="s">
        <v>86</v>
      </c>
      <c r="I291" s="11"/>
      <c r="J291" s="14"/>
      <c r="K291" s="14"/>
      <c r="L291" s="14"/>
      <c r="M291" s="14" t="s">
        <v>2683</v>
      </c>
      <c r="N291" s="14" t="s">
        <v>2684</v>
      </c>
      <c r="O291" s="14" t="s">
        <v>1486</v>
      </c>
      <c r="P291" s="11"/>
      <c r="Q291" s="11" t="s">
        <v>120</v>
      </c>
      <c r="R291" s="14" t="s">
        <v>2685</v>
      </c>
      <c r="S291" s="11" t="s">
        <v>1487</v>
      </c>
      <c r="T291" s="11"/>
      <c r="U291" s="11" t="s">
        <v>1488</v>
      </c>
    </row>
    <row r="292" customFormat="false" ht="42" hidden="false" customHeight="true" outlineLevel="0" collapsed="false">
      <c r="A292" s="11" t="n">
        <v>291</v>
      </c>
      <c r="B292" s="11" t="s">
        <v>1478</v>
      </c>
      <c r="C292" s="11" t="s">
        <v>2686</v>
      </c>
      <c r="D292" s="11" t="s">
        <v>1638</v>
      </c>
      <c r="E292" s="11" t="s">
        <v>235</v>
      </c>
      <c r="F292" s="11" t="s">
        <v>115</v>
      </c>
      <c r="G292" s="11" t="n">
        <v>0</v>
      </c>
      <c r="H292" s="11"/>
      <c r="I292" s="11" t="s">
        <v>1674</v>
      </c>
      <c r="J292" s="14" t="s">
        <v>2687</v>
      </c>
      <c r="K292" s="14" t="s">
        <v>2688</v>
      </c>
      <c r="L292" s="14" t="s">
        <v>2689</v>
      </c>
      <c r="M292" s="14" t="s">
        <v>2690</v>
      </c>
      <c r="N292" s="14" t="s">
        <v>2691</v>
      </c>
      <c r="O292" s="14" t="s">
        <v>2692</v>
      </c>
      <c r="P292" s="11"/>
      <c r="Q292" s="11" t="s">
        <v>120</v>
      </c>
      <c r="R292" s="14" t="s">
        <v>2693</v>
      </c>
      <c r="S292" s="11" t="s">
        <v>2694</v>
      </c>
      <c r="T292" s="11"/>
      <c r="U292" s="11" t="s">
        <v>2695</v>
      </c>
    </row>
    <row r="293" customFormat="false" ht="42" hidden="false" customHeight="true" outlineLevel="0" collapsed="false">
      <c r="A293" s="11" t="n">
        <v>292</v>
      </c>
      <c r="B293" s="11" t="s">
        <v>1478</v>
      </c>
      <c r="C293" s="11" t="s">
        <v>2696</v>
      </c>
      <c r="D293" s="11" t="s">
        <v>1638</v>
      </c>
      <c r="E293" s="11" t="s">
        <v>1091</v>
      </c>
      <c r="F293" s="11" t="s">
        <v>937</v>
      </c>
      <c r="G293" s="11" t="n">
        <v>0</v>
      </c>
      <c r="H293" s="11"/>
      <c r="I293" s="11"/>
      <c r="J293" s="14"/>
      <c r="K293" s="14"/>
      <c r="L293" s="14"/>
      <c r="M293" s="14" t="s">
        <v>2697</v>
      </c>
      <c r="N293" s="14" t="s">
        <v>2698</v>
      </c>
      <c r="O293" s="14" t="s">
        <v>2699</v>
      </c>
      <c r="P293" s="11"/>
      <c r="Q293" s="11" t="s">
        <v>79</v>
      </c>
      <c r="R293" s="14" t="s">
        <v>2700</v>
      </c>
      <c r="S293" s="11" t="s">
        <v>2701</v>
      </c>
      <c r="T293" s="11"/>
      <c r="U293" s="11" t="s">
        <v>2702</v>
      </c>
    </row>
    <row r="294" customFormat="false" ht="42" hidden="false" customHeight="true" outlineLevel="0" collapsed="false">
      <c r="A294" s="11" t="n">
        <v>293</v>
      </c>
      <c r="B294" s="11" t="s">
        <v>1478</v>
      </c>
      <c r="C294" s="11" t="s">
        <v>1489</v>
      </c>
      <c r="D294" s="11" t="s">
        <v>1638</v>
      </c>
      <c r="E294" s="11" t="s">
        <v>126</v>
      </c>
      <c r="F294" s="11" t="s">
        <v>416</v>
      </c>
      <c r="G294" s="11" t="n">
        <v>1</v>
      </c>
      <c r="H294" s="11" t="s">
        <v>90</v>
      </c>
      <c r="I294" s="11"/>
      <c r="J294" s="14"/>
      <c r="K294" s="14"/>
      <c r="L294" s="14"/>
      <c r="M294" s="14" t="s">
        <v>2703</v>
      </c>
      <c r="N294" s="14" t="s">
        <v>2704</v>
      </c>
      <c r="O294" s="14" t="s">
        <v>1491</v>
      </c>
      <c r="P294" s="11" t="s">
        <v>2705</v>
      </c>
      <c r="Q294" s="11" t="s">
        <v>79</v>
      </c>
      <c r="R294" s="14"/>
      <c r="S294" s="11" t="s">
        <v>1492</v>
      </c>
      <c r="T294" s="11"/>
      <c r="U294" s="11" t="s">
        <v>1493</v>
      </c>
    </row>
    <row r="295" customFormat="false" ht="42" hidden="false" customHeight="true" outlineLevel="0" collapsed="false">
      <c r="A295" s="11" t="n">
        <v>294</v>
      </c>
      <c r="B295" s="11" t="s">
        <v>1494</v>
      </c>
      <c r="C295" s="11" t="s">
        <v>1495</v>
      </c>
      <c r="D295" s="11" t="s">
        <v>1638</v>
      </c>
      <c r="E295" s="11" t="s">
        <v>126</v>
      </c>
      <c r="F295" s="11" t="s">
        <v>416</v>
      </c>
      <c r="G295" s="11" t="n">
        <v>1</v>
      </c>
      <c r="H295" s="11" t="s">
        <v>86</v>
      </c>
      <c r="I295" s="11"/>
      <c r="J295" s="14"/>
      <c r="K295" s="14"/>
      <c r="L295" s="14"/>
      <c r="M295" s="14" t="s">
        <v>2706</v>
      </c>
      <c r="N295" s="14" t="s">
        <v>2707</v>
      </c>
      <c r="O295" s="14" t="s">
        <v>1497</v>
      </c>
      <c r="P295" s="11" t="s">
        <v>2708</v>
      </c>
      <c r="Q295" s="11" t="s">
        <v>79</v>
      </c>
      <c r="R295" s="14"/>
      <c r="S295" s="11" t="s">
        <v>1498</v>
      </c>
      <c r="T295" s="11"/>
      <c r="U295" s="11" t="s">
        <v>1499</v>
      </c>
    </row>
    <row r="296" customFormat="false" ht="42" hidden="false" customHeight="true" outlineLevel="0" collapsed="false">
      <c r="A296" s="11" t="n">
        <v>295</v>
      </c>
      <c r="B296" s="11" t="s">
        <v>1494</v>
      </c>
      <c r="C296" s="11" t="s">
        <v>1500</v>
      </c>
      <c r="D296" s="11" t="s">
        <v>1638</v>
      </c>
      <c r="E296" s="11" t="s">
        <v>126</v>
      </c>
      <c r="F296" s="11" t="s">
        <v>234</v>
      </c>
      <c r="G296" s="11" t="n">
        <v>1</v>
      </c>
      <c r="H296" s="11" t="s">
        <v>90</v>
      </c>
      <c r="I296" s="11"/>
      <c r="J296" s="14"/>
      <c r="K296" s="14"/>
      <c r="L296" s="14"/>
      <c r="M296" s="14" t="s">
        <v>2709</v>
      </c>
      <c r="N296" s="14" t="s">
        <v>2710</v>
      </c>
      <c r="O296" s="14" t="s">
        <v>1502</v>
      </c>
      <c r="P296" s="11"/>
      <c r="Q296" s="11" t="s">
        <v>79</v>
      </c>
      <c r="R296" s="14" t="s">
        <v>2711</v>
      </c>
      <c r="S296" s="11" t="s">
        <v>1503</v>
      </c>
      <c r="T296" s="11"/>
      <c r="U296" s="11" t="s">
        <v>1504</v>
      </c>
    </row>
    <row r="297" customFormat="false" ht="42" hidden="false" customHeight="true" outlineLevel="0" collapsed="false">
      <c r="A297" s="11" t="n">
        <v>296</v>
      </c>
      <c r="B297" s="11" t="s">
        <v>1505</v>
      </c>
      <c r="C297" s="11" t="s">
        <v>1506</v>
      </c>
      <c r="D297" s="11" t="s">
        <v>1638</v>
      </c>
      <c r="E297" s="11" t="s">
        <v>75</v>
      </c>
      <c r="F297" s="11" t="s">
        <v>74</v>
      </c>
      <c r="G297" s="11" t="n">
        <v>1</v>
      </c>
      <c r="H297" s="11" t="s">
        <v>86</v>
      </c>
      <c r="I297" s="11"/>
      <c r="J297" s="14"/>
      <c r="K297" s="14"/>
      <c r="L297" s="14"/>
      <c r="M297" s="14" t="s">
        <v>2712</v>
      </c>
      <c r="N297" s="14" t="s">
        <v>2713</v>
      </c>
      <c r="O297" s="14" t="s">
        <v>1508</v>
      </c>
      <c r="P297" s="11"/>
      <c r="Q297" s="11" t="s">
        <v>79</v>
      </c>
      <c r="R297" s="14" t="s">
        <v>2714</v>
      </c>
      <c r="S297" s="11" t="s">
        <v>1509</v>
      </c>
      <c r="T297" s="11"/>
      <c r="U297" s="11" t="s">
        <v>1510</v>
      </c>
    </row>
    <row r="298" customFormat="false" ht="42" hidden="false" customHeight="true" outlineLevel="0" collapsed="false">
      <c r="A298" s="11" t="n">
        <v>297</v>
      </c>
      <c r="B298" s="11" t="s">
        <v>1511</v>
      </c>
      <c r="C298" s="11" t="s">
        <v>1512</v>
      </c>
      <c r="D298" s="11" t="s">
        <v>1638</v>
      </c>
      <c r="E298" s="11" t="s">
        <v>126</v>
      </c>
      <c r="F298" s="11" t="s">
        <v>234</v>
      </c>
      <c r="G298" s="11" t="n">
        <v>1</v>
      </c>
      <c r="H298" s="11" t="s">
        <v>90</v>
      </c>
      <c r="I298" s="11"/>
      <c r="J298" s="14"/>
      <c r="K298" s="14"/>
      <c r="L298" s="14"/>
      <c r="M298" s="14" t="s">
        <v>2715</v>
      </c>
      <c r="N298" s="14" t="s">
        <v>2716</v>
      </c>
      <c r="O298" s="14" t="s">
        <v>1514</v>
      </c>
      <c r="P298" s="11"/>
      <c r="Q298" s="11" t="s">
        <v>79</v>
      </c>
      <c r="R298" s="14" t="s">
        <v>2717</v>
      </c>
      <c r="S298" s="11" t="s">
        <v>1515</v>
      </c>
      <c r="T298" s="11"/>
      <c r="U298" s="11" t="s">
        <v>1516</v>
      </c>
    </row>
    <row r="299" customFormat="false" ht="42" hidden="false" customHeight="true" outlineLevel="0" collapsed="false">
      <c r="A299" s="11" t="n">
        <v>298</v>
      </c>
      <c r="B299" s="11" t="s">
        <v>1511</v>
      </c>
      <c r="C299" s="11" t="s">
        <v>1517</v>
      </c>
      <c r="D299" s="11" t="s">
        <v>1638</v>
      </c>
      <c r="E299" s="11" t="s">
        <v>126</v>
      </c>
      <c r="F299" s="11" t="s">
        <v>205</v>
      </c>
      <c r="G299" s="11" t="n">
        <v>1</v>
      </c>
      <c r="H299" s="11" t="s">
        <v>86</v>
      </c>
      <c r="I299" s="11"/>
      <c r="J299" s="14"/>
      <c r="K299" s="14"/>
      <c r="L299" s="14"/>
      <c r="M299" s="14" t="s">
        <v>2718</v>
      </c>
      <c r="N299" s="14" t="s">
        <v>2719</v>
      </c>
      <c r="O299" s="14" t="s">
        <v>1519</v>
      </c>
      <c r="P299" s="11" t="s">
        <v>2720</v>
      </c>
      <c r="Q299" s="11" t="s">
        <v>79</v>
      </c>
      <c r="R299" s="14"/>
      <c r="S299" s="11" t="s">
        <v>1520</v>
      </c>
      <c r="T299" s="11"/>
      <c r="U299" s="11" t="s">
        <v>1521</v>
      </c>
    </row>
    <row r="300" customFormat="false" ht="42" hidden="false" customHeight="true" outlineLevel="0" collapsed="false">
      <c r="A300" s="11" t="n">
        <v>299</v>
      </c>
      <c r="B300" s="11" t="s">
        <v>1511</v>
      </c>
      <c r="C300" s="11" t="s">
        <v>268</v>
      </c>
      <c r="D300" s="11" t="s">
        <v>1638</v>
      </c>
      <c r="E300" s="11" t="s">
        <v>126</v>
      </c>
      <c r="F300" s="11" t="s">
        <v>416</v>
      </c>
      <c r="G300" s="11" t="n">
        <v>1</v>
      </c>
      <c r="H300" s="11" t="s">
        <v>1522</v>
      </c>
      <c r="I300" s="11"/>
      <c r="J300" s="14"/>
      <c r="K300" s="14"/>
      <c r="L300" s="14"/>
      <c r="M300" s="14" t="s">
        <v>2721</v>
      </c>
      <c r="N300" s="14" t="s">
        <v>2722</v>
      </c>
      <c r="O300" s="14" t="s">
        <v>1525</v>
      </c>
      <c r="P300" s="11" t="s">
        <v>2723</v>
      </c>
      <c r="Q300" s="11" t="s">
        <v>79</v>
      </c>
      <c r="R300" s="14"/>
      <c r="S300" s="11" t="s">
        <v>1526</v>
      </c>
      <c r="T300" s="11"/>
      <c r="U300" s="11" t="s">
        <v>1527</v>
      </c>
    </row>
    <row r="301" customFormat="false" ht="42" hidden="false" customHeight="true" outlineLevel="0" collapsed="false">
      <c r="A301" s="11" t="n">
        <v>300</v>
      </c>
      <c r="B301" s="11" t="s">
        <v>1528</v>
      </c>
      <c r="C301" s="11" t="s">
        <v>1529</v>
      </c>
      <c r="D301" s="11" t="s">
        <v>1638</v>
      </c>
      <c r="E301" s="11" t="s">
        <v>126</v>
      </c>
      <c r="F301" s="11" t="s">
        <v>416</v>
      </c>
      <c r="G301" s="11" t="n">
        <v>1</v>
      </c>
      <c r="H301" s="11" t="s">
        <v>90</v>
      </c>
      <c r="I301" s="11"/>
      <c r="J301" s="14"/>
      <c r="K301" s="14"/>
      <c r="L301" s="14"/>
      <c r="M301" s="14" t="s">
        <v>2724</v>
      </c>
      <c r="N301" s="14" t="s">
        <v>2725</v>
      </c>
      <c r="O301" s="14" t="s">
        <v>1531</v>
      </c>
      <c r="P301" s="11" t="s">
        <v>2726</v>
      </c>
      <c r="Q301" s="11" t="s">
        <v>79</v>
      </c>
      <c r="R301" s="14"/>
      <c r="S301" s="11" t="s">
        <v>1532</v>
      </c>
      <c r="T301" s="11"/>
      <c r="U301" s="11" t="s">
        <v>1533</v>
      </c>
    </row>
    <row r="302" customFormat="false" ht="42" hidden="false" customHeight="true" outlineLevel="0" collapsed="false">
      <c r="A302" s="11" t="n">
        <v>301</v>
      </c>
      <c r="B302" s="11" t="s">
        <v>1528</v>
      </c>
      <c r="C302" s="11" t="s">
        <v>1534</v>
      </c>
      <c r="D302" s="11" t="s">
        <v>1638</v>
      </c>
      <c r="E302" s="11" t="s">
        <v>126</v>
      </c>
      <c r="F302" s="11" t="s">
        <v>234</v>
      </c>
      <c r="G302" s="11" t="n">
        <v>1</v>
      </c>
      <c r="H302" s="11" t="s">
        <v>107</v>
      </c>
      <c r="I302" s="11"/>
      <c r="J302" s="14"/>
      <c r="K302" s="14"/>
      <c r="L302" s="14"/>
      <c r="M302" s="14" t="s">
        <v>2727</v>
      </c>
      <c r="N302" s="14" t="s">
        <v>2728</v>
      </c>
      <c r="O302" s="14" t="s">
        <v>1536</v>
      </c>
      <c r="P302" s="11"/>
      <c r="Q302" s="11" t="s">
        <v>79</v>
      </c>
      <c r="R302" s="14" t="s">
        <v>2729</v>
      </c>
      <c r="S302" s="11" t="s">
        <v>1537</v>
      </c>
      <c r="T302" s="11"/>
      <c r="U302" s="11" t="s">
        <v>1538</v>
      </c>
    </row>
    <row r="303" customFormat="false" ht="42" hidden="false" customHeight="true" outlineLevel="0" collapsed="false">
      <c r="A303" s="11" t="n">
        <v>302</v>
      </c>
      <c r="B303" s="11" t="s">
        <v>1528</v>
      </c>
      <c r="C303" s="11" t="s">
        <v>1539</v>
      </c>
      <c r="D303" s="11" t="s">
        <v>1638</v>
      </c>
      <c r="E303" s="11" t="s">
        <v>126</v>
      </c>
      <c r="F303" s="11" t="s">
        <v>234</v>
      </c>
      <c r="G303" s="11" t="n">
        <v>1</v>
      </c>
      <c r="H303" s="11" t="s">
        <v>86</v>
      </c>
      <c r="I303" s="11"/>
      <c r="J303" s="14"/>
      <c r="K303" s="14"/>
      <c r="L303" s="14"/>
      <c r="M303" s="14" t="s">
        <v>2730</v>
      </c>
      <c r="N303" s="14" t="s">
        <v>2731</v>
      </c>
      <c r="O303" s="14" t="s">
        <v>1541</v>
      </c>
      <c r="P303" s="11"/>
      <c r="Q303" s="11" t="s">
        <v>120</v>
      </c>
      <c r="R303" s="14" t="s">
        <v>2732</v>
      </c>
      <c r="S303" s="11" t="s">
        <v>1542</v>
      </c>
      <c r="T303" s="11"/>
      <c r="U303" s="11" t="s">
        <v>1543</v>
      </c>
    </row>
    <row r="304" customFormat="false" ht="42" hidden="false" customHeight="true" outlineLevel="0" collapsed="false">
      <c r="A304" s="11" t="n">
        <v>303</v>
      </c>
      <c r="B304" s="11" t="s">
        <v>1544</v>
      </c>
      <c r="C304" s="11" t="s">
        <v>1545</v>
      </c>
      <c r="D304" s="11" t="s">
        <v>1638</v>
      </c>
      <c r="E304" s="11" t="s">
        <v>126</v>
      </c>
      <c r="F304" s="11" t="s">
        <v>416</v>
      </c>
      <c r="G304" s="11" t="n">
        <v>1</v>
      </c>
      <c r="H304" s="11" t="s">
        <v>86</v>
      </c>
      <c r="I304" s="11"/>
      <c r="J304" s="14"/>
      <c r="K304" s="14"/>
      <c r="L304" s="14"/>
      <c r="M304" s="14" t="s">
        <v>2733</v>
      </c>
      <c r="N304" s="14" t="s">
        <v>2734</v>
      </c>
      <c r="O304" s="14" t="s">
        <v>1547</v>
      </c>
      <c r="P304" s="11" t="s">
        <v>2735</v>
      </c>
      <c r="Q304" s="11" t="s">
        <v>79</v>
      </c>
      <c r="R304" s="14" t="s">
        <v>2736</v>
      </c>
      <c r="S304" s="11" t="s">
        <v>1548</v>
      </c>
      <c r="T304" s="11"/>
      <c r="U304" s="11" t="s">
        <v>1549</v>
      </c>
    </row>
    <row r="305" customFormat="false" ht="42" hidden="false" customHeight="true" outlineLevel="0" collapsed="false">
      <c r="A305" s="11" t="n">
        <v>304</v>
      </c>
      <c r="B305" s="11" t="s">
        <v>1550</v>
      </c>
      <c r="C305" s="11" t="s">
        <v>1551</v>
      </c>
      <c r="D305" s="11" t="s">
        <v>1638</v>
      </c>
      <c r="E305" s="11" t="s">
        <v>126</v>
      </c>
      <c r="F305" s="11" t="s">
        <v>416</v>
      </c>
      <c r="G305" s="11" t="n">
        <v>1</v>
      </c>
      <c r="H305" s="11" t="s">
        <v>92</v>
      </c>
      <c r="I305" s="11"/>
      <c r="J305" s="14"/>
      <c r="K305" s="14"/>
      <c r="L305" s="14"/>
      <c r="M305" s="14" t="s">
        <v>2737</v>
      </c>
      <c r="N305" s="14" t="s">
        <v>2738</v>
      </c>
      <c r="O305" s="14" t="s">
        <v>1553</v>
      </c>
      <c r="P305" s="11" t="s">
        <v>2739</v>
      </c>
      <c r="Q305" s="11" t="s">
        <v>79</v>
      </c>
      <c r="R305" s="14"/>
      <c r="S305" s="11" t="s">
        <v>1554</v>
      </c>
      <c r="T305" s="11"/>
      <c r="U305" s="11" t="s">
        <v>1555</v>
      </c>
    </row>
    <row r="306" customFormat="false" ht="42" hidden="false" customHeight="true" outlineLevel="0" collapsed="false">
      <c r="A306" s="11" t="n">
        <v>305</v>
      </c>
      <c r="B306" s="11" t="s">
        <v>1556</v>
      </c>
      <c r="C306" s="11" t="s">
        <v>1557</v>
      </c>
      <c r="D306" s="11" t="s">
        <v>1638</v>
      </c>
      <c r="E306" s="11" t="s">
        <v>126</v>
      </c>
      <c r="F306" s="11" t="s">
        <v>416</v>
      </c>
      <c r="G306" s="11" t="n">
        <v>1</v>
      </c>
      <c r="H306" s="11" t="s">
        <v>349</v>
      </c>
      <c r="I306" s="11"/>
      <c r="J306" s="14"/>
      <c r="K306" s="14"/>
      <c r="L306" s="14"/>
      <c r="M306" s="14" t="s">
        <v>2740</v>
      </c>
      <c r="N306" s="14" t="s">
        <v>2741</v>
      </c>
      <c r="O306" s="14" t="s">
        <v>1282</v>
      </c>
      <c r="P306" s="11" t="s">
        <v>2742</v>
      </c>
      <c r="Q306" s="11" t="s">
        <v>79</v>
      </c>
      <c r="R306" s="14" t="s">
        <v>2743</v>
      </c>
      <c r="S306" s="11" t="s">
        <v>1559</v>
      </c>
      <c r="T306" s="11"/>
      <c r="U306" s="11" t="s">
        <v>1560</v>
      </c>
    </row>
    <row r="307" customFormat="false" ht="42" hidden="false" customHeight="true" outlineLevel="0" collapsed="false">
      <c r="A307" s="11" t="n">
        <v>306</v>
      </c>
      <c r="B307" s="11" t="s">
        <v>1556</v>
      </c>
      <c r="C307" s="11" t="s">
        <v>1561</v>
      </c>
      <c r="D307" s="11" t="s">
        <v>1638</v>
      </c>
      <c r="E307" s="11" t="s">
        <v>235</v>
      </c>
      <c r="F307" s="11" t="s">
        <v>416</v>
      </c>
      <c r="G307" s="11" t="n">
        <v>1</v>
      </c>
      <c r="H307" s="11" t="s">
        <v>349</v>
      </c>
      <c r="I307" s="11" t="s">
        <v>1651</v>
      </c>
      <c r="J307" s="14" t="s">
        <v>2744</v>
      </c>
      <c r="K307" s="14" t="s">
        <v>2745</v>
      </c>
      <c r="L307" s="14" t="s">
        <v>2746</v>
      </c>
      <c r="M307" s="14" t="s">
        <v>2747</v>
      </c>
      <c r="N307" s="14" t="s">
        <v>2748</v>
      </c>
      <c r="O307" s="14" t="s">
        <v>1563</v>
      </c>
      <c r="P307" s="11"/>
      <c r="Q307" s="11" t="s">
        <v>79</v>
      </c>
      <c r="R307" s="14" t="s">
        <v>2749</v>
      </c>
      <c r="S307" s="11" t="s">
        <v>1564</v>
      </c>
      <c r="T307" s="11"/>
      <c r="U307" s="11" t="s">
        <v>1565</v>
      </c>
    </row>
    <row r="308" customFormat="false" ht="42" hidden="false" customHeight="true" outlineLevel="0" collapsed="false">
      <c r="A308" s="11" t="n">
        <v>307</v>
      </c>
      <c r="B308" s="11" t="s">
        <v>1556</v>
      </c>
      <c r="C308" s="11" t="s">
        <v>2750</v>
      </c>
      <c r="D308" s="11" t="s">
        <v>1638</v>
      </c>
      <c r="E308" s="11" t="s">
        <v>2751</v>
      </c>
      <c r="F308" s="11" t="s">
        <v>2752</v>
      </c>
      <c r="G308" s="11" t="n">
        <v>0</v>
      </c>
      <c r="H308" s="11"/>
      <c r="I308" s="11"/>
      <c r="J308" s="14"/>
      <c r="K308" s="14"/>
      <c r="L308" s="14"/>
      <c r="M308" s="14" t="s">
        <v>2753</v>
      </c>
      <c r="N308" s="14" t="s">
        <v>2754</v>
      </c>
      <c r="O308" s="14"/>
      <c r="P308" s="11" t="s">
        <v>2755</v>
      </c>
      <c r="Q308" s="11" t="s">
        <v>79</v>
      </c>
      <c r="R308" s="14"/>
      <c r="S308" s="11" t="s">
        <v>2756</v>
      </c>
      <c r="T308" s="11"/>
      <c r="U308" s="11" t="s">
        <v>2757</v>
      </c>
    </row>
    <row r="309" customFormat="false" ht="42" hidden="false" customHeight="true" outlineLevel="0" collapsed="false">
      <c r="A309" s="11" t="n">
        <v>308</v>
      </c>
      <c r="B309" s="11" t="s">
        <v>1566</v>
      </c>
      <c r="C309" s="11" t="s">
        <v>1567</v>
      </c>
      <c r="D309" s="11" t="s">
        <v>1638</v>
      </c>
      <c r="E309" s="11" t="s">
        <v>126</v>
      </c>
      <c r="F309" s="11" t="s">
        <v>416</v>
      </c>
      <c r="G309" s="11" t="n">
        <v>1</v>
      </c>
      <c r="H309" s="11" t="s">
        <v>107</v>
      </c>
      <c r="I309" s="11"/>
      <c r="J309" s="14"/>
      <c r="K309" s="14"/>
      <c r="L309" s="14"/>
      <c r="M309" s="14" t="s">
        <v>2758</v>
      </c>
      <c r="N309" s="14" t="s">
        <v>2759</v>
      </c>
      <c r="O309" s="14" t="s">
        <v>1569</v>
      </c>
      <c r="P309" s="11" t="s">
        <v>2760</v>
      </c>
      <c r="Q309" s="11" t="s">
        <v>79</v>
      </c>
      <c r="R309" s="14" t="s">
        <v>2761</v>
      </c>
      <c r="S309" s="11" t="s">
        <v>1570</v>
      </c>
      <c r="T309" s="11"/>
      <c r="U309" s="11" t="s">
        <v>1571</v>
      </c>
    </row>
    <row r="310" customFormat="false" ht="42" hidden="false" customHeight="true" outlineLevel="0" collapsed="false">
      <c r="A310" s="11" t="n">
        <v>309</v>
      </c>
      <c r="B310" s="11" t="s">
        <v>1566</v>
      </c>
      <c r="C310" s="11" t="s">
        <v>1572</v>
      </c>
      <c r="D310" s="11" t="s">
        <v>1638</v>
      </c>
      <c r="E310" s="11" t="s">
        <v>126</v>
      </c>
      <c r="F310" s="11" t="s">
        <v>416</v>
      </c>
      <c r="G310" s="11" t="n">
        <v>1</v>
      </c>
      <c r="H310" s="11" t="s">
        <v>86</v>
      </c>
      <c r="I310" s="11"/>
      <c r="J310" s="14"/>
      <c r="K310" s="14"/>
      <c r="L310" s="14"/>
      <c r="M310" s="14" t="s">
        <v>2762</v>
      </c>
      <c r="N310" s="14" t="s">
        <v>2763</v>
      </c>
      <c r="O310" s="14"/>
      <c r="P310" s="11" t="s">
        <v>2764</v>
      </c>
      <c r="Q310" s="11" t="s">
        <v>79</v>
      </c>
      <c r="R310" s="14"/>
      <c r="S310" s="11" t="s">
        <v>1574</v>
      </c>
      <c r="T310" s="11"/>
      <c r="U310" s="11" t="s">
        <v>1575</v>
      </c>
    </row>
    <row r="311" customFormat="false" ht="42" hidden="false" customHeight="true" outlineLevel="0" collapsed="false">
      <c r="A311" s="11" t="n">
        <v>310</v>
      </c>
      <c r="B311" s="11" t="s">
        <v>1566</v>
      </c>
      <c r="C311" s="11" t="s">
        <v>1576</v>
      </c>
      <c r="D311" s="11" t="s">
        <v>1638</v>
      </c>
      <c r="E311" s="11" t="s">
        <v>126</v>
      </c>
      <c r="F311" s="11" t="s">
        <v>416</v>
      </c>
      <c r="G311" s="11" t="n">
        <v>1</v>
      </c>
      <c r="H311" s="11" t="s">
        <v>415</v>
      </c>
      <c r="I311" s="11"/>
      <c r="J311" s="14"/>
      <c r="K311" s="14"/>
      <c r="L311" s="14"/>
      <c r="M311" s="14" t="s">
        <v>2765</v>
      </c>
      <c r="N311" s="14" t="s">
        <v>2766</v>
      </c>
      <c r="O311" s="14" t="s">
        <v>1578</v>
      </c>
      <c r="P311" s="11" t="s">
        <v>2767</v>
      </c>
      <c r="Q311" s="11" t="s">
        <v>79</v>
      </c>
      <c r="R311" s="14"/>
      <c r="S311" s="11" t="s">
        <v>1579</v>
      </c>
      <c r="T311" s="11"/>
      <c r="U311" s="11" t="s">
        <v>1580</v>
      </c>
    </row>
    <row r="312" customFormat="false" ht="42" hidden="false" customHeight="true" outlineLevel="0" collapsed="false">
      <c r="A312" s="11" t="n">
        <v>311</v>
      </c>
      <c r="B312" s="11" t="s">
        <v>2768</v>
      </c>
      <c r="C312" s="11" t="s">
        <v>2769</v>
      </c>
      <c r="D312" s="11" t="s">
        <v>1638</v>
      </c>
      <c r="E312" s="11" t="s">
        <v>235</v>
      </c>
      <c r="F312" s="11" t="s">
        <v>416</v>
      </c>
      <c r="G312" s="11" t="n">
        <v>0</v>
      </c>
      <c r="H312" s="11"/>
      <c r="I312" s="11" t="s">
        <v>2538</v>
      </c>
      <c r="J312" s="14" t="s">
        <v>2770</v>
      </c>
      <c r="K312" s="14" t="s">
        <v>2771</v>
      </c>
      <c r="L312" s="14" t="s">
        <v>2772</v>
      </c>
      <c r="M312" s="14" t="s">
        <v>2773</v>
      </c>
      <c r="N312" s="14" t="s">
        <v>2774</v>
      </c>
      <c r="O312" s="14" t="s">
        <v>2775</v>
      </c>
      <c r="P312" s="11"/>
      <c r="Q312" s="11" t="s">
        <v>79</v>
      </c>
      <c r="R312" s="14" t="s">
        <v>2776</v>
      </c>
      <c r="S312" s="11" t="s">
        <v>2777</v>
      </c>
      <c r="T312" s="11"/>
      <c r="U312" s="11" t="s">
        <v>2778</v>
      </c>
    </row>
    <row r="313" customFormat="false" ht="42" hidden="false" customHeight="true" outlineLevel="0" collapsed="false">
      <c r="A313" s="11" t="n">
        <v>312</v>
      </c>
      <c r="B313" s="11" t="s">
        <v>1581</v>
      </c>
      <c r="C313" s="11" t="s">
        <v>1582</v>
      </c>
      <c r="D313" s="11" t="s">
        <v>1638</v>
      </c>
      <c r="E313" s="11" t="s">
        <v>126</v>
      </c>
      <c r="F313" s="11" t="s">
        <v>115</v>
      </c>
      <c r="G313" s="11" t="n">
        <v>1</v>
      </c>
      <c r="H313" s="11" t="s">
        <v>86</v>
      </c>
      <c r="I313" s="11"/>
      <c r="J313" s="14"/>
      <c r="K313" s="14"/>
      <c r="L313" s="14"/>
      <c r="M313" s="14" t="s">
        <v>2779</v>
      </c>
      <c r="N313" s="14" t="s">
        <v>2780</v>
      </c>
      <c r="O313" s="14" t="s">
        <v>1584</v>
      </c>
      <c r="P313" s="11"/>
      <c r="Q313" s="11" t="s">
        <v>120</v>
      </c>
      <c r="R313" s="14" t="s">
        <v>2781</v>
      </c>
      <c r="S313" s="11" t="s">
        <v>1585</v>
      </c>
      <c r="T313" s="11"/>
      <c r="U313" s="11" t="s">
        <v>1586</v>
      </c>
    </row>
    <row r="314" customFormat="false" ht="42" hidden="false" customHeight="true" outlineLevel="0" collapsed="false">
      <c r="A314" s="11" t="n">
        <v>313</v>
      </c>
      <c r="B314" s="11" t="s">
        <v>1581</v>
      </c>
      <c r="C314" s="11" t="s">
        <v>2782</v>
      </c>
      <c r="D314" s="11" t="s">
        <v>1638</v>
      </c>
      <c r="E314" s="11" t="s">
        <v>2751</v>
      </c>
      <c r="F314" s="11" t="s">
        <v>2752</v>
      </c>
      <c r="G314" s="11" t="n">
        <v>0</v>
      </c>
      <c r="H314" s="11"/>
      <c r="I314" s="11"/>
      <c r="J314" s="14"/>
      <c r="K314" s="14"/>
      <c r="L314" s="14"/>
      <c r="M314" s="14" t="s">
        <v>2783</v>
      </c>
      <c r="N314" s="14" t="s">
        <v>2784</v>
      </c>
      <c r="O314" s="14" t="s">
        <v>2785</v>
      </c>
      <c r="P314" s="11"/>
      <c r="Q314" s="11" t="s">
        <v>79</v>
      </c>
      <c r="R314" s="14" t="s">
        <v>2786</v>
      </c>
      <c r="S314" s="11" t="s">
        <v>2787</v>
      </c>
      <c r="T314" s="11"/>
      <c r="U314" s="11" t="s">
        <v>2788</v>
      </c>
    </row>
    <row r="315" customFormat="false" ht="42" hidden="false" customHeight="true" outlineLevel="0" collapsed="false">
      <c r="A315" s="11" t="n">
        <v>314</v>
      </c>
      <c r="B315" s="11" t="s">
        <v>1581</v>
      </c>
      <c r="C315" s="11" t="s">
        <v>1587</v>
      </c>
      <c r="D315" s="11" t="s">
        <v>1638</v>
      </c>
      <c r="E315" s="11" t="s">
        <v>126</v>
      </c>
      <c r="F315" s="11" t="s">
        <v>115</v>
      </c>
      <c r="G315" s="11" t="n">
        <v>1</v>
      </c>
      <c r="H315" s="11" t="s">
        <v>92</v>
      </c>
      <c r="I315" s="11"/>
      <c r="J315" s="14"/>
      <c r="K315" s="14"/>
      <c r="L315" s="14"/>
      <c r="M315" s="14" t="s">
        <v>2789</v>
      </c>
      <c r="N315" s="14" t="s">
        <v>2790</v>
      </c>
      <c r="O315" s="14" t="s">
        <v>1589</v>
      </c>
      <c r="P315" s="11"/>
      <c r="Q315" s="11" t="s">
        <v>79</v>
      </c>
      <c r="R315" s="14" t="s">
        <v>2791</v>
      </c>
      <c r="S315" s="11" t="s">
        <v>1590</v>
      </c>
      <c r="T315" s="11"/>
      <c r="U315" s="11" t="s">
        <v>1591</v>
      </c>
    </row>
    <row r="316" customFormat="false" ht="42" hidden="false" customHeight="true" outlineLevel="0" collapsed="false">
      <c r="A316" s="11" t="n">
        <v>315</v>
      </c>
      <c r="B316" s="11" t="s">
        <v>1592</v>
      </c>
      <c r="C316" s="11" t="s">
        <v>1593</v>
      </c>
      <c r="D316" s="11" t="s">
        <v>1638</v>
      </c>
      <c r="E316" s="11" t="s">
        <v>126</v>
      </c>
      <c r="F316" s="11" t="s">
        <v>205</v>
      </c>
      <c r="G316" s="11" t="n">
        <v>1</v>
      </c>
      <c r="H316" s="11" t="s">
        <v>86</v>
      </c>
      <c r="I316" s="11"/>
      <c r="J316" s="14"/>
      <c r="K316" s="14"/>
      <c r="L316" s="14"/>
      <c r="M316" s="14" t="s">
        <v>2792</v>
      </c>
      <c r="N316" s="14" t="s">
        <v>2793</v>
      </c>
      <c r="O316" s="14" t="s">
        <v>1595</v>
      </c>
      <c r="P316" s="11" t="s">
        <v>2794</v>
      </c>
      <c r="Q316" s="11" t="s">
        <v>79</v>
      </c>
      <c r="R316" s="14"/>
      <c r="S316" s="11" t="s">
        <v>1596</v>
      </c>
      <c r="T316" s="11"/>
      <c r="U316" s="11" t="s">
        <v>1597</v>
      </c>
    </row>
    <row r="317" customFormat="false" ht="42" hidden="false" customHeight="true" outlineLevel="0" collapsed="false">
      <c r="A317" s="11" t="n">
        <v>316</v>
      </c>
      <c r="B317" s="11" t="s">
        <v>1592</v>
      </c>
      <c r="C317" s="11" t="s">
        <v>1598</v>
      </c>
      <c r="D317" s="11" t="s">
        <v>1638</v>
      </c>
      <c r="E317" s="11" t="s">
        <v>126</v>
      </c>
      <c r="F317" s="11" t="s">
        <v>234</v>
      </c>
      <c r="G317" s="11" t="n">
        <v>1</v>
      </c>
      <c r="H317" s="11" t="s">
        <v>86</v>
      </c>
      <c r="I317" s="11"/>
      <c r="J317" s="14"/>
      <c r="K317" s="14"/>
      <c r="L317" s="14"/>
      <c r="M317" s="14" t="s">
        <v>2795</v>
      </c>
      <c r="N317" s="14" t="s">
        <v>2796</v>
      </c>
      <c r="O317" s="14" t="s">
        <v>1600</v>
      </c>
      <c r="P317" s="11"/>
      <c r="Q317" s="11" t="s">
        <v>120</v>
      </c>
      <c r="R317" s="14" t="s">
        <v>2797</v>
      </c>
      <c r="S317" s="11" t="s">
        <v>1601</v>
      </c>
      <c r="T317" s="11"/>
      <c r="U317" s="11" t="s">
        <v>1602</v>
      </c>
    </row>
    <row r="318" customFormat="false" ht="42" hidden="false" customHeight="true" outlineLevel="0" collapsed="false">
      <c r="A318" s="11" t="n">
        <v>317</v>
      </c>
      <c r="B318" s="11" t="s">
        <v>1592</v>
      </c>
      <c r="C318" s="11" t="s">
        <v>1603</v>
      </c>
      <c r="D318" s="11" t="s">
        <v>1638</v>
      </c>
      <c r="E318" s="11" t="s">
        <v>1091</v>
      </c>
      <c r="F318" s="11" t="s">
        <v>115</v>
      </c>
      <c r="G318" s="11" t="n">
        <v>7</v>
      </c>
      <c r="H318" s="11" t="s">
        <v>2798</v>
      </c>
      <c r="I318" s="11"/>
      <c r="J318" s="14"/>
      <c r="K318" s="14"/>
      <c r="L318" s="14"/>
      <c r="M318" s="14" t="s">
        <v>2799</v>
      </c>
      <c r="N318" s="14" t="s">
        <v>2800</v>
      </c>
      <c r="O318" s="14" t="s">
        <v>1606</v>
      </c>
      <c r="P318" s="11"/>
      <c r="Q318" s="11" t="s">
        <v>79</v>
      </c>
      <c r="R318" s="14" t="s">
        <v>2801</v>
      </c>
      <c r="S318" s="11" t="s">
        <v>1607</v>
      </c>
      <c r="T318" s="11"/>
      <c r="U318" s="11" t="s">
        <v>1608</v>
      </c>
    </row>
    <row r="319" customFormat="false" ht="42" hidden="false" customHeight="true" outlineLevel="0" collapsed="false">
      <c r="A319" s="11" t="n">
        <v>318</v>
      </c>
      <c r="B319" s="11" t="s">
        <v>1619</v>
      </c>
      <c r="C319" s="11" t="s">
        <v>2802</v>
      </c>
      <c r="D319" s="11" t="s">
        <v>1638</v>
      </c>
      <c r="E319" s="11" t="s">
        <v>2751</v>
      </c>
      <c r="F319" s="11" t="s">
        <v>2752</v>
      </c>
      <c r="G319" s="11" t="n">
        <v>0</v>
      </c>
      <c r="H319" s="11"/>
      <c r="I319" s="11"/>
      <c r="J319" s="14"/>
      <c r="K319" s="14"/>
      <c r="L319" s="14"/>
      <c r="M319" s="14" t="s">
        <v>2803</v>
      </c>
      <c r="N319" s="14" t="s">
        <v>2804</v>
      </c>
      <c r="O319" s="14" t="s">
        <v>2805</v>
      </c>
      <c r="P319" s="11" t="s">
        <v>2806</v>
      </c>
      <c r="Q319" s="11" t="s">
        <v>79</v>
      </c>
      <c r="R319" s="14" t="s">
        <v>2807</v>
      </c>
      <c r="S319" s="11" t="s">
        <v>2808</v>
      </c>
      <c r="T319" s="11"/>
      <c r="U319" s="11" t="s">
        <v>2809</v>
      </c>
    </row>
    <row r="320" customFormat="false" ht="42" hidden="false" customHeight="true" outlineLevel="0" collapsed="false">
      <c r="A320" s="11" t="n">
        <v>319</v>
      </c>
      <c r="B320" s="11" t="s">
        <v>1619</v>
      </c>
      <c r="C320" s="11" t="s">
        <v>1620</v>
      </c>
      <c r="D320" s="11" t="s">
        <v>1638</v>
      </c>
      <c r="E320" s="11" t="s">
        <v>126</v>
      </c>
      <c r="F320" s="11" t="s">
        <v>115</v>
      </c>
      <c r="G320" s="11" t="n">
        <v>1</v>
      </c>
      <c r="H320" s="11" t="s">
        <v>86</v>
      </c>
      <c r="I320" s="11"/>
      <c r="J320" s="14"/>
      <c r="K320" s="14"/>
      <c r="L320" s="14"/>
      <c r="M320" s="14" t="s">
        <v>2810</v>
      </c>
      <c r="N320" s="14" t="s">
        <v>2811</v>
      </c>
      <c r="O320" s="14" t="s">
        <v>1622</v>
      </c>
      <c r="P320" s="11"/>
      <c r="Q320" s="11" t="s">
        <v>120</v>
      </c>
      <c r="R320" s="14" t="s">
        <v>2812</v>
      </c>
      <c r="S320" s="11" t="s">
        <v>1623</v>
      </c>
      <c r="T320" s="11"/>
      <c r="U320" s="11" t="s">
        <v>1624</v>
      </c>
    </row>
    <row r="321" customFormat="false" ht="42" hidden="false" customHeight="true" outlineLevel="0" collapsed="false">
      <c r="A321" s="11" t="n">
        <v>320</v>
      </c>
      <c r="B321" s="11" t="s">
        <v>1619</v>
      </c>
      <c r="C321" s="11" t="s">
        <v>2813</v>
      </c>
      <c r="D321" s="11" t="s">
        <v>1638</v>
      </c>
      <c r="E321" s="11" t="s">
        <v>2751</v>
      </c>
      <c r="F321" s="11" t="s">
        <v>2752</v>
      </c>
      <c r="G321" s="11" t="n">
        <v>0</v>
      </c>
      <c r="H321" s="11"/>
      <c r="I321" s="11"/>
      <c r="J321" s="14"/>
      <c r="K321" s="14"/>
      <c r="L321" s="14"/>
      <c r="M321" s="14" t="s">
        <v>2814</v>
      </c>
      <c r="N321" s="14" t="s">
        <v>2815</v>
      </c>
      <c r="O321" s="14" t="s">
        <v>2816</v>
      </c>
      <c r="P321" s="11" t="s">
        <v>2817</v>
      </c>
      <c r="Q321" s="11" t="s">
        <v>79</v>
      </c>
      <c r="R321" s="14" t="s">
        <v>2818</v>
      </c>
      <c r="S321" s="11" t="s">
        <v>2819</v>
      </c>
      <c r="T321" s="11"/>
      <c r="U321" s="11" t="s">
        <v>2820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12"/>
    <col collapsed="false" customWidth="true" hidden="false" outlineLevel="0" max="4" min="4" style="0" width="10"/>
    <col collapsed="false" customWidth="true" hidden="false" outlineLevel="0" max="5" min="5" style="0" width="11"/>
    <col collapsed="false" customWidth="true" hidden="false" outlineLevel="0" max="6" min="6" style="0" width="14"/>
    <col collapsed="false" customWidth="true" hidden="false" outlineLevel="0" max="7" min="7" style="0" width="34"/>
    <col collapsed="false" customWidth="true" hidden="false" outlineLevel="0" max="8" min="8" style="0" width="46"/>
    <col collapsed="false" customWidth="true" hidden="false" outlineLevel="0" max="9" min="9" style="0" width="40"/>
    <col collapsed="false" customWidth="true" hidden="false" outlineLevel="0" max="10" min="10" style="0" width="60"/>
    <col collapsed="false" customWidth="true" hidden="false" outlineLevel="0" max="12" min="11" style="0" width="40"/>
    <col collapsed="false" customWidth="true" hidden="false" outlineLevel="0" max="13" min="13" style="0" width="34"/>
  </cols>
  <sheetData>
    <row r="1" customFormat="false" ht="30" hidden="false" customHeight="true" outlineLevel="0" collapsed="false">
      <c r="A1" s="10" t="s">
        <v>49</v>
      </c>
      <c r="B1" s="10" t="s">
        <v>50</v>
      </c>
      <c r="C1" s="10" t="s">
        <v>21</v>
      </c>
      <c r="D1" s="10" t="s">
        <v>2821</v>
      </c>
      <c r="E1" s="10" t="s">
        <v>62</v>
      </c>
      <c r="F1" s="10" t="s">
        <v>2822</v>
      </c>
      <c r="G1" s="10" t="s">
        <v>2823</v>
      </c>
      <c r="H1" s="10" t="s">
        <v>2824</v>
      </c>
      <c r="I1" s="10" t="s">
        <v>2825</v>
      </c>
      <c r="J1" s="10" t="s">
        <v>2826</v>
      </c>
      <c r="K1" s="10" t="s">
        <v>65</v>
      </c>
      <c r="L1" s="10" t="s">
        <v>66</v>
      </c>
      <c r="M1" s="10" t="s">
        <v>68</v>
      </c>
    </row>
    <row r="2" customFormat="false" ht="60" hidden="false" customHeight="true" outlineLevel="0" collapsed="false">
      <c r="A2" s="11" t="s">
        <v>111</v>
      </c>
      <c r="B2" s="11" t="s">
        <v>1650</v>
      </c>
      <c r="C2" s="11" t="s">
        <v>123</v>
      </c>
      <c r="D2" s="11" t="s">
        <v>1651</v>
      </c>
      <c r="E2" s="11" t="s">
        <v>125</v>
      </c>
      <c r="F2" s="11" t="s">
        <v>2827</v>
      </c>
      <c r="G2" s="14" t="s">
        <v>1652</v>
      </c>
      <c r="H2" s="14" t="s">
        <v>1653</v>
      </c>
      <c r="I2" s="14" t="s">
        <v>2828</v>
      </c>
      <c r="J2" s="14" t="s">
        <v>1654</v>
      </c>
      <c r="K2" s="14" t="s">
        <v>1657</v>
      </c>
      <c r="L2" s="11" t="s">
        <v>1660</v>
      </c>
      <c r="M2" s="11" t="s">
        <v>1661</v>
      </c>
    </row>
    <row r="3" customFormat="false" ht="60" hidden="false" customHeight="true" outlineLevel="0" collapsed="false">
      <c r="A3" s="11" t="s">
        <v>131</v>
      </c>
      <c r="B3" s="11" t="s">
        <v>1662</v>
      </c>
      <c r="C3" s="11" t="s">
        <v>107</v>
      </c>
      <c r="D3" s="11" t="s">
        <v>1663</v>
      </c>
      <c r="E3" s="11" t="s">
        <v>125</v>
      </c>
      <c r="F3" s="11" t="s">
        <v>2829</v>
      </c>
      <c r="G3" s="14" t="s">
        <v>1664</v>
      </c>
      <c r="H3" s="14" t="s">
        <v>1665</v>
      </c>
      <c r="I3" s="14" t="s">
        <v>2830</v>
      </c>
      <c r="J3" s="14" t="s">
        <v>1666</v>
      </c>
      <c r="K3" s="14" t="s">
        <v>1669</v>
      </c>
      <c r="L3" s="11" t="s">
        <v>1672</v>
      </c>
      <c r="M3" s="11" t="s">
        <v>1673</v>
      </c>
    </row>
    <row r="4" customFormat="false" ht="60" hidden="false" customHeight="true" outlineLevel="0" collapsed="false">
      <c r="A4" s="11" t="s">
        <v>131</v>
      </c>
      <c r="B4" s="11" t="s">
        <v>1662</v>
      </c>
      <c r="C4" s="11" t="s">
        <v>695</v>
      </c>
      <c r="D4" s="11" t="s">
        <v>1674</v>
      </c>
      <c r="E4" s="11" t="s">
        <v>125</v>
      </c>
      <c r="F4" s="11" t="s">
        <v>2831</v>
      </c>
      <c r="G4" s="14" t="s">
        <v>1675</v>
      </c>
      <c r="H4" s="14" t="s">
        <v>1676</v>
      </c>
      <c r="I4" s="14" t="s">
        <v>2832</v>
      </c>
      <c r="J4" s="14" t="s">
        <v>1677</v>
      </c>
      <c r="K4" s="14" t="s">
        <v>1669</v>
      </c>
      <c r="L4" s="11" t="s">
        <v>1682</v>
      </c>
      <c r="M4" s="11" t="s">
        <v>1673</v>
      </c>
    </row>
    <row r="5" customFormat="false" ht="60" hidden="false" customHeight="true" outlineLevel="0" collapsed="false">
      <c r="A5" s="11" t="s">
        <v>131</v>
      </c>
      <c r="B5" s="11" t="s">
        <v>1662</v>
      </c>
      <c r="C5" s="11" t="s">
        <v>2833</v>
      </c>
      <c r="D5" s="11" t="s">
        <v>1663</v>
      </c>
      <c r="E5" s="11" t="s">
        <v>125</v>
      </c>
      <c r="F5" s="11" t="s">
        <v>2834</v>
      </c>
      <c r="G5" s="14" t="s">
        <v>1683</v>
      </c>
      <c r="H5" s="14" t="s">
        <v>1684</v>
      </c>
      <c r="I5" s="14" t="s">
        <v>2835</v>
      </c>
      <c r="J5" s="14" t="s">
        <v>1685</v>
      </c>
      <c r="K5" s="14" t="s">
        <v>1669</v>
      </c>
      <c r="L5" s="11" t="s">
        <v>1690</v>
      </c>
      <c r="M5" s="11" t="s">
        <v>1673</v>
      </c>
    </row>
    <row r="6" customFormat="false" ht="60" hidden="false" customHeight="true" outlineLevel="0" collapsed="false">
      <c r="A6" s="11" t="s">
        <v>131</v>
      </c>
      <c r="B6" s="11" t="s">
        <v>1662</v>
      </c>
      <c r="C6" s="11" t="s">
        <v>71</v>
      </c>
      <c r="D6" s="11" t="s">
        <v>1663</v>
      </c>
      <c r="E6" s="11" t="s">
        <v>125</v>
      </c>
      <c r="F6" s="11" t="s">
        <v>2836</v>
      </c>
      <c r="G6" s="14" t="s">
        <v>1691</v>
      </c>
      <c r="H6" s="14" t="s">
        <v>1692</v>
      </c>
      <c r="I6" s="14" t="s">
        <v>2837</v>
      </c>
      <c r="J6" s="14" t="s">
        <v>1693</v>
      </c>
      <c r="K6" s="14" t="s">
        <v>1669</v>
      </c>
      <c r="L6" s="11" t="s">
        <v>1697</v>
      </c>
      <c r="M6" s="11" t="s">
        <v>1673</v>
      </c>
    </row>
    <row r="7" customFormat="false" ht="60" hidden="false" customHeight="true" outlineLevel="0" collapsed="false">
      <c r="A7" s="11" t="s">
        <v>219</v>
      </c>
      <c r="B7" s="11" t="s">
        <v>1739</v>
      </c>
      <c r="C7" s="11" t="s">
        <v>221</v>
      </c>
      <c r="D7" s="11" t="s">
        <v>1740</v>
      </c>
      <c r="E7" s="11" t="s">
        <v>125</v>
      </c>
      <c r="F7" s="11" t="s">
        <v>2838</v>
      </c>
      <c r="G7" s="14" t="s">
        <v>1741</v>
      </c>
      <c r="H7" s="14" t="s">
        <v>1742</v>
      </c>
      <c r="I7" s="14" t="s">
        <v>2839</v>
      </c>
      <c r="J7" s="14" t="s">
        <v>1743</v>
      </c>
      <c r="K7" s="14" t="s">
        <v>1746</v>
      </c>
      <c r="L7" s="11" t="s">
        <v>1749</v>
      </c>
      <c r="M7" s="11" t="s">
        <v>1750</v>
      </c>
    </row>
    <row r="8" customFormat="false" ht="60" hidden="false" customHeight="true" outlineLevel="0" collapsed="false">
      <c r="A8" s="11" t="s">
        <v>219</v>
      </c>
      <c r="B8" s="11" t="s">
        <v>231</v>
      </c>
      <c r="C8" s="11" t="s">
        <v>221</v>
      </c>
      <c r="D8" s="11" t="s">
        <v>1740</v>
      </c>
      <c r="E8" s="11" t="s">
        <v>234</v>
      </c>
      <c r="F8" s="11" t="s">
        <v>2840</v>
      </c>
      <c r="G8" s="14" t="s">
        <v>1751</v>
      </c>
      <c r="H8" s="14" t="s">
        <v>1752</v>
      </c>
      <c r="I8" s="14" t="s">
        <v>2841</v>
      </c>
      <c r="J8" s="14" t="s">
        <v>1753</v>
      </c>
      <c r="K8" s="14" t="s">
        <v>237</v>
      </c>
      <c r="L8" s="11" t="s">
        <v>238</v>
      </c>
      <c r="M8" s="11" t="s">
        <v>239</v>
      </c>
    </row>
    <row r="9" customFormat="false" ht="60" hidden="false" customHeight="true" outlineLevel="0" collapsed="false">
      <c r="A9" s="11" t="s">
        <v>253</v>
      </c>
      <c r="B9" s="11" t="s">
        <v>1773</v>
      </c>
      <c r="C9" s="11" t="s">
        <v>259</v>
      </c>
      <c r="D9" s="11" t="s">
        <v>1740</v>
      </c>
      <c r="E9" s="11" t="s">
        <v>125</v>
      </c>
      <c r="F9" s="11" t="s">
        <v>2842</v>
      </c>
      <c r="G9" s="14" t="s">
        <v>1774</v>
      </c>
      <c r="H9" s="14" t="s">
        <v>1775</v>
      </c>
      <c r="I9" s="14" t="s">
        <v>2843</v>
      </c>
      <c r="J9" s="14" t="s">
        <v>1776</v>
      </c>
      <c r="K9" s="14" t="s">
        <v>1779</v>
      </c>
      <c r="L9" s="11" t="s">
        <v>1781</v>
      </c>
      <c r="M9" s="11" t="s">
        <v>1782</v>
      </c>
    </row>
    <row r="10" customFormat="false" ht="60" hidden="false" customHeight="true" outlineLevel="0" collapsed="false">
      <c r="A10" s="11" t="s">
        <v>253</v>
      </c>
      <c r="B10" s="11" t="s">
        <v>312</v>
      </c>
      <c r="C10" s="11" t="s">
        <v>259</v>
      </c>
      <c r="D10" s="11" t="s">
        <v>1740</v>
      </c>
      <c r="E10" s="11" t="s">
        <v>205</v>
      </c>
      <c r="F10" s="11" t="s">
        <v>2844</v>
      </c>
      <c r="G10" s="14" t="s">
        <v>1815</v>
      </c>
      <c r="H10" s="14" t="s">
        <v>1816</v>
      </c>
      <c r="I10" s="14" t="s">
        <v>2845</v>
      </c>
      <c r="J10" s="14" t="s">
        <v>1817</v>
      </c>
      <c r="K10" s="14" t="s">
        <v>314</v>
      </c>
      <c r="L10" s="11" t="s">
        <v>315</v>
      </c>
      <c r="M10" s="11" t="s">
        <v>316</v>
      </c>
    </row>
    <row r="11" customFormat="false" ht="60" hidden="false" customHeight="true" outlineLevel="0" collapsed="false">
      <c r="A11" s="11" t="s">
        <v>426</v>
      </c>
      <c r="B11" s="11" t="s">
        <v>1934</v>
      </c>
      <c r="C11" s="11" t="s">
        <v>92</v>
      </c>
      <c r="D11" s="11" t="s">
        <v>1651</v>
      </c>
      <c r="E11" s="11" t="s">
        <v>205</v>
      </c>
      <c r="F11" s="11" t="s">
        <v>2846</v>
      </c>
      <c r="G11" s="14" t="s">
        <v>1935</v>
      </c>
      <c r="H11" s="14" t="s">
        <v>1936</v>
      </c>
      <c r="I11" s="14" t="s">
        <v>2847</v>
      </c>
      <c r="J11" s="14" t="s">
        <v>1937</v>
      </c>
      <c r="K11" s="14" t="s">
        <v>1940</v>
      </c>
      <c r="L11" s="11" t="s">
        <v>1941</v>
      </c>
      <c r="M11" s="11" t="s">
        <v>1942</v>
      </c>
    </row>
    <row r="12" customFormat="false" ht="60" hidden="false" customHeight="true" outlineLevel="0" collapsed="false">
      <c r="A12" s="11" t="s">
        <v>576</v>
      </c>
      <c r="B12" s="11" t="s">
        <v>592</v>
      </c>
      <c r="C12" s="11" t="s">
        <v>415</v>
      </c>
      <c r="D12" s="11" t="s">
        <v>1651</v>
      </c>
      <c r="E12" s="11" t="s">
        <v>205</v>
      </c>
      <c r="F12" s="11" t="s">
        <v>2848</v>
      </c>
      <c r="G12" s="14" t="s">
        <v>2017</v>
      </c>
      <c r="H12" s="14" t="s">
        <v>2018</v>
      </c>
      <c r="I12" s="14" t="s">
        <v>2849</v>
      </c>
      <c r="J12" s="14" t="s">
        <v>2019</v>
      </c>
      <c r="K12" s="14" t="s">
        <v>594</v>
      </c>
      <c r="L12" s="11" t="s">
        <v>595</v>
      </c>
      <c r="M12" s="11" t="s">
        <v>596</v>
      </c>
    </row>
    <row r="13" customFormat="false" ht="60" hidden="false" customHeight="true" outlineLevel="0" collapsed="false">
      <c r="A13" s="11" t="s">
        <v>597</v>
      </c>
      <c r="B13" s="11" t="s">
        <v>619</v>
      </c>
      <c r="C13" s="11" t="s">
        <v>86</v>
      </c>
      <c r="D13" s="11" t="s">
        <v>1651</v>
      </c>
      <c r="E13" s="11" t="s">
        <v>205</v>
      </c>
      <c r="F13" s="11" t="s">
        <v>2850</v>
      </c>
      <c r="G13" s="14" t="s">
        <v>2043</v>
      </c>
      <c r="H13" s="14" t="s">
        <v>2044</v>
      </c>
      <c r="I13" s="14" t="s">
        <v>2851</v>
      </c>
      <c r="J13" s="14" t="s">
        <v>2045</v>
      </c>
      <c r="K13" s="14" t="s">
        <v>621</v>
      </c>
      <c r="L13" s="11" t="s">
        <v>622</v>
      </c>
      <c r="M13" s="11" t="s">
        <v>623</v>
      </c>
    </row>
    <row r="14" customFormat="false" ht="60" hidden="false" customHeight="true" outlineLevel="0" collapsed="false">
      <c r="A14" s="11" t="s">
        <v>693</v>
      </c>
      <c r="B14" s="11" t="s">
        <v>2109</v>
      </c>
      <c r="C14" s="11" t="s">
        <v>707</v>
      </c>
      <c r="D14" s="11" t="s">
        <v>1651</v>
      </c>
      <c r="E14" s="11" t="s">
        <v>205</v>
      </c>
      <c r="F14" s="11" t="s">
        <v>2852</v>
      </c>
      <c r="G14" s="14" t="s">
        <v>2110</v>
      </c>
      <c r="H14" s="14" t="s">
        <v>2111</v>
      </c>
      <c r="I14" s="14" t="s">
        <v>2853</v>
      </c>
      <c r="J14" s="14" t="s">
        <v>2112</v>
      </c>
      <c r="K14" s="14" t="s">
        <v>2115</v>
      </c>
      <c r="L14" s="11" t="s">
        <v>2118</v>
      </c>
      <c r="M14" s="11" t="s">
        <v>2119</v>
      </c>
    </row>
    <row r="15" customFormat="false" ht="60" hidden="false" customHeight="true" outlineLevel="0" collapsed="false">
      <c r="A15" s="11" t="s">
        <v>738</v>
      </c>
      <c r="B15" s="11" t="s">
        <v>744</v>
      </c>
      <c r="C15" s="11" t="s">
        <v>86</v>
      </c>
      <c r="D15" s="11" t="s">
        <v>2133</v>
      </c>
      <c r="E15" s="11" t="s">
        <v>234</v>
      </c>
      <c r="F15" s="11" t="s">
        <v>2854</v>
      </c>
      <c r="G15" s="14" t="s">
        <v>2134</v>
      </c>
      <c r="H15" s="14" t="s">
        <v>2135</v>
      </c>
      <c r="I15" s="14" t="s">
        <v>2855</v>
      </c>
      <c r="J15" s="14" t="s">
        <v>2136</v>
      </c>
      <c r="K15" s="14" t="s">
        <v>746</v>
      </c>
      <c r="L15" s="11" t="s">
        <v>747</v>
      </c>
      <c r="M15" s="11" t="s">
        <v>748</v>
      </c>
    </row>
    <row r="16" customFormat="false" ht="60" hidden="false" customHeight="true" outlineLevel="0" collapsed="false">
      <c r="A16" s="11" t="s">
        <v>738</v>
      </c>
      <c r="B16" s="11" t="s">
        <v>749</v>
      </c>
      <c r="C16" s="11" t="s">
        <v>707</v>
      </c>
      <c r="D16" s="11" t="s">
        <v>1651</v>
      </c>
      <c r="E16" s="11" t="s">
        <v>205</v>
      </c>
      <c r="F16" s="11" t="s">
        <v>2856</v>
      </c>
      <c r="G16" s="14" t="s">
        <v>2140</v>
      </c>
      <c r="H16" s="14" t="s">
        <v>2141</v>
      </c>
      <c r="I16" s="14" t="s">
        <v>2857</v>
      </c>
      <c r="J16" s="14" t="s">
        <v>2142</v>
      </c>
      <c r="K16" s="14" t="s">
        <v>751</v>
      </c>
      <c r="L16" s="11" t="s">
        <v>752</v>
      </c>
      <c r="M16" s="11" t="s">
        <v>753</v>
      </c>
    </row>
    <row r="17" customFormat="false" ht="60" hidden="false" customHeight="true" outlineLevel="0" collapsed="false">
      <c r="A17" s="11" t="s">
        <v>754</v>
      </c>
      <c r="B17" s="11" t="s">
        <v>2153</v>
      </c>
      <c r="C17" s="11" t="s">
        <v>1303</v>
      </c>
      <c r="D17" s="11" t="s">
        <v>1651</v>
      </c>
      <c r="E17" s="11" t="s">
        <v>937</v>
      </c>
      <c r="F17" s="11" t="s">
        <v>2858</v>
      </c>
      <c r="G17" s="14" t="s">
        <v>2154</v>
      </c>
      <c r="H17" s="14" t="s">
        <v>2155</v>
      </c>
      <c r="I17" s="14" t="s">
        <v>2859</v>
      </c>
      <c r="J17" s="14" t="s">
        <v>2156</v>
      </c>
      <c r="K17" s="14" t="s">
        <v>2159</v>
      </c>
      <c r="L17" s="11" t="s">
        <v>2161</v>
      </c>
      <c r="M17" s="11" t="s">
        <v>2162</v>
      </c>
    </row>
    <row r="18" customFormat="false" ht="60" hidden="false" customHeight="true" outlineLevel="0" collapsed="false">
      <c r="A18" s="11" t="s">
        <v>925</v>
      </c>
      <c r="B18" s="11" t="s">
        <v>936</v>
      </c>
      <c r="C18" s="11" t="s">
        <v>86</v>
      </c>
      <c r="D18" s="11" t="s">
        <v>1740</v>
      </c>
      <c r="E18" s="11" t="s">
        <v>937</v>
      </c>
      <c r="F18" s="11" t="s">
        <v>2860</v>
      </c>
      <c r="G18" s="14" t="s">
        <v>2287</v>
      </c>
      <c r="H18" s="14" t="s">
        <v>2288</v>
      </c>
      <c r="I18" s="14" t="s">
        <v>2861</v>
      </c>
      <c r="J18" s="14" t="s">
        <v>2289</v>
      </c>
      <c r="K18" s="14" t="s">
        <v>939</v>
      </c>
      <c r="L18" s="11" t="s">
        <v>940</v>
      </c>
      <c r="M18" s="11" t="s">
        <v>941</v>
      </c>
    </row>
    <row r="19" customFormat="false" ht="60" hidden="false" customHeight="true" outlineLevel="0" collapsed="false">
      <c r="A19" s="11" t="s">
        <v>925</v>
      </c>
      <c r="B19" s="11" t="s">
        <v>942</v>
      </c>
      <c r="C19" s="11" t="s">
        <v>86</v>
      </c>
      <c r="D19" s="11" t="s">
        <v>1651</v>
      </c>
      <c r="E19" s="11" t="s">
        <v>937</v>
      </c>
      <c r="F19" s="11" t="s">
        <v>2862</v>
      </c>
      <c r="G19" s="14" t="s">
        <v>2293</v>
      </c>
      <c r="H19" s="14" t="s">
        <v>2294</v>
      </c>
      <c r="I19" s="14" t="s">
        <v>2863</v>
      </c>
      <c r="J19" s="14" t="s">
        <v>2295</v>
      </c>
      <c r="K19" s="14" t="s">
        <v>944</v>
      </c>
      <c r="L19" s="11" t="s">
        <v>945</v>
      </c>
      <c r="M19" s="11" t="s">
        <v>946</v>
      </c>
    </row>
    <row r="20" customFormat="false" ht="60" hidden="false" customHeight="true" outlineLevel="0" collapsed="false">
      <c r="A20" s="11" t="s">
        <v>971</v>
      </c>
      <c r="B20" s="11" t="s">
        <v>2310</v>
      </c>
      <c r="C20" s="11" t="s">
        <v>2864</v>
      </c>
      <c r="D20" s="11" t="s">
        <v>1651</v>
      </c>
      <c r="E20" s="11" t="s">
        <v>115</v>
      </c>
      <c r="F20" s="11" t="s">
        <v>2865</v>
      </c>
      <c r="G20" s="14"/>
      <c r="H20" s="14"/>
      <c r="I20" s="14"/>
      <c r="J20" s="14" t="s">
        <v>2311</v>
      </c>
      <c r="K20" s="14" t="s">
        <v>2314</v>
      </c>
      <c r="L20" s="11" t="s">
        <v>2316</v>
      </c>
      <c r="M20" s="11" t="s">
        <v>2317</v>
      </c>
    </row>
    <row r="21" customFormat="false" ht="60" hidden="false" customHeight="true" outlineLevel="0" collapsed="false">
      <c r="A21" s="11" t="s">
        <v>1066</v>
      </c>
      <c r="B21" s="11" t="s">
        <v>1067</v>
      </c>
      <c r="C21" s="11" t="s">
        <v>1068</v>
      </c>
      <c r="D21" s="11" t="s">
        <v>1740</v>
      </c>
      <c r="E21" s="11" t="s">
        <v>205</v>
      </c>
      <c r="F21" s="11" t="s">
        <v>2866</v>
      </c>
      <c r="G21" s="14" t="s">
        <v>2372</v>
      </c>
      <c r="H21" s="14" t="s">
        <v>2373</v>
      </c>
      <c r="I21" s="14" t="s">
        <v>2867</v>
      </c>
      <c r="J21" s="14" t="s">
        <v>2374</v>
      </c>
      <c r="K21" s="14" t="s">
        <v>1071</v>
      </c>
      <c r="L21" s="11" t="s">
        <v>1072</v>
      </c>
      <c r="M21" s="11" t="s">
        <v>1073</v>
      </c>
    </row>
    <row r="22" customFormat="false" ht="60" hidden="false" customHeight="true" outlineLevel="0" collapsed="false">
      <c r="A22" s="11" t="s">
        <v>1262</v>
      </c>
      <c r="B22" s="11" t="s">
        <v>2537</v>
      </c>
      <c r="C22" s="11" t="s">
        <v>86</v>
      </c>
      <c r="D22" s="11" t="s">
        <v>2538</v>
      </c>
      <c r="E22" s="11" t="s">
        <v>416</v>
      </c>
      <c r="F22" s="11" t="s">
        <v>2868</v>
      </c>
      <c r="G22" s="14" t="s">
        <v>2539</v>
      </c>
      <c r="H22" s="14" t="s">
        <v>2540</v>
      </c>
      <c r="I22" s="14" t="s">
        <v>2869</v>
      </c>
      <c r="J22" s="14" t="s">
        <v>2541</v>
      </c>
      <c r="K22" s="14"/>
      <c r="L22" s="11" t="s">
        <v>2545</v>
      </c>
      <c r="M22" s="11" t="s">
        <v>2546</v>
      </c>
    </row>
    <row r="23" customFormat="false" ht="60" hidden="false" customHeight="true" outlineLevel="0" collapsed="false">
      <c r="A23" s="11" t="s">
        <v>1478</v>
      </c>
      <c r="B23" s="11" t="s">
        <v>2686</v>
      </c>
      <c r="C23" s="11" t="s">
        <v>349</v>
      </c>
      <c r="D23" s="11" t="s">
        <v>1674</v>
      </c>
      <c r="E23" s="11" t="s">
        <v>115</v>
      </c>
      <c r="F23" s="11" t="s">
        <v>2870</v>
      </c>
      <c r="G23" s="14" t="s">
        <v>2687</v>
      </c>
      <c r="H23" s="14" t="s">
        <v>2688</v>
      </c>
      <c r="I23" s="14" t="s">
        <v>2871</v>
      </c>
      <c r="J23" s="14" t="s">
        <v>2689</v>
      </c>
      <c r="K23" s="14" t="s">
        <v>2692</v>
      </c>
      <c r="L23" s="11" t="s">
        <v>2694</v>
      </c>
      <c r="M23" s="11" t="s">
        <v>2695</v>
      </c>
    </row>
    <row r="24" customFormat="false" ht="60" hidden="false" customHeight="true" outlineLevel="0" collapsed="false">
      <c r="A24" s="11" t="s">
        <v>1556</v>
      </c>
      <c r="B24" s="11" t="s">
        <v>1561</v>
      </c>
      <c r="C24" s="11" t="s">
        <v>349</v>
      </c>
      <c r="D24" s="11" t="s">
        <v>1651</v>
      </c>
      <c r="E24" s="11" t="s">
        <v>416</v>
      </c>
      <c r="F24" s="11" t="s">
        <v>2872</v>
      </c>
      <c r="G24" s="14" t="s">
        <v>2744</v>
      </c>
      <c r="H24" s="14" t="s">
        <v>2745</v>
      </c>
      <c r="I24" s="14" t="s">
        <v>2873</v>
      </c>
      <c r="J24" s="14" t="s">
        <v>2746</v>
      </c>
      <c r="K24" s="14" t="s">
        <v>1563</v>
      </c>
      <c r="L24" s="11" t="s">
        <v>1564</v>
      </c>
      <c r="M24" s="11" t="s">
        <v>1565</v>
      </c>
    </row>
    <row r="25" customFormat="false" ht="60" hidden="false" customHeight="true" outlineLevel="0" collapsed="false">
      <c r="A25" s="11" t="s">
        <v>2768</v>
      </c>
      <c r="B25" s="11" t="s">
        <v>2769</v>
      </c>
      <c r="C25" s="11" t="s">
        <v>86</v>
      </c>
      <c r="D25" s="11" t="s">
        <v>2538</v>
      </c>
      <c r="E25" s="11" t="s">
        <v>416</v>
      </c>
      <c r="F25" s="11" t="s">
        <v>2874</v>
      </c>
      <c r="G25" s="14" t="s">
        <v>2770</v>
      </c>
      <c r="H25" s="14" t="s">
        <v>2771</v>
      </c>
      <c r="I25" s="14" t="s">
        <v>2875</v>
      </c>
      <c r="J25" s="14" t="s">
        <v>2772</v>
      </c>
      <c r="K25" s="14" t="s">
        <v>2775</v>
      </c>
      <c r="L25" s="11" t="s">
        <v>2777</v>
      </c>
      <c r="M25" s="11" t="s">
        <v>2778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2026-08-22T05:30:19Z</dcterms:created>
  <dc:creator>openpyxl</dc:creator>
  <dc:description/>
  <dc:language>en-US</dc:language>
  <cp:lastModifiedBy/>
  <dcterms:modified xsi:type="dcterms:W3CDTF">2026-08-22T05:30:19Z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