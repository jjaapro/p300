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xl/tables/table4.xml" ContentType="application/vnd.openxmlformats-officedocument.spreadsheetml.table+xml"/>
  <Override PartName="/xl/tables/table3.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ositions" sheetId="2" state="visible" r:id="rId4"/>
    <sheet name="Events" sheetId="3" state="visible" r:id="rId5"/>
    <sheet name="What he watches" sheetId="4" state="visible" r:id="rId6"/>
    <sheet name="His score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<sst xmlns="http://schemas.openxmlformats.org/spreadsheetml/2006/main" count="14657" uniqueCount="7017">
  <si>
    <t xml:space="preserve">Paladin (ScalpX) — reconstructed trade timeline</t>
  </si>
  <si>
    <t xml:space="preserve">Built from all 1,005 messages in #paladin (2026-05-06 to 2026-08-21) plus the 320 screenshots he posted. Blank means he never published the number — nothing here is calculated on his behalf.</t>
  </si>
  <si>
    <t xml:space="preserve">The record</t>
  </si>
  <si>
    <t xml:space="preserve">Positions catalogued</t>
  </si>
  <si>
    <t xml:space="preserve">…actually taken by him</t>
  </si>
  <si>
    <t xml:space="preserve">…with a knowable outcome</t>
  </si>
  <si>
    <t xml:space="preserve">Wins</t>
  </si>
  <si>
    <t xml:space="preserve">Losses</t>
  </si>
  <si>
    <t xml:space="preserve">Breakeven</t>
  </si>
  <si>
    <t xml:space="preserve">Never resolved in the channel</t>
  </si>
  <si>
    <t xml:space="preserve">Called but not taken</t>
  </si>
  <si>
    <t xml:space="preserve">Win rate excluding breakeven</t>
  </si>
  <si>
    <t xml:space="preserve">Win rate including breakeven</t>
  </si>
  <si>
    <t xml:space="preserve">He publicly claimed 85% (May) and 89% (July).</t>
  </si>
  <si>
    <t xml:space="preserve">How trades ended</t>
  </si>
  <si>
    <t xml:space="preserve">Closed by hand</t>
  </si>
  <si>
    <t xml:space="preserve">wins, 0 losses</t>
  </si>
  <si>
    <t xml:space="preserve">Reached a published target</t>
  </si>
  <si>
    <t xml:space="preserve">Hit a stop</t>
  </si>
  <si>
    <t xml:space="preserve">every loss came this way</t>
  </si>
  <si>
    <t xml:space="preserve">Closed flat</t>
  </si>
  <si>
    <t xml:space="preserve">Simply stopped being mentioned</t>
  </si>
  <si>
    <t xml:space="preserve">Did he publish a plan?</t>
  </si>
  <si>
    <t xml:space="preserve">Positions with a published stop</t>
  </si>
  <si>
    <t xml:space="preserve">Positions with a published target</t>
  </si>
  <si>
    <t xml:space="preserve">Positions with a published DCA level</t>
  </si>
  <si>
    <t xml:space="preserve">…where that DCA actually filled</t>
  </si>
  <si>
    <t xml:space="preserve">Positions where he moved the stop</t>
  </si>
  <si>
    <t xml:space="preserve">Positions where he took partials</t>
  </si>
  <si>
    <t xml:space="preserve">Month by month</t>
  </si>
  <si>
    <t xml:space="preserve">Month</t>
  </si>
  <si>
    <t xml:space="preserve">BE</t>
  </si>
  <si>
    <t xml:space="preserve">Win rate excl. BE</t>
  </si>
  <si>
    <t xml:space="preserve">What he claimed</t>
  </si>
  <si>
    <t xml:space="preserve">2026-05</t>
  </si>
  <si>
    <t xml:space="preserve">60 trades, 51W, 9L, 85%, +159.6%</t>
  </si>
  <si>
    <t xml:space="preserve">2026-06</t>
  </si>
  <si>
    <t xml:space="preserve">no summary ever posted</t>
  </si>
  <si>
    <t xml:space="preserve">2026-07</t>
  </si>
  <si>
    <t xml:space="preserve">45 trades, 40W, 5 SLs, 89%, +23.5R</t>
  </si>
  <si>
    <t xml:space="preserve">2026-08</t>
  </si>
  <si>
    <t xml:space="preserve">log ends 21 Aug</t>
  </si>
  <si>
    <t xml:space="preserve">The sheets</t>
  </si>
  <si>
    <t xml:space="preserve">Positions — one row per trade, from the call to the exit. The "planned" columns are what he published up front; the "avg entry / partials / exit" columns are what the messages and screenshots show he actually did.</t>
  </si>
  <si>
    <t xml:space="preserve">Events — all 1,242 individual actions (calls, entries, DCAs, stop moves, partials, exits) with his exact words and a link to the message.</t>
  </si>
  <si>
    <t xml:space="preserve">What he watches — the signals, risk rules, entry patterns and management tactics the record supports, each with his own quotes.</t>
  </si>
  <si>
    <t xml:space="preserve">His scoreboard — every performance claim he made, so his numbers can be checked against the Positions sheet.</t>
  </si>
  <si>
    <t xml:space="preserve">A "medium" or "low" confidence on a position means part of it was inferred; the Trust notes column says which part.</t>
  </si>
  <si>
    <t xml:space="preserve">#</t>
  </si>
  <si>
    <t xml:space="preserve">First seen</t>
  </si>
  <si>
    <t xml:space="preserve">Symbol</t>
  </si>
  <si>
    <t xml:space="preserve">Side</t>
  </si>
  <si>
    <t xml:space="preserve">Outcome</t>
  </si>
  <si>
    <t xml:space="preserve">Exit type</t>
  </si>
  <si>
    <t xml:space="preserve">R</t>
  </si>
  <si>
    <t xml:space="preserve">Card ROI %</t>
  </si>
  <si>
    <t xml:space="preserve">Leverage</t>
  </si>
  <si>
    <t xml:space="preserve">Planned entry</t>
  </si>
  <si>
    <t xml:space="preserve">Entry note</t>
  </si>
  <si>
    <t xml:space="preserve">Planned DCA</t>
  </si>
  <si>
    <t xml:space="preserve">Planned stop</t>
  </si>
  <si>
    <t xml:space="preserve">Planned targets</t>
  </si>
  <si>
    <t xml:space="preserve">Risk note</t>
  </si>
  <si>
    <t xml:space="preserve">Avg entry</t>
  </si>
  <si>
    <t xml:space="preserve">DCA filled</t>
  </si>
  <si>
    <t xml:space="preserve">Stop moves</t>
  </si>
  <si>
    <t xml:space="preserve">Target changes</t>
  </si>
  <si>
    <t xml:space="preserve">Partials taken</t>
  </si>
  <si>
    <t xml:space="preserve">Exit price</t>
  </si>
  <si>
    <t xml:space="preserve">Entry time</t>
  </si>
  <si>
    <t xml:space="preserve">Exit time</t>
  </si>
  <si>
    <t xml:space="preserve">Held (h)</t>
  </si>
  <si>
    <t xml:space="preserve">Thesis</t>
  </si>
  <si>
    <t xml:space="preserve">What he did</t>
  </si>
  <si>
    <t xml:space="preserve">Indicators</t>
  </si>
  <si>
    <t xml:space="preserve">Market context</t>
  </si>
  <si>
    <t xml:space="preserve">Still open</t>
  </si>
  <si>
    <t xml:space="preserve">Confidence</t>
  </si>
  <si>
    <t xml:space="preserve">Trust notes</t>
  </si>
  <si>
    <t xml:space="preserve">Messages</t>
  </si>
  <si>
    <t xml:space="preserve">First message link</t>
  </si>
  <si>
    <t xml:space="preserve">2026-05-07 02:34:43</t>
  </si>
  <si>
    <t xml:space="preserve">UNIUSDT</t>
  </si>
  <si>
    <t xml:space="preserve">long</t>
  </si>
  <si>
    <t xml:space="preserve">win</t>
  </si>
  <si>
    <t xml:space="preserve">take_profit</t>
  </si>
  <si>
    <t xml:space="preserve">3.46 CMP</t>
  </si>
  <si>
    <t xml:space="preserve">3.669</t>
  </si>
  <si>
    <t xml:space="preserve">3.46 (to_entry)</t>
  </si>
  <si>
    <t xml:space="preserve">3.7/4</t>
  </si>
  <si>
    <t xml:space="preserve">50% at 3.528</t>
  </si>
  <si>
    <t xml:space="preserve">2026-05-08 19:41:13</t>
  </si>
  <si>
    <t xml:space="preserve">Simple long on UNI at market with a first target at 3.669; he took it as a clean setup and later treated it as the channel's first win.</t>
  </si>
  <si>
    <t xml:space="preserve">He called the long at 3.46 CMP with a single 3.669 target and a 3.28 stop, noting he takes TPs manually but followers could set the order. A day and a half later, 0.7R up, he closed 50% and framed it as the channel's first win, lifted his own target to 3.7 (telling followers they could hold for 4) and moved the stop to breakeven at 3.46. An hour later UNI 'blew up' and he took the remainder at 3.7 for around 1.4R. The next morning he re-posted the closed 50x card (entry 3.458, exit 3.528, +101.21%) inside a batch update and said he expected UNI to see $4 by the coming weekend.</t>
  </si>
  <si>
    <t xml:space="preserve">high</t>
  </si>
  <si>
    <t xml:space="preserve">The card re-posted in msg 36 shows exit 3.528, not the 3.7 he announced in text - it documents the 50% partial (its +101.21% matches the ROI attached to that partial), so the partial price is carried from that card. No explicit fill price beyond '@ 3.7' was given for the second half.</t>
  </si>
  <si>
    <t xml:space="preserve">#5, #26, #29, #36</t>
  </si>
  <si>
    <t xml:space="preserve">https://discord.com/channels/1042855255089623100/1501271173588193290/1501728955470712946</t>
  </si>
  <si>
    <t xml:space="preserve">2026-05-07 02:35:46</t>
  </si>
  <si>
    <t xml:space="preserve">ETHUSDT</t>
  </si>
  <si>
    <t xml:space="preserve">loss</t>
  </si>
  <si>
    <t xml:space="preserve">stop_loss</t>
  </si>
  <si>
    <t xml:space="preserve">2348 CMP; said he takes TP manually so he might close before or after 2420</t>
  </si>
  <si>
    <t xml:space="preserve">2420</t>
  </si>
  <si>
    <t xml:space="preserve">2026-05-07 19:48:16</t>
  </si>
  <si>
    <t xml:space="preserve">Plain market long on ETH targeting 2420, with the intention of taking profit manually rather than at a fixed limit.</t>
  </si>
  <si>
    <t xml:space="preserve">He called the long at 2348 CMP with a 2292 stop and a 2420 target, saying he would close manually. The trade first travelled far enough that he describes it as having 'gone BE', then an unexpected drop on 7 May took it out along with his BTC long. He never posted a fill price for the stop-out, only that ETH stopped. He apologised for a rough start to the run.</t>
  </si>
  <si>
    <t xml:space="preserve">unexpected drop; BTC was about to be stopped at the same time</t>
  </si>
  <si>
    <t xml:space="preserve">medium</t>
  </si>
  <si>
    <t xml:space="preserve">No exit price posted, so exit_price is null; the stated stop was 2292. His wording 'Both went BE but didn't expect a drop so stopped' leaves it ambiguous whether he was taken out at the original 2292 stop or at a breakeven stop he had moved up - he treats it as a loss and apologises, so it is recorded as a loss.</t>
  </si>
  <si>
    <t xml:space="preserve">#6, #15</t>
  </si>
  <si>
    <t xml:space="preserve">https://discord.com/channels/1042855255089623100/1501271173588193290/1501729216969048065</t>
  </si>
  <si>
    <t xml:space="preserve">2026-05-07 11:06:57</t>
  </si>
  <si>
    <t xml:space="preserve">BTCUSDT</t>
  </si>
  <si>
    <t xml:space="preserve">50% of size at 81.5k, 50% held back for the 80.8k DCA (msg 9)</t>
  </si>
  <si>
    <t xml:space="preserve">80800</t>
  </si>
  <si>
    <t xml:space="preserve">82500</t>
  </si>
  <si>
    <t xml:space="preserve">Scalp. If he did not update, followers were to trim 20-25% at the first TP (82.5k)</t>
  </si>
  <si>
    <t xml:space="preserve">80900 (filled manually at 80.9k because price missed his 80.8k limit by about $10)</t>
  </si>
  <si>
    <t xml:space="preserve">A scalp long into the 80k region: he thought BTC could retrace further but expected the 80s to hold and at least a visit to 82k+, which would give a scalp.</t>
  </si>
  <si>
    <t xml:space="preserve">He called the scalp at 81.5k with half the size and the other half saved for a DCA at 80.8k (msgs 8-9), and when price missed that limit by about $10 he filled the second half manually at 80.9k (msg 10). He never posted an average or a card for it. That evening BTC dropped unexpectedly and it was stopped: 'ETH stopped, BTC about to get stopped (on some exchanges maybe it already did). Both went BE but didn't expect a drop so stopped' (msg 15). Followers had been told to trim 20-25% at 82.5k if he went quiet, but price never reached the first target.</t>
  </si>
  <si>
    <t xml:space="preserve">support/resistance</t>
  </si>
  <si>
    <t xml:space="preserve">BTC weak and possibly retracing further; he was already carrying UNI and ETH longs he called risky for the same reason (msg 7).</t>
  </si>
  <si>
    <t xml:space="preserve">No exit price was ever posted - 79.6k is his published stop, not a confirmed fill, and msg 15 says it was still in the process of being stopped across exchanges. Average entry not stated (50% at 81.5k, 50% at 80.9k), so it is left null rather than blended. 'Both went BE' is ambiguous: if he had moved the stop to breakeven this would be a scratch rather than a loss, but the event is logged as a stop-out so it is recorded as a loss.</t>
  </si>
  <si>
    <t xml:space="preserve">#8, #9, #10, #15</t>
  </si>
  <si>
    <t xml:space="preserve">https://discord.com/channels/1042855255089623100/1501271173588193290/1501857862148952084</t>
  </si>
  <si>
    <t xml:space="preserve">2026-05-07 15:32:55</t>
  </si>
  <si>
    <t xml:space="preserve">ZROUSDT</t>
  </si>
  <si>
    <t xml:space="preserve">breakeven</t>
  </si>
  <si>
    <t xml:space="preserve">1.48 CMP; three minutes later he corrected that CMP was really 1.486 because price moved fast. He advised followers to keep 50-30% back for a DCA but said he was not saving for DCA himself</t>
  </si>
  <si>
    <t xml:space="preserve">1.45</t>
  </si>
  <si>
    <t xml:space="preserve">1.5523</t>
  </si>
  <si>
    <t xml:space="preserve">Keep 50-30% funds for DCA but optional you can go all in here I'm not saving for DCA personally</t>
  </si>
  <si>
    <t xml:space="preserve">1.55</t>
  </si>
  <si>
    <t xml:space="preserve">25% at 1.53</t>
  </si>
  <si>
    <t xml:space="preserve">2026-05-11 00:40:45</t>
  </si>
  <si>
    <t xml:space="preserve">A straight CMP long on ZRO managed by hand, with 1.5523 as the fallback target if he went quiet. He flagged it as the last new position he would open before one of his others exited.</t>
  </si>
  <si>
    <t xml:space="preserve">He called the long at 1.48 CMP and corrected the fill to 1.486 three minutes later after a fast move, advising followers to split 50/50 with a DCA at 1.45 while he took his own size in one go. By the 9 May batch update his 50x card was open at +34.43% (entry 1.4744, mark 1.4849). On 10 May he complained that ZRO had been rejecting from the 1.5523 target for three days and told the room to take profit early on any drop; ninety minutes later he booked 25% at 1.53 for +178.94% and said he would fully exit around 1.55+. The rest was stopped at breakeven just after midnight, straight after TP1 - and in the same message he re-entered the same long.</t>
  </si>
  <si>
    <t xml:space="preserve">His card entry (1.4744) is below both the 1.48 call and the 1.486 corrected CMP, so part of the size filled lower than either quoted price and he never explained it. No exit fill is quoted anywhere: 1.4744 is used because that is his stated entry and a breakeven stop exits there. Msg 57 both closes this position and opens the next ZRO long.</t>
  </si>
  <si>
    <t xml:space="preserve">#11, #12, #13, #36, #53, #54, #57</t>
  </si>
  <si>
    <t xml:space="preserve">https://discord.com/channels/1042855255089623100/1501271173588193290/1501924796072464426</t>
  </si>
  <si>
    <t xml:space="preserve">2026-05-07 15:41:53</t>
  </si>
  <si>
    <t xml:space="preserve">GOLD</t>
  </si>
  <si>
    <t xml:space="preserve">not_taken</t>
  </si>
  <si>
    <t xml:space="preserve">Declined the setup because he already had too many positions open.</t>
  </si>
  <si>
    <t xml:space="preserve">Gold looked longable to him, but position capacity - not the chart - kept him out.</t>
  </si>
  <si>
    <t xml:space="preserve">He flagged gold as longable and immediately declined it: 'Gold looks Longable but too many positions for now!' No entry, stop or target was published and he never came back to this particular idea; gold does not appear again until a 3R trade he mentions on 28 May.</t>
  </si>
  <si>
    <t xml:space="preserve">An idea floated and dropped in one message - no levels of any kind, so nothing to link a later gold trade to.</t>
  </si>
  <si>
    <t xml:space="preserve">#14</t>
  </si>
  <si>
    <t xml:space="preserve">https://discord.com/channels/1042855255089623100/1501271173588193290/1501927050284372139</t>
  </si>
  <si>
    <t xml:space="preserve">2026-05-08 01:40:42</t>
  </si>
  <si>
    <t xml:space="preserve">manual_close</t>
  </si>
  <si>
    <t xml:space="preserve">79.7k CMP</t>
  </si>
  <si>
    <t xml:space="preserve">79469, 78600</t>
  </si>
  <si>
    <t xml:space="preserve">80500</t>
  </si>
  <si>
    <t xml:space="preserve">Soft stop was a 1h close under 79k, hard stop 78.5k; DCAs were equal-sized to the initial entry</t>
  </si>
  <si>
    <t xml:space="preserve">79469 (equal-sized DCA filled, blended entry 79590 (breakeven))</t>
  </si>
  <si>
    <t xml:space="preserve">77600 (widen)</t>
  </si>
  <si>
    <t xml:space="preserve">81000/82000</t>
  </si>
  <si>
    <t xml:space="preserve">50% at 79590</t>
  </si>
  <si>
    <t xml:space="preserve">2026-05-09 06:06:56</t>
  </si>
  <si>
    <t xml:space="preserve">Long from 79.7k CMP with a conditional invalidation (1h close under 79k) for a push to 80.5k, then held into what he believed would be a hard weekend pump toward the previous daily high.</t>
  </si>
  <si>
    <t xml:space="preserve">He called it at 79.7k CMP with a soft stop (1h close under 79k) and a hard stop at 78.5k (msg 17). With the trade at breakeven he added an equal-sized DCA at 79469 (msg 18), which filled and left the blend at 79590 (msg 19). He then told everyone to take that DCA half back off at breakeven and re-place it as a limit at 78.6k (msgs 19, 21) and widened the stop to 77.6k to sit under the new level - 'I know it's sound messy but I'm confident we will exit this one in green' - and the second DCA never filled. He posted a screenshot showing his own entry at 79,564.80 and offered an optional 20% trim at 80.5k (msg 25), then said he was looking to close in the 81-82k area on a 4h close above 80.5k (msg 33). He closed it manually the next morning at 80.4k - card 79,764.40 to 80,341.20, +72.31% on 100x (msgs 36, 40) - and afterwards clarified that 79.5k was the original entry and it only shows as 79.7k because he added margin (msg 41).</t>
  </si>
  <si>
    <t xml:space="preserve">1h close, 4h close, previous daily high</t>
  </si>
  <si>
    <t xml:space="preserve">Straight after the previous day's stop-out; he expected a hard weekend pump, with a 4h close above 80.5k opening 81-82k.</t>
  </si>
  <si>
    <t xml:space="preserve">Four entry figures appear for the same trade: 79,590 blended after the DCA (msg 19), 79,564.80 on the 05-08 screenshot (msg 25), 79.5k which he calls the original entry (msgs 33, 41), and 79,764.40 on the closing card, which he explains by having added margin; avg_entry uses the closing card. Both DCA levels were added after the call, not published with it. After closing he twice talked about re-longing (CMP with SL 79k or waiting for ~80.3k in msg 42, then a 79k entry / 78k DCA / 77k SL setup in msg 43 with explicit instructions not to leave limits) but never took either - the next BTC trade was a short on 05-11.</t>
  </si>
  <si>
    <t xml:space="preserve">#17, #18, #19, #21, #25, #33, #36, #40, #41</t>
  </si>
  <si>
    <t xml:space="preserve">https://discord.com/channels/1042855255089623100/1501271173588193290/1502077749882523759</t>
  </si>
  <si>
    <t xml:space="preserve">2026-05-08 06:43:06</t>
  </si>
  <si>
    <t xml:space="preserve">AVNTUSDT</t>
  </si>
  <si>
    <t xml:space="preserve">unknown</t>
  </si>
  <si>
    <t xml:space="preserve">0.158 CMP</t>
  </si>
  <si>
    <t xml:space="preserve">0.1746, 0.2023</t>
  </si>
  <si>
    <t xml:space="preserve">0.1746</t>
  </si>
  <si>
    <t xml:space="preserve">0.16709</t>
  </si>
  <si>
    <t xml:space="preserve">No reasoning was published beyond the levels: a plain CMP long on AVNT with a two-step ladder at 0.1746 and 0.2023 and a stop at 0.1411.</t>
  </si>
  <si>
    <t xml:space="preserve">He called it at 0.158 CMP with a 0.1411 stop and targets at 0.1746 and 0.2023. By the 9 May batch update the 50x card was open at +265.55% (entry 0.15851, mark 0.16787) and he told the room to take profit whenever they liked rather than let winners round-trip. On the evening of 10 May he announced TP1 at 0.16709, the card still open at +246.69%, and pulled the plan in - the rest would now come off at 0.1746 instead of running to 0.2023. That final exit is never reported: AVNT does not appear in the log again.</t>
  </si>
  <si>
    <t xml:space="preserve">yes</t>
  </si>
  <si>
    <t xml:space="preserve">Profit was definitely banked at TP1, which is why this is scored a win, but the size of that partial and the fate of the remainder are both unknown - the position simply drops out of the log after 10 May. Marked still open only because nothing reports it closing.</t>
  </si>
  <si>
    <t xml:space="preserve">#22, #36, #52</t>
  </si>
  <si>
    <t xml:space="preserve">https://discord.com/channels/1042855255089623100/1501271173588193290/1502153850231193630</t>
  </si>
  <si>
    <t xml:space="preserve">2026-05-08 18:47:55</t>
  </si>
  <si>
    <t xml:space="preserve">KERNELUSDT</t>
  </si>
  <si>
    <t xml:space="preserve">0.064, confirmed as CMP twelve seconds later</t>
  </si>
  <si>
    <t xml:space="preserve">0.066</t>
  </si>
  <si>
    <t xml:space="preserve">High win rate, low R trade; stop is a 4h close under the level or the hard stop</t>
  </si>
  <si>
    <t xml:space="preserve">None (to_entry)</t>
  </si>
  <si>
    <t xml:space="preserve">0.0673</t>
  </si>
  <si>
    <t xml:space="preserve">0.06615</t>
  </si>
  <si>
    <t xml:space="preserve">Explicitly a high win rate, low R trade - a 0.064 CMP long targeting about 0.066 first, managed by hand with a 4h close as the soft stop.</t>
  </si>
  <si>
    <t xml:space="preserve">He called KERNEL at 0.064 CMP as a high win rate / low R trade, with the stop written as a 4h close under 0.59 or a hard stop at 0.581 - both an order of magnitude away from the entry. Ten hours later he announced TP1 at 0.06615 with the 20x card at +49.35% and set the next target at 0.0673. The same card reappeared in his 4:48 batch update, still open, with the room told to take profit whenever they liked. Nine minutes after that he posted the reminder to move the stop to entry after TP1, replying to the KERNEL message. Nothing more about KERNEL is ever posted, so the final exit is unknown.</t>
  </si>
  <si>
    <t xml:space="preserve">4h close</t>
  </si>
  <si>
    <t xml:space="preserve">The published stops (4h close under 0.59, hard stop 0.581) are almost certainly typos for 0.059 / 0.0581 against a 0.064 entry - recorded exactly as posted. The stop-to-entry move is inferred from reply context and carries no level. TP1 was announced but the card still showed the position open and no exit is ever reported, so the win rests on the announced TP1 alone.</t>
  </si>
  <si>
    <t xml:space="preserve">#27, #28, #35, #36, #39</t>
  </si>
  <si>
    <t xml:space="preserve">https://discord.com/channels/1042855255089623100/1501271173588193290/1502336255449366558</t>
  </si>
  <si>
    <t xml:space="preserve">2026-05-08 19:49:28</t>
  </si>
  <si>
    <t xml:space="preserve">SNXUSDT</t>
  </si>
  <si>
    <t xml:space="preserve">0.354 CMP for half the size, the other half reserved for a 0.334 DCA</t>
  </si>
  <si>
    <t xml:space="preserve">0.334</t>
  </si>
  <si>
    <t xml:space="preserve">0.39</t>
  </si>
  <si>
    <t xml:space="preserve">DCA is 50% of size; TP1 at 0.39 is 1R and closes 50% of the position, TP2 to be given later.</t>
  </si>
  <si>
    <t xml:space="preserve">2026-05-10 23:33:31</t>
  </si>
  <si>
    <t xml:space="preserve">Long SNX at market with a laddered plan - half now, half at 0.334 - and a first target at 0.39 that he defined as 1R.</t>
  </si>
  <si>
    <t xml:space="preserve">He called SNX long at 0.354 CMP with a 0.334 DCA for the second half, TP1 0.39 (1R, 50%) and a 0.31 stop. The DCA never came - SNX went straight up and by the next morning his 25x card was +118.67% (entry 0.3545, mark 0.3727), which he showed in a batch update telling members to take TP whenever they wanted rather than let trades round-trip. Two days later he posted that he was 'this close to closing SNX idk why but I just want to close', and that evening he closed the whole thing at 0.3626 for +55.80%, saying he expected a pullback and would re-open after Monday.</t>
  </si>
  <si>
    <t xml:space="preserve">Expected a broad market pullback at the time he closed.</t>
  </si>
  <si>
    <t xml:space="preserve">Closed on gut feel well short of the 0.39 target; the position had been +118.67% on the card 40 hours before he exited at +55.80%, so he gave back a good part of the move. He never re-opened SNX after Monday in this log.</t>
  </si>
  <si>
    <t xml:space="preserve">#31, #36, #53, #56</t>
  </si>
  <si>
    <t xml:space="preserve">https://discord.com/channels/1042855255089623100/1501271173588193290/1502351744259063878</t>
  </si>
  <si>
    <t xml:space="preserve">2026-05-09 04:52:10</t>
  </si>
  <si>
    <t xml:space="preserve">SYRUPUSDT</t>
  </si>
  <si>
    <t xml:space="preserve">A leftover trade from his Journals that he had held for ten days; he still believed it would blow up but closed it out of impatience.</t>
  </si>
  <si>
    <t xml:space="preserve">Only the exit of this trade falls inside the log. The share card shows a 25x long from 0.25328 closed at 0.26013 for +67.61%. He says he had been holding it for about ten days and was closing purely because it was getting annoying, adding that he was sure it would blow up right after he was out. Nothing about the original entry, stop or targets was ever posted here.</t>
  </si>
  <si>
    <t xml:space="preserve">Entry, stop and targets are unknown - the position was opened in his 'Journals' before this log begins, so entry_time and duration cannot be given. His '10 days' remark puts the entry around 2026-04-29 but he never states a date.</t>
  </si>
  <si>
    <t xml:space="preserve">#38</t>
  </si>
  <si>
    <t xml:space="preserve">https://discord.com/channels/1042855255089623100/1501271173588193290/1502488322143162518</t>
  </si>
  <si>
    <t xml:space="preserve">2026-05-09 11:51:05</t>
  </si>
  <si>
    <t xml:space="preserve">STABLEUSDT</t>
  </si>
  <si>
    <t xml:space="preserve">0.0346 CMP, flagged as a swing that would take time</t>
  </si>
  <si>
    <t xml:space="preserve">0.04</t>
  </si>
  <si>
    <t xml:space="preserve">0.03737</t>
  </si>
  <si>
    <t xml:space="preserve">100% at 0.03737</t>
  </si>
  <si>
    <t xml:space="preserve">2026-05-13 06:13:16</t>
  </si>
  <si>
    <t xml:space="preserve">Swing long on a slow-moving shitcoin from 0.0346 up to the 0.04 round number, explicitly not for scalpers.</t>
  </si>
  <si>
    <t xml:space="preserve">He called STABLE as a swing at 0.0346 CMP with a 0.04 target and a 0.03 stop, warning it would take time - and for three days it did nothing ('STABLE has been really STABLE'). On 12 May he added a first target at 0.03737 with the position +144% at 25x, then accidentally closed 100% of it right at that level for +200.92%, telling followers the 0.04 target was still valid but to take at least 50% there because it is resistance. Screenshots hours later showed he still had a live copy of the same long on MEXC (entry 0.03453, +248%), so he was not actually flat. On 13 May the full 0.04 target printed - a 20% unleveraged move, +231.02% ROI at 20x.</t>
  </si>
  <si>
    <t xml:space="preserve">resistance</t>
  </si>
  <si>
    <t xml:space="preserve">quiet tape; he pointed intraday traders at his BTC scalp instead</t>
  </si>
  <si>
    <t xml:space="preserve">Same idea run on two exchanges: entry 0.03459 at 25x on the first (closed by accident at 0.03737) and 0.03453 at 20x on MEXC (held to the 0.04 target). Treated as one position. avg_entry/leverage use the first card; the final exit price 0.04 is his stated target level, which he says was hit in full rather than a posted fill.</t>
  </si>
  <si>
    <t xml:space="preserve">#44, #51, #82, #83, #84, #86, #89</t>
  </si>
  <si>
    <t xml:space="preserve">https://discord.com/channels/1042855255089623100/1501271173588193290/1502593742513635530</t>
  </si>
  <si>
    <t xml:space="preserve">2026-05-09 13:58:20</t>
  </si>
  <si>
    <t xml:space="preserve">2310 CMP with 50% of size held back for the 2290 DCA</t>
  </si>
  <si>
    <t xml:space="preserve">2290</t>
  </si>
  <si>
    <t xml:space="preserve">2350</t>
  </si>
  <si>
    <t xml:space="preserve">DCA is 50% of size</t>
  </si>
  <si>
    <t xml:space="preserve">2026-05-10 18:45:44</t>
  </si>
  <si>
    <t xml:space="preserve">Weekend scalp long on ETH from 2310 CMP with a 50% DCA underneath at 2290.</t>
  </si>
  <si>
    <t xml:space="preserve">He called the long at 2310 CMP with a 2290 DCA and a 2260 stop, and two minutes later put the target at 2350+, saying he would close manually. The position sat through the weekend and on 10 May he closed all of it at 2340.53 from an average of 2311.73 - +124.58% at 100x - calling it good enough for a weekend scalp. Two minutes after the screenshot went out, 2350 traded, so the target he had given was reached anyway. He never used the 2290 DCA.</t>
  </si>
  <si>
    <t xml:space="preserve">weekend session</t>
  </si>
  <si>
    <t xml:space="preserve">The original call carried no target; the 2350 level came two minutes later in MSG 46 and is recorded as the planned take profit.</t>
  </si>
  <si>
    <t xml:space="preserve">#45, #46, #49, #50</t>
  </si>
  <si>
    <t xml:space="preserve">https://discord.com/channels/1042855255089623100/1501271173588193290/1502625769904406701</t>
  </si>
  <si>
    <t xml:space="preserve">2026-05-09 14:12:56</t>
  </si>
  <si>
    <t xml:space="preserve">TAKEUSDT</t>
  </si>
  <si>
    <t xml:space="preserve">Wanted at least 2 open positions closed before adding new ones.</t>
  </si>
  <si>
    <t xml:space="preserve">TAKE looked good for a long but he was at his self-imposed position limit.</t>
  </si>
  <si>
    <t xml:space="preserve">He posted that TAKE looked good for a long but that too many positions were already running - he wanted at least two closed before opening anything new - and signed off with 'see you at TPs'. No levels were given and TAKE is never mentioned again.</t>
  </si>
  <si>
    <t xml:space="preserve">Pure pass; no entry, stop or target published.</t>
  </si>
  <si>
    <t xml:space="preserve">#48</t>
  </si>
  <si>
    <t xml:space="preserve">https://discord.com/channels/1042855255089623100/1501271173588193290/1502629441908510731</t>
  </si>
  <si>
    <t xml:space="preserve">re-entered at 1.486 in the same message that reported the previous ZRO position stopping at breakeven</t>
  </si>
  <si>
    <t xml:space="preserve">1.42</t>
  </si>
  <si>
    <t xml:space="preserve">20% at 1.5369</t>
  </si>
  <si>
    <t xml:space="preserve">2026-05-11 12:32:58</t>
  </si>
  <si>
    <t xml:space="preserve">An immediate re-entry of the same ZRO long seconds after the first one was stopped at breakeven - same idea and same 1.55 target, with a lower stop and a DCA at 1.42.</t>
  </si>
  <si>
    <t xml:space="preserve">He announced the breakeven stop and the re-entry in the same message at 00:40 on 11 May: long again at 1.486, DCA 1.42, TP1 1.55, SL 1.37 - his card shows the fill at 1.4772. At 09:12 he booked 20% at 1.5369 for +189.93% and made a point of not moving the stop to entry, leaving the original 1.37 in place. Three hours later the 1.55 target filled: the card shows 1.5457 and +215.72%. He noted straight after that this was the second time he had milked the same setup.</t>
  </si>
  <si>
    <t xml:space="preserve">He explicitly refused to move the stop to entry after the 20% partial, so the original 1.37 stood to the end. The 1.42 DCA is never reported as filling.</t>
  </si>
  <si>
    <t xml:space="preserve">#57, #67, #72, #73</t>
  </si>
  <si>
    <t xml:space="preserve">https://discord.com/channels/1042855255089623100/1501271173588193290/1503149825196036228</t>
  </si>
  <si>
    <t xml:space="preserve">2026-05-11 02:30:48</t>
  </si>
  <si>
    <t xml:space="preserve">short</t>
  </si>
  <si>
    <t xml:space="preserve">82.3k CMP</t>
  </si>
  <si>
    <t xml:space="preserve">83000</t>
  </si>
  <si>
    <t xml:space="preserve">80000, 81000</t>
  </si>
  <si>
    <t xml:space="preserve">2026-05-11 03:58:37</t>
  </si>
  <si>
    <t xml:space="preserve">A counter-trend scalp short into the 82.3k spike, looking to cover in the 80-81k region.</t>
  </si>
  <si>
    <t xml:space="preserve">He shorted at 82.3k CMP with a DCA planned higher at 83k and a stop at 83,650 (msg 59), then said he was looking to scalp it around 80-81k (msg 60). BTC sold off immediately so the 83k DCA never came into play, and he covered 88 minutes later at 81,302.90 from 82,202.80 for +109.47% on 100x - 'TPed, fast top short, closed' (msg 61). He banked it above his own 80-81k target zone rather than waiting for it, and immediately said he would flip long once price stabilised around 80k (msg 62).</t>
  </si>
  <si>
    <t xml:space="preserve">He was openly bullish for the week, expecting 84-85k (msg 58), and took this quick top short against his own bias.</t>
  </si>
  <si>
    <t xml:space="preserve">He calls it a TP, but the fill at 81,302.90 is above the 80-81k target zone, so it is recorded as a manual close in profit rather than a take-profit.</t>
  </si>
  <si>
    <t xml:space="preserve">#59, #60, #61</t>
  </si>
  <si>
    <t xml:space="preserve">https://discord.com/channels/1042855255089623100/1501271173588193290/1503177518499233970</t>
  </si>
  <si>
    <t xml:space="preserve">2026-05-11 09:13:29</t>
  </si>
  <si>
    <t xml:space="preserve">80.9k CMP in the public call; he had already started scaling in from 80.6k before publishing it (msg 68). No DCA on this one.</t>
  </si>
  <si>
    <t xml:space="preserve">81500, 81600</t>
  </si>
  <si>
    <t xml:space="preserve">He kept the wider 79.5k stop, 'playing safe here, scalp'; a tighter optional stop at 79,750 was offered to followers (msg 71)</t>
  </si>
  <si>
    <t xml:space="preserve">81500/81600</t>
  </si>
  <si>
    <t xml:space="preserve">2026-05-11 19:32:08</t>
  </si>
  <si>
    <t xml:space="preserve">Long the 80k region on the view that if the 80s hold, BTC runs to 84k - traded as a scalp he intended to close manually around 81.5-81.6k.</t>
  </si>
  <si>
    <t xml:space="preserve">He said he would long once BTC stabilised, with the 80k region as the place he wanted (msg 62), then started scaling in privately from 80.6k with a 79.5k stop and posted the running 150x card at +51.78% (msg 68). Once confident he published the formal call at 80.9k CMP with no DCA and the same 79.5k stop (msg 70), offering followers a tighter 79,750 stop while keeping the wider one himself (msg 71). Mid-afternoon he said he would close manually targeting 81.5-81.6k (msg 74). He closed the whole position that evening (msg 75) and posted the proof card: entry 80,914.20, exit 81,798.70, +109.31% on 100x (msg 76) - above his own stated target.</t>
  </si>
  <si>
    <t xml:space="preserve">Right after covering the top short; he wanted price to stabilise before longing, and read 80k holding as the trigger for a run to 84k.</t>
  </si>
  <si>
    <t xml:space="preserve">One position run on more than one account: the entry card (msg 68) is 150x and the closing card (msg 76) is 100x. Leverage and ROI record the closing card. The 80.6k private scale-in and the 80.9k published entry are the same trade, not two.</t>
  </si>
  <si>
    <t xml:space="preserve">#62, #68, #69, #70, #71, #74, #75, #76</t>
  </si>
  <si>
    <t xml:space="preserve">https://discord.com/channels/1042855255089623100/1501271173588193290/1503199754027270164</t>
  </si>
  <si>
    <t xml:space="preserve">2026-05-12 04:30:58</t>
  </si>
  <si>
    <t xml:space="preserve">Half at 81.3k, half at the 80.7k DCA; he flagged it as slightly risky so followers could go half risk or simply enter at the DCA</t>
  </si>
  <si>
    <t xml:space="preserve">80700</t>
  </si>
  <si>
    <t xml:space="preserve">Slightly risky - half risk or DCA-only entry suggested for followers</t>
  </si>
  <si>
    <t xml:space="preserve">80700 (DCA leg filled 20 minutes after the call, blended average 81k and already in profit)</t>
  </si>
  <si>
    <t xml:space="preserve">82000 -&gt; 82000</t>
  </si>
  <si>
    <t xml:space="preserve">2026-05-13 18:15:09</t>
  </si>
  <si>
    <t xml:space="preserve">Another BTC scalp long, from 81.3k with a DCA at 80.7k, wanting a 4h close above 81.1k to open a run to 82k.</t>
  </si>
  <si>
    <t xml:space="preserve">He called it at 81.3k with a DCA at 80.7k and a 79.5k stop, telling followers it was slightly risky so they could halve risk or just enter at the DCA (msg 79). The DCA filled 20 minutes later at a perfect level - 'if you entered at DCA you sniped' - taking his average to 81k in profit (msgs 80-81). By the next morning it was back around breakeven (msg 90); he said he needed a 4h close above 81.1k to get 82k, then set the official TP at 82k while flagging that he would probably exit early at 81.5-81.6k (msg 98). Price missed that trim level by about $150 and reversed into his stop: 'Sorry guys lost on BTC, stayed above profits for a long time but didn't TP, wanted to trim first @ 81.5k but missed by 150$' (msg 99). He re-entered a new long a minute later.</t>
  </si>
  <si>
    <t xml:space="preserve">Continuation of his bullish 84-85k week view after two profitable BTC scalps.</t>
  </si>
  <si>
    <t xml:space="preserve">The loss is stated plainly but no exit price or card was posted - 79.5k is his published stop, not a confirmed fill. Average entry 81k is his own figure. The call carried no TP; the 82k target only appeared on 05-13.</t>
  </si>
  <si>
    <t xml:space="preserve">#79, #80, #81, #90, #98, #99</t>
  </si>
  <si>
    <t xml:space="preserve">https://discord.com/channels/1042855255089623100/1501271173588193290/1503570149297360977</t>
  </si>
  <si>
    <t xml:space="preserve">2026-05-12 15:01:26</t>
  </si>
  <si>
    <t xml:space="preserve">XRPUSDT</t>
  </si>
  <si>
    <t xml:space="preserve">1.448 CMP</t>
  </si>
  <si>
    <t xml:space="preserve">1.5, 1.525</t>
  </si>
  <si>
    <t xml:space="preserve">2026-05-14 17:30:30</t>
  </si>
  <si>
    <t xml:space="preserve">Long XRP at market with targets at 1.5 and 1.525 and a 1.4 stop; no reasoning was given with the call.</t>
  </si>
  <si>
    <t xml:space="preserve">He called the long at 1.448 CMP with two targets and a 1.4 stop. It went nowhere for two days and sat around breakeven, and on 14 May price nearly touched his stop, which he read as the setup being invalidated - so he closed at 1.4531 from 1.4497 for a token +23.45% at 100x rather than risk the full stop. Minutes later it broke out, and by that evening it had run to 1.5431, through both of his targets. He posted the chart himself and called it a fumble, saying the idea was right even though he had exited early.</t>
  </si>
  <si>
    <t xml:space="preserve">not stated</t>
  </si>
  <si>
    <t xml:space="preserve">Closed for a tiny profit, so it counts as a win, but he treats it as a fumbled trade because the full target hit after he was out.</t>
  </si>
  <si>
    <t xml:space="preserve">#85, #90, #108, #110, #124</t>
  </si>
  <si>
    <t xml:space="preserve">https://discord.com/channels/1042855255089623100/1501271173588193290/1503728811768811663</t>
  </si>
  <si>
    <t xml:space="preserve">2026-05-13 06:41:20</t>
  </si>
  <si>
    <t xml:space="preserve">2293 CMP; the message went out late and he confirmed the entry was still good at 2298</t>
  </si>
  <si>
    <t xml:space="preserve">2336</t>
  </si>
  <si>
    <t xml:space="preserve">Risky trade go half</t>
  </si>
  <si>
    <t xml:space="preserve">Risky market long on ETH with a 2245 stop, taken at half size - 'I hate ETH'.</t>
  </si>
  <si>
    <t xml:space="preserve">He called the long at 2293 CMP with a 2245 stop, flagged it as risky and told people to go half size. Eleven seconds later he noted the message had gone out late and that 2298 was still a valid entry. Forty minutes after that he gave the first target, 2336, joking that he would take a break if ETH broke his streak. Nothing in the log ever says how this one ended.</t>
  </si>
  <si>
    <t xml:space="preserve">low</t>
  </si>
  <si>
    <t xml:space="preserve">No exit, stop-out or update of any kind after MSG 95. He floats a fresh ETH long idea on 16 May, so this one had presumably been closed or stopped by then, but nothing states it - outcome left unknown.</t>
  </si>
  <si>
    <t xml:space="preserve">#91, #92, #95</t>
  </si>
  <si>
    <t xml:space="preserve">https://discord.com/channels/1042855255089623100/1501271173588193290/1503965346304884828</t>
  </si>
  <si>
    <t xml:space="preserve">2026-05-13 06:52:43</t>
  </si>
  <si>
    <t xml:space="preserve">SOLUSDT</t>
  </si>
  <si>
    <t xml:space="preserve">95.5 CMP</t>
  </si>
  <si>
    <t xml:space="preserve">97</t>
  </si>
  <si>
    <t xml:space="preserve">2026-05-13 07:02:05</t>
  </si>
  <si>
    <t xml:space="preserve">2026-05-13 12:11:15</t>
  </si>
  <si>
    <t xml:space="preserve">He thought SOL was a much better long from CMP than the ETH trade he had already called, so he offered SOL as an optional add-on long.</t>
  </si>
  <si>
    <t xml:space="preserve">Ten minutes after saying SOL looked a lot better to long than the ETH he had already called, he posted the SOL long at 95.5 CMP with TP 97 and SL 93.5, framed as optional ('if anyone's looking long for SOL'). Five hours later he closed it himself at 95.7 for a token +17.79% on 100x, explicitly to stay on the safe side and protect his streak while his other three longs ran. Twenty seconds after that he told risk-tolerant members the setup was still valid and they could keep it running rather than close with him.</t>
  </si>
  <si>
    <t xml:space="preserve">He exited early for streak-protection reasons rather than at the 97 target; the follower guidance (keep it running) differs from his own action and is recorded in the story only.</t>
  </si>
  <si>
    <t xml:space="preserve">#93, #94, #96, #97</t>
  </si>
  <si>
    <t xml:space="preserve">https://discord.com/channels/1042855255089623100/1501271173588193290/1503968208800190536</t>
  </si>
  <si>
    <t xml:space="preserve">2026-05-13 18:16:30</t>
  </si>
  <si>
    <t xml:space="preserve">CMP entry (msg 101) with about 25% of size held back for the DCA</t>
  </si>
  <si>
    <t xml:space="preserve">79000</t>
  </si>
  <si>
    <t xml:space="preserve">82000</t>
  </si>
  <si>
    <t xml:space="preserve">Save some for DCA - around 25%, half of what you're putting on now</t>
  </si>
  <si>
    <t xml:space="preserve">79000 (25% DCA filled - confirmed when he posted the 79.2k average running in heavy profit; the actual fill time was never stated)</t>
  </si>
  <si>
    <t xml:space="preserve">2026-05-14 18:02:51</t>
  </si>
  <si>
    <t xml:space="preserve">Immediate re-entry after the stop-out: long 79.4k CMP with 25% kept back for a 79k DCA, targeting 82k, on his scripted path of a dip to 78.5k, a bounce and a news-driven push to 81-82k.</t>
  </si>
  <si>
    <t xml:space="preserve">He called the re-entry within a minute of announcing the previous loss - long 79.4k CMP, 25% saved for a DCA (msgs 100-101) - and gave the DCA level as 79k two minutes later (msg 102). The DCA filled and by the following afternoon he showed the position at an average of 79.2k running in heavy profit (msg 108), with a card at 79,284.35 and +108.28% on 100x (msg 109), noting BTC was moving exactly as he had mapped it (msg 111). He closed the whole position at about 81k for +202.99% on 100x - card 79,284.35 to 80,893.80 - saying it made back the losses from both earlier stop-outs (msg 112). He then posted the same trade from two other accounts: BloFin 30x, 79,313.40 to 80,926.40, +61% (msg 115), and a 250x card at +448.51% (msg 116).</t>
  </si>
  <si>
    <t xml:space="preserve">news</t>
  </si>
  <si>
    <t xml:space="preserve">Clarity-act headlines were the catalyst; he had publicly scripted the move - dip to 78.5k, bounce, news, 81-82k (msgs 111, 121).</t>
  </si>
  <si>
    <t xml:space="preserve">One position run on at least three accounts (100x main, BloFin 30x, 250x) - the three cards are not three trades. He exited at ~81k, below his published 82k target. Stated average 79.2k vs 79,284.35 on the card; the BloFin card shows 79,313.40.</t>
  </si>
  <si>
    <t xml:space="preserve">#100, #101, #102, #108, #109, #111, #112, #115, #116</t>
  </si>
  <si>
    <t xml:space="preserve">https://discord.com/channels/1042855255089623100/1501271173588193290/1504140287096651806</t>
  </si>
  <si>
    <t xml:space="preserve">2026-05-14 03:17:11</t>
  </si>
  <si>
    <t xml:space="preserve">91.25 CMP</t>
  </si>
  <si>
    <t xml:space="preserve">Soft stop was a 4h close under 88, with a hard stop at 87.5.</t>
  </si>
  <si>
    <t xml:space="preserve">None (tightened_unspecified)</t>
  </si>
  <si>
    <t xml:space="preserve">A second SOL long at market the morning after the first one, with the stop defined on a 4h close under 88 rather than a hard level.</t>
  </si>
  <si>
    <t xml:space="preserve">He longed SOL again at 91.25 CMP, publishing no target and a two-part stop: a 4h close under 88, or a hard 87.5. Thirty-six minutes later he said he had modified the SOL stop because the trade was already in profit, but never gave the new level. That afternoon he closed SOL together with XRP 'in minor profits' - his card shows entry 91.05, close 91.46, +45.03% on 100x.</t>
  </si>
  <si>
    <t xml:space="preserve">The stop move at msg 106 has no level attached - he only said it was modified and that members could adjust too, so 'to' is null.</t>
  </si>
  <si>
    <t xml:space="preserve">#103, #106, #108</t>
  </si>
  <si>
    <t xml:space="preserve">https://discord.com/channels/1042855255089623100/1501271173588193290/1504276354516910202</t>
  </si>
  <si>
    <t xml:space="preserve">2026-05-14 03:18:10</t>
  </si>
  <si>
    <t xml:space="preserve">BBUSDT</t>
  </si>
  <si>
    <t xml:space="preserve">0.03535 CMP, risky half-margin trade</t>
  </si>
  <si>
    <t xml:space="preserve">0.39, 0.41</t>
  </si>
  <si>
    <t xml:space="preserve">Flagged risky - half margin.</t>
  </si>
  <si>
    <t xml:space="preserve">0.404</t>
  </si>
  <si>
    <t xml:space="preserve">2026-05-15 03:20:30</t>
  </si>
  <si>
    <t xml:space="preserve">A deliberately risky, half-margin long on BB taken at market a minute after the SOL long.</t>
  </si>
  <si>
    <t xml:space="preserve">He called BB long at 0.03535 CMP as a risky half-margin trade, posting TP 0.39-0.41 and SL 0.3. Thirty-five minutes later he dropped the first target - 'Remove the first TP 0.039 will take full TP around 0.404' - so his own plan became a single full exit. A day later he admitted he had 'totally forgot about this one' and closed early at 0.0371 for +116.46% on 25x rather than waiting for the target.</t>
  </si>
  <si>
    <t xml:space="preserve">Levels recorded exactly as posted, but the decimals are almost certainly wrong: with a 0.03535 entry the TP 0.39-0.41 and SL 0.3 should read 0.039-0.041 and 0.03 - his own follow-up message calls the first target '0.039' while the revised full TP is written '0.404'. The exit at 0.0371 sits between the plausible 0.039 target and the entry, consistent with the dropped-decimal reading.</t>
  </si>
  <si>
    <t xml:space="preserve">#104, #105, #127</t>
  </si>
  <si>
    <t xml:space="preserve">https://discord.com/channels/1042855255089623100/1501271173588193290/1504276604292042863</t>
  </si>
  <si>
    <t xml:space="preserve">2026-05-14 10:40:51</t>
  </si>
  <si>
    <t xml:space="preserve">ENSUSDT</t>
  </si>
  <si>
    <t xml:space="preserve">6.89 CMP</t>
  </si>
  <si>
    <t xml:space="preserve">7.69</t>
  </si>
  <si>
    <t xml:space="preserve">50% at 7.171</t>
  </si>
  <si>
    <t xml:space="preserve">2026-05-14 19:19:52</t>
  </si>
  <si>
    <t xml:space="preserve">Long ENS at market towards 7.69, with a soft stop defined as a 1h close under 6.3 rather than a hard level.</t>
  </si>
  <si>
    <t xml:space="preserve">He called ENS long at 6.89 CMP with the stop set as a 1h close under 6.3 and a 7.69 target. By late afternoon it was +141.91% at 50x from 6.900 and he was holding for 'fat profits'. At 7.171 he took 50% off (+190.71%) and told followers they could close the whole thing there. An hour later he was completely out at 7.135 for +161.15%, well short of the 7.69 target.</t>
  </si>
  <si>
    <t xml:space="preserve">1h close</t>
  </si>
  <si>
    <t xml:space="preserve">The 6.3 stop was a 1h-close condition, not a hard level. Exit came at 7.135, below the 7.171 partial, because he closed the rest after a small pullback.</t>
  </si>
  <si>
    <t xml:space="preserve">#107, #109, #113, #120</t>
  </si>
  <si>
    <t xml:space="preserve">https://discord.com/channels/1042855255089623100/1501271173588193290/1504388009280278589</t>
  </si>
  <si>
    <t xml:space="preserve">2026-05-14 20:27:12</t>
  </si>
  <si>
    <t xml:space="preserve">81.3k CMP (msg 123), half margin by his own instruction</t>
  </si>
  <si>
    <t xml:space="preserve">83000, 84000</t>
  </si>
  <si>
    <t xml:space="preserve">HALF MARGIN, self-declared gamble - 'Don't lose today's profits on it, go low!'</t>
  </si>
  <si>
    <t xml:space="preserve">2026-05-16 04:15:48</t>
  </si>
  <si>
    <t xml:space="preserve">A self-described gamble long at 81.3k straight after the pump to 82k, targeting the daily high around 83k, or 84k if he saw strength.</t>
  </si>
  <si>
    <t xml:space="preserve">He called it at 81.3k CMP with a DCA at 80.8k and 79.5k written as 'Sleep' (his wording for the stop), targeting the daily high at 83k or 84k, and stressed it was a half-margin gamble that should not cost anyone the day's profits (msgs 122-123). Price ran to 82k almost immediately - a clean scalp exit he chose not to take because he was holding out for 83k. He confirmed he was still holding the next morning (msg 127), then BTC rolled over and stopped him: 'Lost the BTC gamble trade. My fault there when we longed from 81.3k it immediately went to 82k, a good TP for scalp I could have exit there but was trying for 83k. My mistake on this one. The good part was I mentioned use less margin on this' (msg 128).</t>
  </si>
  <si>
    <t xml:space="preserve">daily high</t>
  </si>
  <si>
    <t xml:space="preserve">Immediately after the clarity-act pump to 82k that he had called from 79k (msg 121); he expected a slow grind and then a Sunday weekend pump (msg 126).</t>
  </si>
  <si>
    <t xml:space="preserve">No card or exit price was posted; 79.5k is the published stop. Whether the 80.8k DCA filled is never stated - price traded through it on the way down, so the realised loss may be bigger than the call implies. avg_entry 81,300 is his own restatement of the entry in msg 128, not an exchange figure.</t>
  </si>
  <si>
    <t xml:space="preserve">#122, #123, #127, #128</t>
  </si>
  <si>
    <t xml:space="preserve">https://discord.com/channels/1042855255089623100/1501271173588193290/1504535567663235103</t>
  </si>
  <si>
    <t xml:space="preserve">2026-05-15 02:59:36</t>
  </si>
  <si>
    <t xml:space="preserve">HBARUSDT</t>
  </si>
  <si>
    <t xml:space="preserve">CMP</t>
  </si>
  <si>
    <t xml:space="preserve">0.1, 0.105</t>
  </si>
  <si>
    <t xml:space="preserve">2026-05-18 03:50:21</t>
  </si>
  <si>
    <t xml:space="preserve">Straight long on HBAR at market with a 0.1-0.105 target zone; no reasoning beyond the levels was posted.</t>
  </si>
  <si>
    <t xml:space="preserve">He called the long at 0.0948 CMP with a 0.089 stop and targets at 0.1-0.105, and confirmed twenty minutes later that HBAR and BTC were what he was still holding. It went nowhere for a day and a half; on 16 May he said HBAR was grinding back toward his entry and that he would look to close it around breakeven. That never happened - on 18 May he reported 'HBAR hit SL', so it closed at a full loss instead of the breakeven he wanted.</t>
  </si>
  <si>
    <t xml:space="preserve">He never restated a fill or an exit price, so avg_entry and exit_price are null; his published entry was 0.0948 and his published stop 0.089. The side on the stop-out message is inferred from the original call (the extractor flagged msg 144 as medium confidence). No R figure was given for the loss.</t>
  </si>
  <si>
    <t xml:space="preserve">#125, #127, #139, #144</t>
  </si>
  <si>
    <t xml:space="preserve">https://discord.com/channels/1042855255089623100/1501271173588193290/1504634318503546950</t>
  </si>
  <si>
    <t xml:space="preserve">2026-05-16 04:23:08</t>
  </si>
  <si>
    <t xml:space="preserve">PARTIUSDT</t>
  </si>
  <si>
    <t xml:space="preserve">0.0615 CMP with a 30% DCA leg below</t>
  </si>
  <si>
    <t xml:space="preserve">0.586</t>
  </si>
  <si>
    <t xml:space="preserve">0.07, 0.075</t>
  </si>
  <si>
    <t xml:space="preserve">DCA leg is 30% of the position</t>
  </si>
  <si>
    <t xml:space="preserve">None (fill implied by the average moving to 0.606 (as posted; reads as 0.0606) with the position in profit - he never posted a fill price)</t>
  </si>
  <si>
    <t xml:space="preserve">A PARTI long at market with a 30% DCA leg underneath and targets in the 0.07-0.075 band. No reasoning was published beyond the levels.</t>
  </si>
  <si>
    <t xml:space="preserve">He called it at 0.0615 CMP on the morning of 16 May with a 30% DCA leg (posted as 0.5860, which reads as 0.0586), targets 0.07-0.075 and a 0.0525 stop. Fifteen hours later he reported the average had moved to 0.606 - again a dropped decimal, reading as 0.0606 - and that the position was in profit, which implies the DCA leg filled. PARTI is never mentioned again: no exit, no stop, no result.</t>
  </si>
  <si>
    <t xml:space="preserve">Two of his numbers are missing a decimal place - the DCA posted as 0.5860 and the average posted as 0.606 against a 0.0615 entry - and both are recorded exactly as posted rather than corrected. The DCA fill is inferred from the changed average. The position drops out of the log after 16 May with no outcome of any kind.</t>
  </si>
  <si>
    <t xml:space="preserve">#129, #139</t>
  </si>
  <si>
    <t xml:space="preserve">https://discord.com/channels/1042855255089623100/1501271173588193290/1505017728887689278</t>
  </si>
  <si>
    <t xml:space="preserve">2026-05-16 04:26:35</t>
  </si>
  <si>
    <t xml:space="preserve">LINKUSDT</t>
  </si>
  <si>
    <t xml:space="preserve">CMP, and only if strength appeared in the market</t>
  </si>
  <si>
    <t xml:space="preserve">LINK looked good for a long, but there was no strength in the broader market, so the idea was conditional on strength showing up.</t>
  </si>
  <si>
    <t xml:space="preserve">This was guidance rather than a trade he took: LINK looked good for a long but the market had no strength, so he told the group that if they saw some strength coming they could long it from CMP with a 9.6 stop. He never posted an entry of his own and never followed up, so nothing was managed or closed.</t>
  </si>
  <si>
    <t xml:space="preserve">no strength in the market</t>
  </si>
  <si>
    <t xml:space="preserve">Conditional follower guidance with a stop but no entry price or target. There is no evidence he took it himself, hence not_taken. The later LINK mentions (msgs 995, 999) are about his spot bag and are tracked as a separate position.</t>
  </si>
  <si>
    <t xml:space="preserve">#130</t>
  </si>
  <si>
    <t xml:space="preserve">https://discord.com/channels/1042855255089623100/1501271173588193290/1505018596701638706</t>
  </si>
  <si>
    <t xml:space="preserve">2026-05-16 12:58:40</t>
  </si>
  <si>
    <t xml:space="preserve">floated as a 5m-timeframe idea at 2170 CMP, then actually entered at 2172 CMP with 0.5% margin/risk</t>
  </si>
  <si>
    <t xml:space="preserve">Just an idea, won't count TP or SL, not an official trade; entered with 0.5% margin/risk only - SCALP and SMALL margin</t>
  </si>
  <si>
    <t xml:space="preserve">25% at 2194.45</t>
  </si>
  <si>
    <t xml:space="preserve">2026-05-16 13:35:54</t>
  </si>
  <si>
    <t xml:space="preserve">2026-05-18 03:50:15</t>
  </si>
  <si>
    <t xml:space="preserve">A low-timeframe (5m) ETH long for people who like LTF entries, deliberately not counted as an official call and taken with tiny margin.</t>
  </si>
  <si>
    <t xml:space="preserve">He floated the 5m long at 2170 with a 2145 stop as 'just an idea, not an official trade', then 37 minutes later actually entered at 2172 using only 0.5% margin, stressing it was a scalp on small size. That evening the bounce looked weak and he offered anyone in small profit the chance to exit, saying he was taking his chance; the next day it was still crawling ('shits always the slowest'). On 17 May it went past 1R at 2194.45 (+90.57% at 100x) and he told followers they could take 25-50% off there, and later that the entry was still valid with the same 2145 stop. It then round-tripped and closed flat - 'ETH hit BE' - on 18 May.</t>
  </si>
  <si>
    <t xml:space="preserve">5m timeframe</t>
  </si>
  <si>
    <t xml:space="preserve">weak bounce, he expected lower prices</t>
  </si>
  <si>
    <t xml:space="preserve">The 25% partial at 1R is phrased as advice to followers ('you can take 25-50% here'), so whether he trimmed himself is unclear; if he did, the net result is a small win rather than flat. He posted no breakeven price. Recorded as breakeven because that is how he reported the close.</t>
  </si>
  <si>
    <t xml:space="preserve">#135, #136, #137, #138, #139, #140, #142, #143</t>
  </si>
  <si>
    <t xml:space="preserve">https://discord.com/channels/1042855255089623100/1501271173588193290/1505147469187645451</t>
  </si>
  <si>
    <t xml:space="preserve">CMP at the time (78k), a 5m-timeframe entry for people who like LTF entries</t>
  </si>
  <si>
    <t xml:space="preserve">Explicitly not an official trade - 'Just an idea won't count TP or SL'</t>
  </si>
  <si>
    <t xml:space="preserve">A 5m-timeframe scalp long inside the 77.7-78.1k weekend reversal zone he had flagged that morning.</t>
  </si>
  <si>
    <t xml:space="preserve">In the morning he said the weekend reversal zone should be 77.7-78.1k and that he would try a scalp there, re-posting the plan as a screenshot (msgs 133-134). At 12:58 he gave the entry for LTF traders - long at CMP 78k with a 77.7k stop - but framed it explicitly as an idea that would not count as an official trade with a TP or SL (msg 135). No fill, result or close was ever posted for it, and the next BTC idea came six hours later with a different (76.9k) stop.</t>
  </si>
  <si>
    <t xml:space="preserve">5m timeframe, 4h close</t>
  </si>
  <si>
    <t xml:space="preserve">Weekend. He expected 77.7-78.1k to be the reversal zone, a bounce there to target 79-80k, and a 4h close below 77.7k to open 75-76k (msgs 133-134).</t>
  </si>
  <si>
    <t xml:space="preserve">Kept as a position because it was published as a call with an entry and a stop, but he said it would not count and no fill or exit was ever posted, so outcome is not_taken. It may in fact be the trade behind the 78,041.30 / 150x card in msg 141, which is attached here to the later msg 139 idea. Separately that morning he published a conditional plan to limit-long 76,850 with TP 80-82k and SL 75k if BTC lost the level (msgs 131-132); BTC bottomed around 77.7k so that limit never came into play and it is not recorded as a position. [AUDIT] Audit: he never refused this trade — "won't count TP or SL, not an official trade" is a stats disclaimer, and MSG 141 shows his own 150x card from 78,041.3 at this level. Outcome changed from not_taken to unknown.</t>
  </si>
  <si>
    <t xml:space="preserve">#133, #134, #135</t>
  </si>
  <si>
    <t xml:space="preserve">https://discord.com/channels/1042855255089623100/1501271173588193290/1505102808389783632</t>
  </si>
  <si>
    <t xml:space="preserve">2026-05-16 19:29:46</t>
  </si>
  <si>
    <t xml:space="preserve">CMP at 05-16 19:29 - no price given in the call; the card he posted the next day shows an entry of 78,041.30</t>
  </si>
  <si>
    <t xml:space="preserve">Offered as an optional idea - 'if anyone wants to try BTC long'</t>
  </si>
  <si>
    <t xml:space="preserve">He thought BTC had bottomed for the weekend, so he offered a long from market with a stop under 76.9k.</t>
  </si>
  <si>
    <t xml:space="preserve">He posted it as an optional idea: 'If anyone wants to try BTC long you can from CMP with SL 76.9k think we bottomed for weekend' (msg 139). The next afternoon he showed it running in profit - 150x card, entry 78,041.30 against 78,494.90, +87.18% - with 'BTC moving too if anyone took that idea' (msg 141), and said the entry was still valid from there with the same stop even though price was up from it (msg 142). The following evening he added that probably nobody took it although it was near the bottom and valid, and used it to explain that he often runs two BTC setups at once: scalps he does very often (high win rate, low RR) and swings (low win rate, high RR) (msg 149). No exit, close or result was ever posted for this one.</t>
  </si>
  <si>
    <t xml:space="preserve">Weekend bottom-fishing after the gamble long was stopped; BTC was holding the 4h support / 200 EMA region around 77.7k.</t>
  </si>
  <si>
    <t xml:space="preserve">Outcome unknown - he never closed it publicly and never referred to it again after msg 149, while separately running the 05-18 long. The 78,041.30 / 150x card is linked here because msg 142 repeats the 76.9k stop of this idea, but it could equally belong to the msg 135 LTF idea at 78k. still_open_at_end is false because nothing in the log tracks it any further, not because a close was stated.</t>
  </si>
  <si>
    <t xml:space="preserve">#139, #141, #142, #149</t>
  </si>
  <si>
    <t xml:space="preserve">https://discord.com/channels/1042855255089623100/1501271173588193290/1505245889567002787</t>
  </si>
  <si>
    <t xml:space="preserve">2026-05-18 03:50:36</t>
  </si>
  <si>
    <t xml:space="preserve">77k CMP; 50% of size held back for the 76.4k DCA</t>
  </si>
  <si>
    <t xml:space="preserve">76400</t>
  </si>
  <si>
    <t xml:space="preserve">76400 (50% DCA filled, average entry 76.7k and in profit)</t>
  </si>
  <si>
    <t xml:space="preserve">77800 -&gt; 78500</t>
  </si>
  <si>
    <t xml:space="preserve">2026-05-21 04:30:48</t>
  </si>
  <si>
    <t xml:space="preserve">Swing long from 77k with a 76.4k DCA, playing the weekend bottom and the reclaim of the 200 EMA on lower timeframes for a move to 78k+.</t>
  </si>
  <si>
    <t xml:space="preserve">He called it at 77k CMP with a 75.4k stop and no target (msg 145), adding a 50% DCA at 76.4k a minute later (msg 146). Being busy that day, he left contingency instructions for followers - take 20-25% around 77.8k and move the stop to entry if he did not update (msg 147) - but kept managing it himself and reported no changes that evening (msg 148). The DCA filled at 76.4k, taking his average to 76.7k in profit (msg 152). He held through the weekend showing the 150x card at 76,704.70 (msg 160) and pointed to the 200 EMA reclaim as confirmation (msg 162). At around 1R he told members to take partials whenever they liked while stating he personally avoids partials, especially on BTC, and that he was holding for about 78.5k (msg 167). He closed the whole position the next morning at 77,826.30 for +219.32% on 150x: 'BTC closed here, over 1R + with a DCA great profits for me' (msg 170).</t>
  </si>
  <si>
    <t xml:space="preserve">EMA 200</t>
  </si>
  <si>
    <t xml:space="preserve">After the weekend flush; BTC reclaimed the 200 EMA on lower timeframes after about two days, which he read as bullish for the position.</t>
  </si>
  <si>
    <t xml:space="preserve">r_multiple is his own words - 'over 1R' - recorded as 1.0, which understates it slightly; it is not computed from prices. The 77.8k trim and the stop-to-entry move (msg 147) were contingency guidance for followers - he took no partials and never posted a stop move himself. Around this trade (msg 149) he explained he sometimes runs a scalp and a swing BTC setup at the same time, which is why an earlier 05-16 idea may still have been open alongside it.</t>
  </si>
  <si>
    <t xml:space="preserve">#145, #146, #147, #148, #152, #160, #162, #167, #170</t>
  </si>
  <si>
    <t xml:space="preserve">https://discord.com/channels/1042855255089623100/1501271173588193290/1505734318432059444</t>
  </si>
  <si>
    <t xml:space="preserve">2026-05-18 17:05:56</t>
  </si>
  <si>
    <t xml:space="preserve">BOMEUSDT</t>
  </si>
  <si>
    <t xml:space="preserve">0.000599 CMP, framed as a scalp on a shitcoin</t>
  </si>
  <si>
    <t xml:space="preserve">0.00064, 0.000669</t>
  </si>
  <si>
    <t xml:space="preserve">manage your risk; small accounts should close entirely at the first partial</t>
  </si>
  <si>
    <t xml:space="preserve">0.0005998 (to_entry)</t>
  </si>
  <si>
    <t xml:space="preserve">25% at 0.0006203</t>
  </si>
  <si>
    <t xml:space="preserve">2026-05-19 10:30:37</t>
  </si>
  <si>
    <t xml:space="preserve">A scalp on a shitcoin - long BOME at 0.000599 towards 0.00064-0.000669, with the stop set as a 4h close under 0.00055 or a hard 0.00053.</t>
  </si>
  <si>
    <t xml:space="preserve">He opened the scalp at 0.000599 CMP with targets at 0.00064-0.000669 and a hard stop at 0.00053. Twenty minutes in he pointed out BOME was holding its level despite the BTC dump but warned it could still turn. Overnight he banked 25% at 0.0006203 (+80.8% at 25x) and moved the stop to entry, telling small accounts to just close the whole thing there or exit at the first target. By late morning BOME had exploded through the first target and he took profit at 0.000643 for +165.91%.</t>
  </si>
  <si>
    <t xml:space="preserve">BTC dumping while BOME held up</t>
  </si>
  <si>
    <t xml:space="preserve">He does not say whether the 'TP' at 0.000643 closed the rest of the position or was another partial, so the exit is recorded at that level. On 3 Aug (MSG 866) he mentions seeing a BOME short opportunity but explicitly does not take it - no position from that. [AUDIT] Audit: 0.000643 is the mark price on an open-position ROI card, not a close — exit_price cleared to null. The 25% partial comes from "Take 25%" (follower instruction), so it may not be his own action.</t>
  </si>
  <si>
    <t xml:space="preserve">#150, #151, #154, #156</t>
  </si>
  <si>
    <t xml:space="preserve">https://discord.com/channels/1042855255089623100/1501271173588193290/1505934468681306273</t>
  </si>
  <si>
    <t xml:space="preserve">2026-05-18 22:14:08</t>
  </si>
  <si>
    <t xml:space="preserve">ZECUSDT</t>
  </si>
  <si>
    <t xml:space="preserve">544 CMP</t>
  </si>
  <si>
    <t xml:space="preserve">580, 600</t>
  </si>
  <si>
    <t xml:space="preserve">582 ('saw strength and added alot at 582' - the added leg's own card shows entry 580.25. The add happened before this message, which is where he explains the changed average)</t>
  </si>
  <si>
    <t xml:space="preserve">545.99 (to_entry)</t>
  </si>
  <si>
    <t xml:space="preserve">592</t>
  </si>
  <si>
    <t xml:space="preserve">20% at 572.12 | 581.92</t>
  </si>
  <si>
    <t xml:space="preserve">2026-05-20 09:20:47</t>
  </si>
  <si>
    <t xml:space="preserve">Long ZEC at 544 for a push into the 580-600 band - and when it got there he added heavily on strength rather than getting out, then took the whole thing off at 592.</t>
  </si>
  <si>
    <t xml:space="preserve">He called it at 544 CMP with a 505 stop and 580-600 targets. Six hours in, with the 75x card at +358.87%, he took 20% at 572.12 and moved the stop to his 545.99 entry, saving the majority for the targets. At 21:04 the first target hit at 581.92 for what he called about 1R and he booked the majority there, naming 592 as the full exit. He then added a lot at 582 on strength, changing his average - a second card shows that leg entered at 580.25. On the morning of 20 May the 592 exit filled and he was fully out, saying he believed it would go higher but was happy to leave. The added leg's card confirms it closed at 591.75 for +148.59%.</t>
  </si>
  <si>
    <t xml:space="preserve">shit market</t>
  </si>
  <si>
    <t xml:space="preserve">Two entry figures coexist: the card's 545.99 and his own 'the original entry was from 540'. The 1R is his description of the 581.92 take-profit, not a final tally for the trade. Msg 166 is a verbatim repost of msg 163, so the 582 add is counted once.</t>
  </si>
  <si>
    <t xml:space="preserve">#153, #155, #158, #163, #164, #165, #166</t>
  </si>
  <si>
    <t xml:space="preserve">https://discord.com/channels/1042855255089623100/1501271173588193290/1506012029968977950</t>
  </si>
  <si>
    <t xml:space="preserve">2026-05-19 10:48:14</t>
  </si>
  <si>
    <t xml:space="preserve">SUIUSDT</t>
  </si>
  <si>
    <t xml:space="preserve">1.09 CMP, deliberately taken small so there was room to add</t>
  </si>
  <si>
    <t xml:space="preserve">Personally took a small position, scalp; the DCA was optional and only for anyone not already sized up</t>
  </si>
  <si>
    <t xml:space="preserve">None (a small 25% DCA - he only gave the resulting average, 1.076. The separate DCA card in msg 173 shows a 100x leg entered at 1.0481)</t>
  </si>
  <si>
    <t xml:space="preserve">1.0 (widened)</t>
  </si>
  <si>
    <t xml:space="preserve">1.14/1.23</t>
  </si>
  <si>
    <t xml:space="preserve">2026-05-21 05:57:24</t>
  </si>
  <si>
    <t xml:space="preserve">A small scalp long on SUI at 1.09, sized down on purpose so he had room to add into weakness rather than defend a big position.</t>
  </si>
  <si>
    <t xml:space="preserve">He called it as a small scalp at 1.09 CMP with a 1.01 stop and no target. Overnight he widened the stop to 1.00, saying the position was small enough to absorb it, and on the morning of 20 May added a small 25% DCA that brought his average to 1.076 - optional, and only for anyone not already in heavy. On 21 May he finally gave targets: 1.14 for himself, 1.23 for anyone holding longer, with the 50x card at +170.83%. The 1.14 filled less than an hour after he posted it and he called it a good start to the day. A second card shows the DCA leg, a 100x from 1.0481, closing at 1.1401 for +877.77%.</t>
  </si>
  <si>
    <t xml:space="preserve">He ran this on two cards at once - a 50x leg (entry 1.0738) and a 100x DCA leg (entry 1.0481) - which is one position, not two. His stated average after the DCA (1.076) matches neither card exactly, and the DCA fill price was never posted.</t>
  </si>
  <si>
    <t xml:space="preserve">#157, #159, #161, #171, #172, #173</t>
  </si>
  <si>
    <t xml:space="preserve">https://discord.com/channels/1042855255089623100/1501271173588193290/1506201807385264220</t>
  </si>
  <si>
    <t xml:space="preserve">2026-05-20 20:35:41</t>
  </si>
  <si>
    <t xml:space="preserve">BONKUSDT</t>
  </si>
  <si>
    <t xml:space="preserve">0.614 CMP in his quoted scale; he later apologised that the posted entry may be off because of a sharp pump</t>
  </si>
  <si>
    <t xml:space="preserve">0.6323</t>
  </si>
  <si>
    <t xml:space="preserve">20% at 0.006323</t>
  </si>
  <si>
    <t xml:space="preserve">Long BONK at market with a first target at 0.6323 and a 0.578 stop; no reasoning given beyond the momentum.</t>
  </si>
  <si>
    <t xml:space="preserve">He called BONK long at 0.614 CMP with a first target at 0.6323 and a 0.578 stop, then apologised six minutes later that a wicked pump may have made the posted entry unreachable, telling people to take only a small amount of profit at the level given and promising to post when he took a proper TP or exited. Two days later the first target printed and he booked 20-25% at 0.006323 (+199.88% at 75x on his 1000BONK card), explicitly keeping the majority running. He never posted the promised exit for that remainder.</t>
  </si>
  <si>
    <t xml:space="preserve">sharp pump right as the call went out</t>
  </si>
  <si>
    <t xml:space="preserve">Price scale differs between his call and his card: the call quotes 0.614 / 0.6323 / 0.578 while the share card is 1000BONKUSDT at 1/100 of those numbers (entry 0.006158, TP 0.006323). Same trade, two scales - planned_* are in his quoted scale, avg_entry and the partial are card prices. Outcome recorded as a win because he banked a profitable partial; the fate of the majority he 'saved' is never reported. [AUDIT] Audit: outcome graded win is slightly overstated — only 20-25% was booked and the "majority saved" is never accounted for.</t>
  </si>
  <si>
    <t xml:space="preserve">#168, #169, #186</t>
  </si>
  <si>
    <t xml:space="preserve">https://discord.com/channels/1042855255089623100/1501271173588193290/1506712029807775888</t>
  </si>
  <si>
    <t xml:space="preserve">2026-05-21 15:31:36</t>
  </si>
  <si>
    <t xml:space="preserve">77k CMP (msg 178), with a 76k DCA leg</t>
  </si>
  <si>
    <t xml:space="preserve">76000</t>
  </si>
  <si>
    <t xml:space="preserve">78000</t>
  </si>
  <si>
    <t xml:space="preserve">78400</t>
  </si>
  <si>
    <t xml:space="preserve">2026-05-23 08:19:49</t>
  </si>
  <si>
    <t xml:space="preserve">The same setup that had just worked - long 77k with a 76k DCA targeting 78k+ - on a bullish-into-the-weekend view he intended to hold until the 24th-25th.</t>
  </si>
  <si>
    <t xml:space="preserve">He called it at 77k CMP with a DCA at 76k and a 75.3k stop (msgs 177-178) and set the target at 78k+, calling it 'the same last setup playing again' (msg 179). That evening he posted the open card at 77,065.10, +153.7% on 150x, to answer chat claims he was getting rekt (msg 180). He told members they could TP as they liked or bank 10% to cover fees and move the stop to entry (msg 181), but was explicit that he had not taken profit and would not move his own stop: 'Personally didn't move SL to entry, will play full setup either SL or TP (78.4k+)' (msg 182). BTC crashed overnight on the 23rd and this was one of the stops: 'we had a couple stop losses on the crash last night ... BTC hurt especially since it missed our TP by 200$ many times' (msg 193). He then said he was waiting for 74k to long and make the BTC SL back.</t>
  </si>
  <si>
    <t xml:space="preserve">He was publicly bullish on BTC until the weekend of the 24th-25th (msg 176) and was being told in chat he was getting rekt for being long while everyone else was shorting (msg 180).</t>
  </si>
  <si>
    <t xml:space="preserve">The loss is implied rather than stated for this position - msg 193 reports 'a couple stop losses on the crash' and singles BTC out, and msg 198 talks about making the BTC SL back. No exit price or card was posted; 75.3k is the published stop, and the exit time is the announcement, not the actual overnight fill. Whether the 76k DCA filled during the crash is never stated, so the realised loss may be larger than the call implies.</t>
  </si>
  <si>
    <t xml:space="preserve">#177, #178, #179, #180, #181, #182, #193</t>
  </si>
  <si>
    <t xml:space="preserve">https://discord.com/channels/1042855255089623100/1501271173588193290/1506997895264600195</t>
  </si>
  <si>
    <t xml:space="preserve">2026-05-22 11:51:14</t>
  </si>
  <si>
    <t xml:space="preserve">WLDUSDT</t>
  </si>
  <si>
    <t xml:space="preserve">two options - 0.279 on limit or 0.284 at market; his own card shows the 0.284 CMP entry</t>
  </si>
  <si>
    <t xml:space="preserve">0.279</t>
  </si>
  <si>
    <t xml:space="preserve">0.3, 0.32</t>
  </si>
  <si>
    <t xml:space="preserve">Risky because I kept SL closer than usual but worth a shot</t>
  </si>
  <si>
    <t xml:space="preserve">0.284 (to_entry)</t>
  </si>
  <si>
    <t xml:space="preserve">25% at 0.2908</t>
  </si>
  <si>
    <t xml:space="preserve">2026-05-22 18:35:51</t>
  </si>
  <si>
    <t xml:space="preserve">Long WLD with a tighter-than-usual stop, playing for the 0.3-0.32 area.</t>
  </si>
  <si>
    <t xml:space="preserve">He posted the long with two entry options - 0.279 on limit or 0.284 at market - and flagged it as risky because the 0.265 stop was tighter than he normally keeps. Five hours later WLD came within 0.002 of the target without filling it: he told members to bank 25-50% and moved the stop to entry, noting the move was worth 1.5R from the limit entry but only 0.9R from CMP, then added that anyone filled on the limit was already above 1R and could simply close the lot. Two hours after that the first target filled and he closed his whole position - 1.5R from limit, 1R from CMP - while saying he was confident the weekend might still give the full target.</t>
  </si>
  <si>
    <t xml:space="preserve">he expected the weekend to extend the move</t>
  </si>
  <si>
    <t xml:space="preserve">His own entry was the 0.284 CMP fill shown on his card, so his personal result is the 1R figure; the 1.5R he quotes belongs to anyone filled on the 0.279 limit. He never restated the exit price - the closing card shows +542.25% on 100x and the call's first target was 0.3. The 25% partial is recorded from the same message in which he told members to take 25-50%, so his own partial size is uncertain.</t>
  </si>
  <si>
    <t xml:space="preserve">#183, #190, #191, #192</t>
  </si>
  <si>
    <t xml:space="preserve">https://discord.com/channels/1042855255089623100/1501271173588193290/1507304822351855667</t>
  </si>
  <si>
    <t xml:space="preserve">2026-05-22 12:23:13</t>
  </si>
  <si>
    <t xml:space="preserve">XPLUSDT</t>
  </si>
  <si>
    <t xml:space="preserve">0.089 CMP</t>
  </si>
  <si>
    <t xml:space="preserve">0.0946</t>
  </si>
  <si>
    <t xml:space="preserve">A long on XPL at 0.089 for a push to 0.0946. No reasoning was published beyond the levels.</t>
  </si>
  <si>
    <t xml:space="preserve">He called it at 0.089 CMP with a 0.0836 stop and a single 0.0946 target on 22 May, and then never managed it in public. The only trace of how it ended comes the next morning, after an overnight crash, when he mentions in passing that he has 'recovered yesterday's AVAX+XPL loss'. So it was a stop-out - but the exit time, the fill and the size of the loss were never posted.</t>
  </si>
  <si>
    <t xml:space="preserve">overnight crash</t>
  </si>
  <si>
    <t xml:space="preserve">The loss is only ever confirmed retroactively and in passing, inside a message about a different trade. No exit price, exit time or R exists for it, so exit_time is left null rather than set to the confirmation message.</t>
  </si>
  <si>
    <t xml:space="preserve">#185, #210</t>
  </si>
  <si>
    <t xml:space="preserve">https://discord.com/channels/1042855255089623100/1501271173588193290/1507312875109355660</t>
  </si>
  <si>
    <t xml:space="preserve">2026-05-22 16:19:59</t>
  </si>
  <si>
    <t xml:space="preserve">AVAXUSDT</t>
  </si>
  <si>
    <t xml:space="preserve">9.569 CMP</t>
  </si>
  <si>
    <t xml:space="preserve">10</t>
  </si>
  <si>
    <t xml:space="preserve">A slow-mover long on AVAX that looked constructive on all timeframes, targeting the round 10.</t>
  </si>
  <si>
    <t xml:space="preserve">He called AVAX long at 9.569 CMP for a move to 10 with the stop at 9.13, describing it as a slow mover that looked good on all timeframes. The trade is never updated; the only evidence of how it ended is a line the next morning - 'Recovered yesterday's AVAX+XPL loss' - which confirms retroactively that AVAX was a loser on the overnight move.</t>
  </si>
  <si>
    <t xml:space="preserve">An overnight crash took it out.</t>
  </si>
  <si>
    <t xml:space="preserve">The loss is only known from a retrospective one-liner; no exit price, exit time or R was ever posted, so exit_time is null (the stop happened on 22 May, before the 23 May message that reports it). The published 9.13 stop is in planned_stop.</t>
  </si>
  <si>
    <t xml:space="preserve">#188, #210</t>
  </si>
  <si>
    <t xml:space="preserve">https://discord.com/channels/1042855255089623100/1501271173588193290/1507372458070773830</t>
  </si>
  <si>
    <t xml:space="preserve">2026-05-23 08:33:37</t>
  </si>
  <si>
    <t xml:space="preserve">BEATUSDT</t>
  </si>
  <si>
    <t xml:space="preserve">1.286 CMP</t>
  </si>
  <si>
    <t xml:space="preserve">1.08</t>
  </si>
  <si>
    <t xml:space="preserve">Short BEAT (risky) - risky setup but almost 2R TP, worth a shot</t>
  </si>
  <si>
    <t xml:space="preserve">1.27 (into_profit)</t>
  </si>
  <si>
    <t xml:space="preserve">60% at 1.169</t>
  </si>
  <si>
    <t xml:space="preserve">2026-05-23 11:51:29</t>
  </si>
  <si>
    <t xml:space="preserve">A risky short on BEAT at 1.286 - he said the setup was shaky but the 1.08 target was worth almost 2R, so it was worth a shot.</t>
  </si>
  <si>
    <t xml:space="preserve">He called the short at 1.286 CMP, flagging the setup as risky but pointing out the 1.08 target was worth almost 2R. Within an hour it was 1.5R in his favour and he took 60% off at 1.169 (+921.08% on the 100x) specifically to recover one previous stop-loss, then moved the stop into profit at 1.27. It went on to run 2R before coming all the way back, and by late morning the remainder had closed at what he described as breakeven - leaving about 1R banked from the trade as a whole.</t>
  </si>
  <si>
    <t xml:space="preserve">He calls the exit 'BE' even though his stop was at 1.27, which is slightly in profit against the 1.286 entry; no exit fill is ever quoted, so exit_price is left null. The 1R is his own net tally for the trade, and it is scored a win because the 60% at 1.5R was banked.</t>
  </si>
  <si>
    <t xml:space="preserve">#194, #195, #196, #210</t>
  </si>
  <si>
    <t xml:space="preserve">https://discord.com/channels/1042855255089623100/1501271173588193290/1507617478283628544</t>
  </si>
  <si>
    <t xml:space="preserve">2026-05-23 10:35:06</t>
  </si>
  <si>
    <t xml:space="preserve">JCTUSDT</t>
  </si>
  <si>
    <t xml:space="preserve">0.00369</t>
  </si>
  <si>
    <t xml:space="preserve">Half risk trade</t>
  </si>
  <si>
    <t xml:space="preserve">0.004 (to_entry)</t>
  </si>
  <si>
    <t xml:space="preserve">0.00375</t>
  </si>
  <si>
    <t xml:space="preserve">10% at 0.00387</t>
  </si>
  <si>
    <t xml:space="preserve">Short JCT at market on half risk, targeting 0.00369.</t>
  </si>
  <si>
    <t xml:space="preserve">He shorted JCT at 0.004 CMP on half risk with a 0.00426 stop and a 0.00369 target. Eighteen minutes later it had dumped nearly 0.5R; because BTC looked like it might bounce he secured the trade - took 10% off at 0.00387, moved his stop to entry at 0.004 and told members to take 10-20% at most. An hour later he confirmed he was still in, that breakeven had not been hit, moved the target up to 0.00375 for a clean 1R and warned that the setup was no longer valid to enter because the stop now sat at entry. That is the last JCT event in the file; the trade is never reported as closed, stopped or TP'd.</t>
  </si>
  <si>
    <t xml:space="preserve">BTC approaching a possible bounce zone, so he was securing his shorts</t>
  </si>
  <si>
    <t xml:space="preserve">Recorded as a win only because he banked a 10% partial in profit and then had his stop at entry, so the remainder could not lose; the real size of the result is unknown. The file goes silent on JCT after 11:59 on 23 May and never mentions it again in the following three months, so it is treated as ended at an unreported price rather than still running.</t>
  </si>
  <si>
    <t xml:space="preserve">#197, #204, #211</t>
  </si>
  <si>
    <t xml:space="preserve">https://discord.com/channels/1042855255089623100/1501271173588193290/1507648051228180510</t>
  </si>
  <si>
    <t xml:space="preserve">2026-05-23 10:40:27</t>
  </si>
  <si>
    <t xml:space="preserve">ATOMUSDT</t>
  </si>
  <si>
    <t xml:space="preserve">He wanted to short ATOM alongside his other shorts but held off because BTC was approaching a zone where it might bounce.</t>
  </si>
  <si>
    <t xml:space="preserve">He said he kind of wanted to short ATOM too but passed because BTC was approaching its bounce zone. Fourteen minutes later he posted 'Should have shorted' - the move went without him. No entry, stop or target was ever published and no position was opened.</t>
  </si>
  <si>
    <t xml:space="preserve">BTC approaching bounce zone</t>
  </si>
  <si>
    <t xml:space="preserve">Not a formal call - no levels were published, just an idea he declined and then regretted. Included as a not_taken record because it is a directional idea he explicitly considered and skipped.</t>
  </si>
  <si>
    <t xml:space="preserve">#201, #205</t>
  </si>
  <si>
    <t xml:space="preserve">https://discord.com/channels/1042855255089623100/1501271173588193290/1507649400069951499</t>
  </si>
  <si>
    <t xml:space="preserve">2026-05-23 10:45:52</t>
  </si>
  <si>
    <t xml:space="preserve">HYPEUSDT</t>
  </si>
  <si>
    <t xml:space="preserve">CMP; his own fill came a few minutes after he posted, at 54.991</t>
  </si>
  <si>
    <t xml:space="preserve">56.4</t>
  </si>
  <si>
    <t xml:space="preserve">Manual close so small margin - the stop was a 4h close under 53.9, not a resting order</t>
  </si>
  <si>
    <t xml:space="preserve">58</t>
  </si>
  <si>
    <t xml:space="preserve">2026-05-23 11:50:21</t>
  </si>
  <si>
    <t xml:space="preserve">Long HYPE at market with a soft 4h-close stop under 53.9; because the stop had to be managed by hand he told everyone to keep the margin small.</t>
  </si>
  <si>
    <t xml:space="preserve">He called the long at 54.8 CMP with a 56.4 target and a stop defined as a 4h close under 53.9, warning that because the stop was manual the margin should be small. He clarified that 54.8 was current price, then admitted his own fill came late at 54.991 so followers probably had a better entry. Within twelve minutes it was 0.5R up, and about an hour after the call he closed the whole thing at 1.2R, leaving 58 as the next target for anyone still holding. That evening he told holders to trim with 58 as the final target, and the 58 print came at 20:17 - 3R for anyone who held with no partials, 2R for those who trimmed as instructed. He turned it into a lesson: 'this is when taking 100% TP hurts, I exited at 1.1R', while admitting he almost always takes 100% at the first TP.</t>
  </si>
  <si>
    <t xml:space="preserve">He quotes his own exit as 1.2R at the time (msg 209) and as 1.1R when reviewing it later (msg 230); the live 1.2R figure is recorded. No exit price was posted - the closing card shows +204.57% on 100x from 54.991. The 2.5R and 3R figures in msgs 229-230 belong to holders who stayed in after he was out.</t>
  </si>
  <si>
    <t xml:space="preserve">#202, #203, #206, #207, #209, #229, #230</t>
  </si>
  <si>
    <t xml:space="preserve">https://discord.com/channels/1042855255089623100/1501271173588193290/1507650763307094026</t>
  </si>
  <si>
    <t xml:space="preserve">2026-05-23 11:13:43</t>
  </si>
  <si>
    <t xml:space="preserve">entry 1, taken on half risk</t>
  </si>
  <si>
    <t xml:space="preserve">1.05, 1.11</t>
  </si>
  <si>
    <t xml:space="preserve">Half risk - BTC is weak but expecting relief. Followers told to take only 25-40% at TP1 and save the majority for his exit; he takes no partials himself</t>
  </si>
  <si>
    <t xml:space="preserve">1.1</t>
  </si>
  <si>
    <t xml:space="preserve">1.0539</t>
  </si>
  <si>
    <t xml:space="preserve">2026-05-24 00:09:16</t>
  </si>
  <si>
    <t xml:space="preserve">A half-risk long on SUI at 1.00: BTC was weak but he expected a relief bounce, and he had passed on the same setup the day before only because he already had three trades running.</t>
  </si>
  <si>
    <t xml:space="preserve">He had flagged SUI as looking too good on the daily on 22 May but passed because three trades were already running. He took it the next morning at 1.00 on half risk, targets 1.05-1.11, stop 0.95, and by mid-afternoon the 100x card was at +150.91% and he re-posted the call as his only running trade. As it neared TP1 he told the room to take only 25-40% and keep the rest for his exit, saying he takes no partials himself - then when TP1 printed he took nothing at all, saying he would take 25% only when it came back. He did take some at 1.0539 (+524.3%) an hour later and admitted he was close to closing the lot, but held on for what he thought would be a Sunday pump. It ran to 1.0803 (+788.77%) with the target raised to 1.1+, and just after midnight the full target hit for 2R - worth much more than usual, as he pointed out, because they had barely taken anything at TP1. The closing card shows the 100x out at 1.089 for +874.77%.</t>
  </si>
  <si>
    <t xml:space="preserve">BTC weak but he expects relief; he also expected a Sunday pump into the weekend</t>
  </si>
  <si>
    <t xml:space="preserve">Run on two accounts at once - a 100x card (entry 1.0014, closed 1.089) and a 250x card (entry 1.0006, mark 1.0909) - which is one position, not two. Msg 187 is the previous day's pass on the same setup, included as the run-up rather than as a separate not-taken position. The size of the 1.0539 partial is never confirmed, and his '1R soon' card figure is ROI, not R.</t>
  </si>
  <si>
    <t xml:space="preserve">#187, #208, #212, #220, #226, #231, #232, #233, #236, #241, #242</t>
  </si>
  <si>
    <t xml:space="preserve">https://discord.com/channels/1042855255089623100/1501271173588193290/1507368753677992070</t>
  </si>
  <si>
    <t xml:space="preserve">2026-05-23 17:16:47</t>
  </si>
  <si>
    <t xml:space="preserve">75.1k CMP in the written call; his own fill on the challenge account was 75,166.50 and the main-account card shows 75,197.20</t>
  </si>
  <si>
    <t xml:space="preserve">74300</t>
  </si>
  <si>
    <t xml:space="preserve">76600, 78000</t>
  </si>
  <si>
    <t xml:space="preserve">On the 89 USDT challenge account he said he would risk 10-20% per trade and that it must not be copied on a main account (msg 221); the written call is the main-account version. At the first target he told followers to take nothing or 20% at most and wait for him (msg 228).</t>
  </si>
  <si>
    <t xml:space="preserve">72220 (adjustment)</t>
  </si>
  <si>
    <t xml:space="preserve">25% at 77000</t>
  </si>
  <si>
    <t xml:space="preserve">2026-05-24 02:33:55</t>
  </si>
  <si>
    <t xml:space="preserve">Buy the crash to make the BTC stop-loss back - long the 75.1k area with a 74.3k DCA, targeting 76.6-78k with a wide 72.2k stop. It doubled as the first trade of his for-fun 89 USDT BTC-scalp challenge.</t>
  </si>
  <si>
    <t xml:space="preserve">After the crash he said he was waiting for 74k to long and told the group 'No longs before 74k' (msgs 198, 200), then found an 89.36 USDT account and announced a for-fun BTC-scalps-only challenge to double it, warning it should not be copied on main accounts (msg 221). The first scalp went on at 75,166.50 - 0.0090 BTC with a 72.2k stop (msg 222) - with the DCA at 74.3k and the stop restated as 72,220 (msg 223), and he wrote the same trade out as a formal call for main accounts: entry 75.1k CMP, DCA 74.3k, targeting 76.6-78k, SL 72.2k (msgs 224-225). BTC ran straight up without touching the DCA: he told members to take nothing at 76.6k or 20% at most and wait for him (msg 228), then posted the main position at +340% on 150x inviting people to trim wherever they liked (msg 235) and the challenge account up about 20% of its balance at +507% on 200x (msg 239), saying he would stay long into the weekend (msg 240). He trimmed 25% around 77k without announcing it at the time, and closed the rest at 76,609.20 for +281.65% on 150x (msg 246); the challenge account closed for +$12.98, about 15% (msg 247).</t>
  </si>
  <si>
    <t xml:space="preserve">After the overnight crash he expected 72-74k first and then a move to the high 80s (msg 199).</t>
  </si>
  <si>
    <t xml:space="preserve">One position across two accounts - the 89 USDT challenge account (0.0090 BTC, entry 75,166.50) and his main account (75,197.20) - confirmed as 'the same trade I just wrote together for the people taking it on their main accounts' (msg 225), so it is not duplicated. Leverage is inconsistent in his own screenshots: the entry screenshot shows 20x and the later card 200x for the same challenge-account position, while the main card is 150x. He entered at 75.1k after telling the group there should be no longs before 74k. The 25% trim at 77k is above the exit price of the remainder.</t>
  </si>
  <si>
    <t xml:space="preserve">#198, #200, #221, #222, #223, #224, #225, #228, #235, #239, #240, #246, #247</t>
  </si>
  <si>
    <t xml:space="preserve">https://discord.com/channels/1042855255089623100/1501271173588193290/1507648122581680128</t>
  </si>
  <si>
    <t xml:space="preserve">2026-05-23 18:13:54</t>
  </si>
  <si>
    <t xml:space="preserve">FILUSDT</t>
  </si>
  <si>
    <t xml:space="preserve">0.946 limit or 0.955 CMP; the CMP option is the one his closed card shows</t>
  </si>
  <si>
    <t xml:space="preserve">1.0</t>
  </si>
  <si>
    <t xml:space="preserve">2026-05-23 23:42:34</t>
  </si>
  <si>
    <t xml:space="preserve">Long FIL into the 1.00 round number from 0.946-0.955, stop 0.892.</t>
  </si>
  <si>
    <t xml:space="preserve">He called FIL long from either 0.946 or 0.955 CMP with a single target at the 1.00 round number and a 0.892 stop. It ran the same evening: five and a half hours later the target filled and the closed card showed entry 0.955, close 1.000, +14.13% at 3x leverage. Clean call, no management in between.</t>
  </si>
  <si>
    <t xml:space="preserve">Unusually low leverage (3x) compared with the rest of his cards.</t>
  </si>
  <si>
    <t xml:space="preserve">#227, #234</t>
  </si>
  <si>
    <t xml:space="preserve">https://discord.com/channels/1042855255089623100/1501271173588193290/1507763514410930216</t>
  </si>
  <si>
    <t xml:space="preserve">2026-05-24 07:56:03</t>
  </si>
  <si>
    <t xml:space="preserve">76,750 CMP; he had said he wanted 75.7k (msg 248) but entered a full 1k higher five hours later</t>
  </si>
  <si>
    <t xml:space="preserve">75500</t>
  </si>
  <si>
    <t xml:space="preserve">Mid-trade he told followers to DCA 25% at 75.5k (half the current margin) and keep another 25% back for a further DCA (msg 256)</t>
  </si>
  <si>
    <t xml:space="preserve">2026-05-26 17:27:42</t>
  </si>
  <si>
    <t xml:space="preserve">Re-long straight after taking profit because he still thought BTC went to 78-80k, targeting 78k+, with a 4h close above 78.3k opening the 80s.</t>
  </si>
  <si>
    <t xml:space="preserve">Minutes after closing the previous long he said BTC still went higher to 78-80k and that he wanted to re-enter at 75.7k (msg 248), but five hours later he took it 1k higher at 76,754.60 with a 74k stop (msg 249), writing it up as entry 76,750 / DCA 75.5k / SL 74k (msg 250) and targeting 78k+ (msg 252), on both his main account and the 89 USDT mini account (msg 251). During the day he told members to DCA 25% at 75.5k and save another 25% for later (msg 256) - the level never traded, so nothing filled - and pointed out the position was already in profit so sizing could be adjusted (msg 257). He went quiet for a day with personal problems, still holding and waiting for a 4h close above the 200 EMA (msg 258), confirmed he was still in on the 26th (msg 274), and closed that afternoon (msg 275): the main card shows 76,754.60 to 77,906.30, +225.07% on 150x (msg 276), while his 78k TP actually filled at 78,012.90, which he blamed on Blofin closing late (msg 277). The mini account closed the same 0.0090 BTC at 78,012.90 for +11.32 USDT (msgs 278-279), and the fill landed on a single-candle spike to 78,049 that instantly retraced to 76,806 - 'What an EXIT boys! Gotta love this memecoin' (msg 280).</t>
  </si>
  <si>
    <t xml:space="preserve">4h close, EMA 200</t>
  </si>
  <si>
    <t xml:space="preserve">Bullish weekend continuation - he expected 78.8-79.5k on a pump and ultimately the 80s, most likely 82-84k, and wanted a 4h close above the 200 EMA to speed it up.</t>
  </si>
  <si>
    <t xml:space="preserve">Two different exit prints for the same trade: 77,906.30 on the main 150x card (msg 276) and 78,012.90 where the 78k TP filled on Blofin / the mini account (msgs 277, 279); exit_price uses the main card. Exit time is his 'BTC closed' announcement, not the card timestamp. The 75.5k DCA he instructed never traded. One trade across the main account and the 89 USDT challenge account, not two. The exit sits in the LATER CONTEXT section of the log.</t>
  </si>
  <si>
    <t xml:space="preserve">#248, #249, #250, #251, #252, #253, #254, #255, #256, #257, #258, #274, #275, #276, #277, #278, #279, #280</t>
  </si>
  <si>
    <t xml:space="preserve">https://discord.com/channels/1042855255089623100/1501271173588193290/1507889791742644235</t>
  </si>
  <si>
    <t xml:space="preserve">2026-05-25 12:08:46</t>
  </si>
  <si>
    <t xml:space="preserve">he flagged CMP with a 0.28 stop for anyone who wanted it, but said he would wait for a better entry himself and would signal - he got in at 0.302</t>
  </si>
  <si>
    <t xml:space="preserve">half risk trade - only because he was saving 50% for a DCA; he told others they could take normal risk</t>
  </si>
  <si>
    <t xml:space="preserve">0.32/0.33</t>
  </si>
  <si>
    <t xml:space="preserve">30% at 0.3117</t>
  </si>
  <si>
    <t xml:space="preserve">2026-05-25 13:51:28</t>
  </si>
  <si>
    <t xml:space="preserve">2026-05-25 21:35:21</t>
  </si>
  <si>
    <t xml:space="preserve">He thought WLD looked really bullish and would go at least 0.32+, so he waited for a better entry than the CMP he flagged to the group and took it on half risk.</t>
  </si>
  <si>
    <t xml:space="preserve">He told the group WLD looked really bullish and that anyone who wanted could long from CMP with a 0.28 stop, while he waited for a better entry and promised to signal his own. Two hours later he was in at 0.302 on half risk with that same stop, explaining that the half size was only because he was holding 50% back for a DCA and that he expected at least 0.32+. In the evening he took 30% off at 0.3117, set 0.32-0.33 for the rest and said the remainder would be exited whole there. TP2 at 0.32 printed on most exchanges (Blofin's feed missed it) and he closed fully at 0.32 for almost 1R, telling followers they could take 50-70% and leave runners for 0.33-0.34. Forty minutes later WLD reached 0.33 - almost 1.5R for anyone with runners - and he admitted he had scalped it because that is simply what he likes to do.</t>
  </si>
  <si>
    <t xml:space="preserve">The closing card reads 0.3191 while he says he was 'fully out at 0.32'; his stated 0.32 is recorded as the exit. He says he took 30% off and then minutes later refers to '50% remaining', which does not add up - one of the two figures is loose. The DCA he was saving 50% for never happened and no level was ever published. The 1.5R in msg 266 belongs to followers who kept runners.</t>
  </si>
  <si>
    <t xml:space="preserve">#259, #260, #261, #262, #263, #264, #265, #266</t>
  </si>
  <si>
    <t xml:space="preserve">https://discord.com/channels/1042855255089623100/1501271173588193290/1508396400071938109</t>
  </si>
  <si>
    <t xml:space="preserve">2026-05-26 08:42:49</t>
  </si>
  <si>
    <t xml:space="preserve">TAOUSDT</t>
  </si>
  <si>
    <t xml:space="preserve">CMP, 50% of size at the call with the other 50% reserved for a DCA around 270-275</t>
  </si>
  <si>
    <t xml:space="preserve">300.0, 315.0</t>
  </si>
  <si>
    <t xml:space="preserve">half size at entry, 50% held back for the DCA</t>
  </si>
  <si>
    <t xml:space="preserve">271.1 (the reserved 50% add, inside the 270-275 zone he had flagged; confirmed filled in msg 286 where his card shows the blended entry at 276.63)</t>
  </si>
  <si>
    <t xml:space="preserve">265 (tighten) -&gt; 263 (widen)</t>
  </si>
  <si>
    <t xml:space="preserve">282/286</t>
  </si>
  <si>
    <t xml:space="preserve">10% at 280.0</t>
  </si>
  <si>
    <t xml:space="preserve">2026-05-28 07:43:24</t>
  </si>
  <si>
    <t xml:space="preserve">Long TAO at 287 targeting 300-315, sized half at entry with the other half reserved to average in around 270-275.</t>
  </si>
  <si>
    <t xml:space="preserve">He called TAO long at 287 with a 268 stop and 300-315 targets, telling everyone to enter half size because he would add the other half around 270-275. He confirmed he was holding through the 26th; early on the 27th he called the DCA at 271.1 and tightened the stop to 265, and his card then showed the blended entry at 276.63 with the position back in profit. That evening he offloaded just 10% at 280 - purely because the position had got heavy after the DCA - explicitly refused to move the stop to entry since price action was strong, and pulled his exit zone in from 300-315 to 282-286. Overnight he widened the stop again, saying he would hold TAO down to 263 because BTC might bounce from there. It did not: on the morning of the 28th TAO and BTC both stopped out in what he called an insane dump, which he framed as part of the game after a winning streak.</t>
  </si>
  <si>
    <t xml:space="preserve">he expected BTC to bounce; instead an insane dump took both out</t>
  </si>
  <si>
    <t xml:space="preserve">No exit price or R figure was posted for the stop-out; his last stated stop was 263 (msg 288), loosened from the 265 he set at the DCA. The DCA was announced as a 270-275 zone rather than a level, so no planned DCA price is recorded.</t>
  </si>
  <si>
    <t xml:space="preserve">#268, #269, #274, #285, #286, #287, #288, #290</t>
  </si>
  <si>
    <t xml:space="preserve">https://discord.com/channels/1042855255089623100/1501271173588193290/1508706959384117248</t>
  </si>
  <si>
    <t xml:space="preserve">2026-05-26 10:46:30</t>
  </si>
  <si>
    <t xml:space="preserve">RENDERUSDT</t>
  </si>
  <si>
    <t xml:space="preserve">2.33 CMP with 50% of size now and 50% saved for a later DCA whose level was never given</t>
  </si>
  <si>
    <t xml:space="preserve">Don't go too heavy, already too pumped</t>
  </si>
  <si>
    <t xml:space="preserve">50% at 2.416</t>
  </si>
  <si>
    <t xml:space="preserve">2026-05-26 15:22:22</t>
  </si>
  <si>
    <t xml:space="preserve">He normally only longs supports, but AI coins were pumping hard, so he took RENDER at market anyway with half size and a warning not to go heavy.</t>
  </si>
  <si>
    <t xml:space="preserve">He longed RENDER at 2.33 CMP with only half size deployed and half kept for a DCA he never named, stop 2.13, flagging that the coin was already too pumped for his usual support-buying style. Twenty-six seconds later he posted the management plan: a small trim at 0.5R with the majority saved for 1R+. Three hours in he took 50% off at 2.416 for +320.66% at 90x. An hour and a half after that the rest was stopped at 2.13 - 'RENDER stopped after taking 50%' - and he suggested, without taking it himself, that anyone still bullish could re-long with a 2.26 stop for 2.5.</t>
  </si>
  <si>
    <t xml:space="preserve">support</t>
  </si>
  <si>
    <t xml:space="preserve">AI coins pumping hard; RENDER already extended</t>
  </si>
  <si>
    <t xml:space="preserve">Net result depends on sizing he never published: he banked 50% at +320.66% ROI but the remaining half was stopped at a level much further from entry than the trim, so it is recorded as a loss in line with his own framing ('RENDER stopped'). The 0.5R trim plan in MSG 271 is a symbol guess - it was posted 26 seconds after this call but could belong to the TAO long opened two hours earlier. The re-long idea with 2.26 stop for 2.5 is follower guidance he explicitly did not take. exit_price is the stop level from his own call, not a posted fill. [AUDIT] Audit: 2.13 was his stop level, not a posted fill — exit_price cleared to null.</t>
  </si>
  <si>
    <t xml:space="preserve">#270, #271, #273, #274</t>
  </si>
  <si>
    <t xml:space="preserve">https://discord.com/channels/1042855255089623100/1501271173588193290/1508738085016567928</t>
  </si>
  <si>
    <t xml:space="preserve">2026-05-27 03:18:30</t>
  </si>
  <si>
    <t xml:space="preserve">75.9k CMP for 50% of size, 25% for the DCA at 75k, 25% held in reserve</t>
  </si>
  <si>
    <t xml:space="preserve">75000</t>
  </si>
  <si>
    <t xml:space="preserve">77000</t>
  </si>
  <si>
    <t xml:space="preserve">Scaled entry 50/25/25. A second, higher-risk version of the same idea (full size at CMP, SL 74k, no DCA) was run on one of his accounts, but he said he would only count the first setup.</t>
  </si>
  <si>
    <t xml:space="preserve">Buy the dip again straight after banking the previous BTC long at 78k - scale in from 75.9k with a DCA underneath and look for a push back to 77k.</t>
  </si>
  <si>
    <t xml:space="preserve">Roughly ten hours after banking the previous BTC long he called a new one, structured as 50% at 75.9k CMP, 25% at a 75k DCA and 25% kept in reserve, targeting 77k with a 73.5k stop, and gave exact sizes for the 89$ challenge account (0.011 / DCA1 0.006 / DCA2 0.005). Six minutes later he posted a tighter alternative for the aggressive crowd - full size at CMP, no DCA, stop at 74k - saying he was running that version personally on one account but would only score the first setup. Early on the 28th he told the channel BTC might bounce from where it was; about four hours after that the trade was gone: 'TAO and BTC stopped guys, insane dump.' No fill price and no stop-out price were ever posted.</t>
  </si>
  <si>
    <t xml:space="preserve">BTC rolling over after the late-May run to 78k; he had closed the prior long into a single-candle spike the evening before and stayed bullish.</t>
  </si>
  <si>
    <t xml:space="preserve">No exit price given - he only announced the stop, so exit_price is null. Two versions of the same setup were live on different accounts (73.5k stop for the counted setup, 74k stop for his personal high-risk one) and the stop announcement does not say which is being reported; the graded setup is the 73.5k one. Whether the 75k DCA filled is never confirmed, so no average entry is recorded. MSG 288 ('BTC may bounce from here') is assigned here because it falls while this long was open.</t>
  </si>
  <si>
    <t xml:space="preserve">#281, #282, #283, #288, #290</t>
  </si>
  <si>
    <t xml:space="preserve">https://discord.com/channels/1042855255089623100/1501271173588193290/1508987730477060248</t>
  </si>
  <si>
    <t xml:space="preserve">2026-05-28 07:44:12</t>
  </si>
  <si>
    <t xml:space="preserve">73k, taken within a minute of the previous long being stopped; 'go lower than usual'</t>
  </si>
  <si>
    <t xml:space="preserve">75000, 76000</t>
  </si>
  <si>
    <t xml:space="preserve">Half risk - 'This is RISKY that's why I mentioned lower risk, half risk.' Size on the small gamble account was 0.02.</t>
  </si>
  <si>
    <t xml:space="preserve">74200/75000/76000 -&gt; 74300/75000 -&gt; 74500</t>
  </si>
  <si>
    <t xml:space="preserve">25% at 74200</t>
  </si>
  <si>
    <t xml:space="preserve">2026-06-01 16:56:20</t>
  </si>
  <si>
    <t xml:space="preserve">Immediate re-attempt of the long he had just been stopped on, at half size and $2k lower, on the view that BTC should print at least 75k before going down further.</t>
  </si>
  <si>
    <t xml:space="preserve">Under a minute after announcing the previous stop he was back in: 'Trying a BTC long again here @ 73k, SL @ 72k, half risk trade, go lower than usual.' He set the target zone at 75-76k for 'a decent R' and held it through the weekend, reporting he was still in on the 29th. That evening the 150x card showed the position 1R up from 73,141.2 and he offered partials to anyone who wanted them, adding an ideal first TP at 74.2k; a few hours later he took that 25% at 74.2k and stated plainly that the rest would be either a full TP or the stop - 'not moving SL to entry.' On the 31st he published a ladder for anyone still fully in (25% at 74.3k, 75% at 75k) and said he would trim on the smaller account too, then on 1 June nudged his own first tranche up to 74.5k while telling followers 74.3k was the better level. Later that day it was over: 'BTC stopped after TP1 @ 74.2k, held 3 days, above 1R just to get stopped.'</t>
  </si>
  <si>
    <t xml:space="preserve">'Insane dump' on 28 May; he expected one more push into 75-76k over the weekend before further downside.</t>
  </si>
  <si>
    <t xml:space="preserve">Graded a loss rather than a win even though 25% came off in profit at 74.2k: the remaining 75% was stopped at the 72k he had explicitly refused to move, and his own accounting treats it as a stop ('above 1R just to get stopped'), with the June win streak he counts later starting after this trade. No stop-out fill price was posted, so exit_price is null - the stop level was 72k and was never moved. Also run on a smaller account alongside the main one.</t>
  </si>
  <si>
    <t xml:space="preserve">#291, #292, #293, #294, #301, #303, #306, #311, #312, #313</t>
  </si>
  <si>
    <t xml:space="preserve">https://discord.com/channels/1042855255089623100/1501271173588193290/1509416983815393310</t>
  </si>
  <si>
    <t xml:space="preserve">2026-05-28 17:16:30</t>
  </si>
  <si>
    <t xml:space="preserve">A gold trade he ran off-channel; the only thing he says about it is the result.</t>
  </si>
  <si>
    <t xml:space="preserve">He mentioned after the fact that he had 'just did 3R on Gold' and had been about to post it in the channel but was too busy. Nothing else about this trade - direction, entry, stop, target, timing - was ever published; only the 3R result.</t>
  </si>
  <si>
    <t xml:space="preserve">Side unknown (never stated). Entry time unknown, so duration is null; exit_time is the timestamp of the message reporting it, which is contemporaneous ('just did'). The 3R is his own figure.</t>
  </si>
  <si>
    <t xml:space="preserve">#294</t>
  </si>
  <si>
    <t xml:space="preserve">https://discord.com/channels/1042855255089623100/1501271173588193290/1509561007306051786</t>
  </si>
  <si>
    <t xml:space="preserve">2026-05-28 18:48:42</t>
  </si>
  <si>
    <t xml:space="preserve">no entry level was published with the idea - only a 1950 stop; his own fill (1988.23) surfaced two hours later in a share card</t>
  </si>
  <si>
    <t xml:space="preserve">2020, 2030</t>
  </si>
  <si>
    <t xml:space="preserve">just enter small, half risk on trades, market's weak</t>
  </si>
  <si>
    <t xml:space="preserve">1988.23 (to_entry)</t>
  </si>
  <si>
    <t xml:space="preserve">2020/2030</t>
  </si>
  <si>
    <t xml:space="preserve">20% at 2015.08</t>
  </si>
  <si>
    <t xml:space="preserve">2026-05-28 20:49:03</t>
  </si>
  <si>
    <t xml:space="preserve">Offered an ETH long with a 1950 stop despite hating the asset, sized small because the market was weak - then turned out to be in it himself.</t>
  </si>
  <si>
    <t xml:space="preserve">He floated the long with only a 1950 stop and told people to enter small at half risk; two hours later a share card gave him away - he was in it at 1988.23 at 100x and already +165.82%, while mocking ETH as an asset. Next morning he moved the stop to breakeven at his entry because bearish signs had returned after being up well, and by midday he was still holding alongside BTC and ADA. At 12:40 he took 20% off at 2015.08 (+132.39%) with the stop at entry, saying he would exit fully around 2020-2030. That final exit was never posted.</t>
  </si>
  <si>
    <t xml:space="preserve">weak market</t>
  </si>
  <si>
    <t xml:space="preserve">Recorded as a win because he booked a 20% partial at +132.39% with the stop already at entry, so the remainder was at worst flat - but he never posted the full exit, so exit_price/exit_time are null and the final result is not stated. He calls a fresh ETH long on 18 June, so this had ended by then.</t>
  </si>
  <si>
    <t xml:space="preserve">#296, #298, #300, #301, #302</t>
  </si>
  <si>
    <t xml:space="preserve">https://discord.com/channels/1042855255089623100/1501271173588193290/1509584210560815294</t>
  </si>
  <si>
    <t xml:space="preserve">2026-05-28 20:23:18</t>
  </si>
  <si>
    <t xml:space="preserve">ADAUSDT</t>
  </si>
  <si>
    <t xml:space="preserve">0.234 CMP</t>
  </si>
  <si>
    <t xml:space="preserve">0.2386, 0.246</t>
  </si>
  <si>
    <t xml:space="preserve">50% off at the 0.6R level, full exit at 0.246</t>
  </si>
  <si>
    <t xml:space="preserve">0.2386/0.246</t>
  </si>
  <si>
    <t xml:space="preserve">2026-05-30 08:32:55</t>
  </si>
  <si>
    <t xml:space="preserve">A plain CMP long on ADA at 0.234 with a tight 0.226 stop, run as a small-R trade with half planned off at the 0.6R level.</t>
  </si>
  <si>
    <t xml:space="preserve">He called it at 0.234 CMP with a 0.226 stop, and an hour later published the ladder: 50% off at 0.2386, about 0.6R, and a full exit at 0.246. ADA ran at the target overnight and came back without filling, which he noted with some annoyance, and the next morning he confirmed he was still in it alongside BTC and ETH. On 30 May it finally got there - but the card shows the whole 75x position closed at 0.2385 for +134.44%, so everything came off at the 0.6R step rather than the 50/50 ladder he had published.</t>
  </si>
  <si>
    <t xml:space="preserve">Plan and execution differ: he published 50% at 0.2386 and a full exit at 0.246, but the card shows the entire position closed at 0.2385. He never stated a realised R - the 0.6R belongs to the planned level - so none is recorded.</t>
  </si>
  <si>
    <t xml:space="preserve">#297, #299, #300, #301, #307</t>
  </si>
  <si>
    <t xml:space="preserve">https://discord.com/channels/1042855255089623100/1501271173588193290/1509608015559397406</t>
  </si>
  <si>
    <t xml:space="preserve">2026-05-29 19:10:23</t>
  </si>
  <si>
    <t xml:space="preserve">NEARUSDT</t>
  </si>
  <si>
    <t xml:space="preserve">2.56 CMP; billed as the last signal of the month</t>
  </si>
  <si>
    <t xml:space="preserve">A NEAR long at market meant to be the final signal of May, withdrawn a minute later when price ran away from the entry.</t>
  </si>
  <si>
    <t xml:space="preserve">He posted 'Long NEAR, Entry: 2.56 CMP, SL: 2.392, Last signal do the month' and sixty-four seconds later pulled it: 'Sorry guys pumped too fast, you can skip this one, apologies', with price already at 2.603. The signal was withdrawn before anyone could reasonably fill it and NEAR is not mentioned again for four days.</t>
  </si>
  <si>
    <t xml:space="preserve">The retraction message carries an entry figure of 2.565 and a price of 2.603, which may mean he had a fill of his own at 2.565 before withdrawing the call - he never says. Treated as not_taken because he cancelled the idea and never referred to a NEAR position from it.</t>
  </si>
  <si>
    <t xml:space="preserve">#304, #305</t>
  </si>
  <si>
    <t xml:space="preserve">https://discord.com/channels/1042855255089623100/1501271173588193290/1509952053508706365</t>
  </si>
  <si>
    <t xml:space="preserve">2026-05-30 08:46:54</t>
  </si>
  <si>
    <t xml:space="preserve">0.0916 CMP</t>
  </si>
  <si>
    <t xml:space="preserve">half risk himself because XPL is his bad luck coin</t>
  </si>
  <si>
    <t xml:space="preserve">0.0965</t>
  </si>
  <si>
    <t xml:space="preserve">2026-06-02 07:06:26</t>
  </si>
  <si>
    <t xml:space="preserve">A second attempt at the XPL long a week after the first was stopped out, taken at half risk because he calls XPL his bad luck coin.</t>
  </si>
  <si>
    <t xml:space="preserve">He called it at 0.0916 CMP with a 0.0846 stop, at half risk because XPL had burned him before - the previous attempt had been stopped out eight days earlier. The 0.0965 target came two hours later. It survived the dump at the start of June: on 1 June he noted the alts were green again and gave XPL credit for pumping and holding up through the drop, while complaining that it never hits his target. On 2 June it finally did, closing at 0.0958 for 0.8R and +318.52% on the 75x, and he announced he was done with the coin.</t>
  </si>
  <si>
    <t xml:space="preserve">took it through the start-of-June dump</t>
  </si>
  <si>
    <t xml:space="preserve">The 0.0965 target was never quite reached - the card shows the close at 0.0958, which he counted as the TP and as 0.8R.</t>
  </si>
  <si>
    <t xml:space="preserve">#308, #309, #320, #327</t>
  </si>
  <si>
    <t xml:space="preserve">https://discord.com/channels/1042855255089623100/1501271173588193290/1510157536307839146</t>
  </si>
  <si>
    <t xml:space="preserve">2026-05-31 15:24:11</t>
  </si>
  <si>
    <t xml:space="preserve">82.69 CMP, swing</t>
  </si>
  <si>
    <t xml:space="preserve">87.69</t>
  </si>
  <si>
    <t xml:space="preserve">A swing long on SOL from 82.69 with a 5-point target and a wide 78 stop.</t>
  </si>
  <si>
    <t xml:space="preserve">He called the SOL swing long at 82.69 CMP, TP 87.69, SL 78, and then never updated it. The stop-out surfaces only in a month-to-date tally two days later - 'The month just started, 3 TPs (XPL, RAY, BNB), 1 SL (SOL) so far' - which is the sole record that this trade was the loser.</t>
  </si>
  <si>
    <t xml:space="preserve">Outcome inferred from the 2 June recap naming SOL as June's only SL; no exit price or timestamp was ever posted, so exit_time and duration are null. The published 78 stop is in planned_stop.</t>
  </si>
  <si>
    <t xml:space="preserve">#310, #335</t>
  </si>
  <si>
    <t xml:space="preserve">https://discord.com/channels/1042855255089623100/1501271173588193290/1510619906905735301</t>
  </si>
  <si>
    <t xml:space="preserve">2026-06-01 16:57:12</t>
  </si>
  <si>
    <t xml:space="preserve">RAYUSDT</t>
  </si>
  <si>
    <t xml:space="preserve">0.697 CMP; he later noted followers likely got a better fill near 0.69 because it dumped as the call went out</t>
  </si>
  <si>
    <t xml:space="preserve">0.719, 0.731</t>
  </si>
  <si>
    <t xml:space="preserve">2026-06-01 21:18:51</t>
  </si>
  <si>
    <t xml:space="preserve">Long RAY from 0.697 CMP towards 0.719-0.731 with a 0.6746 stop; no reasoning published.</t>
  </si>
  <si>
    <t xml:space="preserve">He called RAY long at 0.697 CMP with targets at 0.719-0.731. It dipped first, then came back green along with his other alts by evening. His TP1 limit missed filling by 0.0001, so he took profit manually at 0.7128 from an average of 0.7005 for +35.2% at 20x. He shrugged it off as not the best trade but all he could get in that market, and pointed out that anyone who took the call after the dump to 0.69 had a better entry than his.</t>
  </si>
  <si>
    <t xml:space="preserve">poor market - 'going to take whatever I can get in this market'</t>
  </si>
  <si>
    <t xml:space="preserve">The close message carries no portion figure; read as a full exit since he calls it 'taking TP here' and never mentions RAY again.</t>
  </si>
  <si>
    <t xml:space="preserve">#314, #320, #323, #324</t>
  </si>
  <si>
    <t xml:space="preserve">https://discord.com/channels/1042855255089623100/1501271173588193290/1511005703178031205</t>
  </si>
  <si>
    <t xml:space="preserve">2026-06-01 17:50:57</t>
  </si>
  <si>
    <t xml:space="preserve">BNBUSDT</t>
  </si>
  <si>
    <t xml:space="preserve">680, initially posted as an idea he was not taking himself</t>
  </si>
  <si>
    <t xml:space="preserve">Explicitly 'not a signal'; when he did enter he told members to manage risk and not to be a hero.</t>
  </si>
  <si>
    <t xml:space="preserve">700</t>
  </si>
  <si>
    <t xml:space="preserve">20% at None</t>
  </si>
  <si>
    <t xml:space="preserve">2026-06-01 19:23:14</t>
  </si>
  <si>
    <t xml:space="preserve">BNB looked like a good long around 680 with a 652 stop - offered to members hunting longs before he talked himself into taking it.</t>
  </si>
  <si>
    <t xml:space="preserve">He posted BNB at 680 with SL 652 as an explicit non-signal - 'I'm not personally taking it but if anyone wants to try' - then an hour and a half later changed his mind: 'Okay I'm trying this too, just manage your risk guys, no need to be a hero.' By evening BNB was back green alongside XPL and RAY, and at nearly 1R up (card: 75x, entry 676.49, mark 693.96, +193.70%) he told members to take TP whenever they were happy while he aimed for 700+. At 1.2R, with the mark at 701.97, he advised taking only 10-20% and saving the majority; the next midday he confirmed his own trim - 'I'll keep BNB running, till SL or TP, took 20% on top.' The runner's exit was never posted, but the 2 June month-to-date recap counts BNB among the three TPs of the month.</t>
  </si>
  <si>
    <t xml:space="preserve">No closing price or time was ever published for the 80% runner - the win is read from the 2 June recap ('3 TPs (XPL, RAY, BNB)'), which is also why exit_time is null. It is unclear whether the 20% he reports on 2 June is the same trim as the 10-20% he advised at 1.2R the night before, so only one partial is recorded. His stated 1.0R and 1.2R marks are progress figures, not a result, so r_multiple is left null.</t>
  </si>
  <si>
    <t xml:space="preserve">#317, #319, #320, #325, #326, #330, #335</t>
  </si>
  <si>
    <t xml:space="preserve">https://discord.com/channels/1042855255089623100/1501271173588193290/1511019230542299289</t>
  </si>
  <si>
    <t xml:space="preserve">2026-06-01 20:37:01</t>
  </si>
  <si>
    <t xml:space="preserve">71.5k CMP</t>
  </si>
  <si>
    <t xml:space="preserve">74000, 75000</t>
  </si>
  <si>
    <t xml:space="preserve">'Catching a falling knife here but can get a nice R'</t>
  </si>
  <si>
    <t xml:space="preserve">2026-06-01 21:12:12</t>
  </si>
  <si>
    <t xml:space="preserve">Knife-catch long into the sell-off at 71.5k for a quick run at 74-75k, taken knowing it was against the trend.</t>
  </si>
  <si>
    <t xml:space="preserve">Under four hours after the previous BTC long stopped he called another at 71.5k CMP with a 70k stop and 74-75k targets, admitting outright that he was catching a falling knife but liked the R. Thirty-five minutes later he pulled it: 'Closing BTC here, will long again after daily closing better play safe too many trades running.' The card shows entry 71,514.9, close 71,551.3, +7.63% at 150x - effectively flat. He never did re-enter after the daily close; the next BTC idea, published the following morning, was $2k lower.</t>
  </si>
  <si>
    <t xml:space="preserve">daily close</t>
  </si>
  <si>
    <t xml:space="preserve">Sharp downtrend; he had just been stopped on the 73k long a few hours earlier and had too many other trades running.</t>
  </si>
  <si>
    <t xml:space="preserve">Closed marginally green (+7.63% leveraged ROI, about $36 of BTC price), so it is recorded as breakeven rather than a win. This is consistent with his own accounting: on 5 June he calls the trade he was about to take a shot at a '3rd win in a row', which counts back only to the two 4 June trades, not to this one.</t>
  </si>
  <si>
    <t xml:space="preserve">#321, #322</t>
  </si>
  <si>
    <t xml:space="preserve">https://discord.com/channels/1042855255089623100/1501271173588193290/1511061018749571203</t>
  </si>
  <si>
    <t xml:space="preserve">2026-06-02 08:31:10</t>
  </si>
  <si>
    <t xml:space="preserve">FETUSDT</t>
  </si>
  <si>
    <t xml:space="preserve">0.276 CMP, taken late in the move</t>
  </si>
  <si>
    <t xml:space="preserve">0.3, 0.35</t>
  </si>
  <si>
    <t xml:space="preserve">better if you use half risk here as it's already too pumped, but your choice</t>
  </si>
  <si>
    <t xml:space="preserve">A bit late to the party on the AI move, so he took a swing long on FET at 0.276 towards 0.3-0.35 with halved size.</t>
  </si>
  <si>
    <t xml:space="preserve">He posted the swing long at 0.276 CMP with targets at 0.3-0.35 and a 0.249 stop, telling people to use half risk because the coin was already too pumped. There is no follow-up of any kind in the log - no update, no partial, no stop-out, no close.</t>
  </si>
  <si>
    <t xml:space="preserve">FET already extended - 'a bit late to the party'</t>
  </si>
  <si>
    <t xml:space="preserve">Single event for this symbol in the whole log. No fill, no exit, no outcome is ever stated.</t>
  </si>
  <si>
    <t xml:space="preserve">#328</t>
  </si>
  <si>
    <t xml:space="preserve">https://discord.com/channels/1042855255089623100/1501271173588193290/1511240742251663465</t>
  </si>
  <si>
    <t xml:space="preserve">2026-06-02 11:51:30</t>
  </si>
  <si>
    <t xml:space="preserve">69.3k CMP, corrected to 69.4k four minutes later; first published 73 minutes earlier as a 69,446 idea he said he was not taking</t>
  </si>
  <si>
    <t xml:space="preserve">73000</t>
  </si>
  <si>
    <t xml:space="preserve">The version he published for followers at 11:51 was half risk with a 68k stop and 73-74k targets, 'if I enter you can increase it to normal sized'. When he did enter he ran a much wider 66.5k stop.</t>
  </si>
  <si>
    <t xml:space="preserve">2026-06-02 13:04:58</t>
  </si>
  <si>
    <t xml:space="preserve">Long BTC from just under 69.5k for a run back to 73k after the slide - floated first as an idea for the group, then taken himself an hour later.</t>
  </si>
  <si>
    <t xml:space="preserve">At 11:51 he posted the level as something for other people - entry 69,446, TPs 73-74k, SL 68k - and said explicitly 'I'm not entering this myself but I think it's worth a try', telling followers to halve risk unless he joined. Seventy-three minutes later he joined: 'Long BTC / Entry: 69.3k CMP / TP: 73k / SL: 66.5k', corrected four minutes after that to 69.4k. Then nothing. The log contains no close, no stop announcement and no PnL card for this trade. The next BTC message, more than twenty hours later, is a fresh call for a long at 67.3k with its own targets and stop, and BTC went on to trade under 65k by the following morning - well through the 66.5k stop.</t>
  </si>
  <si>
    <t xml:space="preserve">BTC grinding lower through early June; he kept trying longs into weakness on successively lower levels.</t>
  </si>
  <si>
    <t xml:space="preserve">The single genuinely unresolved position in this window. The events never say how it ended, so outcome is 'unknown' - but price traded far below the stated 66.5k stop within about a day, no card matching a ~69.4k entry appears in the ten-card win-streak recap of 12 June, and he never counts it as a win, so a silent stop-out is by far the most likely ending. The 11:51 plan (msg 329) is folded in here rather than recorded as a separate 'not_taken' call, because it is the same idea at the same level that he took himself an hour later; note that the follower version carried a tighter 68k stop and wider 73-74k targets than what he actually ran.</t>
  </si>
  <si>
    <t xml:space="preserve">#329, #331, #332</t>
  </si>
  <si>
    <t xml:space="preserve">https://discord.com/channels/1042855255089623100/1501271173588193290/1511291159975035012</t>
  </si>
  <si>
    <t xml:space="preserve">2026-06-02 17:35:43</t>
  </si>
  <si>
    <t xml:space="preserve">SEIUSDT</t>
  </si>
  <si>
    <t xml:space="preserve">0.067 CMP</t>
  </si>
  <si>
    <t xml:space="preserve">0.07, 0.072</t>
  </si>
  <si>
    <t xml:space="preserve">Split exit planned: 25% at 0.070, 75% at 0.072.</t>
  </si>
  <si>
    <t xml:space="preserve">0.0627 (hard_stop_widened)</t>
  </si>
  <si>
    <t xml:space="preserve">Long SEI from 0.067 with a two-stage exit, backed by an expected bounce off the 200 EMA.</t>
  </si>
  <si>
    <t xml:space="preserve">He called SEI long at 0.067 CMP with TPs at 0.070 (25%) and 0.072 (75%) and a 0.0632 stop. Five hours later, with the trade offside, he said he would wait for the 4h close and close manually for breakeven, would exit if the 4h closed under 0.064, and expected a bounce back to entry off the 200 EMA. Ten minutes after that he widened the hard stop slightly to 0.0627 so a crash wick could not liquidate anyone. Nothing more about SEI is ever posted.</t>
  </si>
  <si>
    <t xml:space="preserve">4h close, 200 EMA</t>
  </si>
  <si>
    <t xml:space="preserve">The log simply drops this trade after 2 June - no close, no stop-out, no mention in any later recap - so the outcome is unknown. still_open_at_end is set false because he clearly was not carrying it through the following months, not because a close was recorded.</t>
  </si>
  <si>
    <t xml:space="preserve">#333, #337, #338</t>
  </si>
  <si>
    <t xml:space="preserve">https://discord.com/channels/1042855255089623100/1501271173588193290/1511377784063262893</t>
  </si>
  <si>
    <t xml:space="preserve">2026-06-02 20:57:49</t>
  </si>
  <si>
    <t xml:space="preserve">2.64 CMP, offered as an idea rather than an official signal</t>
  </si>
  <si>
    <t xml:space="preserve">2.9, 3.0</t>
  </si>
  <si>
    <t xml:space="preserve">Offered as 'if anyone wants to try'; he said he would not count it in his official stats.</t>
  </si>
  <si>
    <t xml:space="preserve">2026-06-02 23:06:42</t>
  </si>
  <si>
    <t xml:space="preserve">2026-06-03 13:55:38</t>
  </si>
  <si>
    <t xml:space="preserve">He expected NEAR to pump about 10% if BTC stabilised, and turned that view into a long with the stop under the recent low at 2.43, riding toward 2.9-3.</t>
  </si>
  <si>
    <t xml:space="preserve">Two hours after saying NEAR would pump around +10% if BTC stabilised, he framed the trade: stop under the recent low at 2.43, CMP 2.64, ride until 2.9-3 while taking TPs along the way. By the next morning it was 1R up (his 75x card: entry 2.643, mark 2.845, +574.24%) and he told anyone who had taken it to book 50% there, while stating that he himself would close the full position around 3. He held the lot and exited everything at 2.897 that afternoon - 'TP hit... pumped exactly 10% as mentioned!' - and two minutes later put the result at 1.6R, worth about two stop-losses, but said he would not count it because it had been an idea rather than a signal.</t>
  </si>
  <si>
    <t xml:space="preserve">recent low</t>
  </si>
  <si>
    <t xml:space="preserve">Conditional on BTC stabilising.</t>
  </si>
  <si>
    <t xml:space="preserve">The 50% partial at 1R was guidance for followers - he explicitly said he would close full around 3 - so no partial is recorded against his own execution. He excludes this trade from his official TP/SL record.</t>
  </si>
  <si>
    <t xml:space="preserve">#336, #339, #342, #347, #349</t>
  </si>
  <si>
    <t xml:space="preserve">https://discord.com/channels/1042855255089623100/1501271173588193290/1511428643211972619</t>
  </si>
  <si>
    <t xml:space="preserve">2026-06-03 09:39:45</t>
  </si>
  <si>
    <t xml:space="preserve">67.3k CMP - he had to clarify twice that it was a market long, blaming a typing mistake</t>
  </si>
  <si>
    <t xml:space="preserve">66550</t>
  </si>
  <si>
    <t xml:space="preserve">69000, 70000</t>
  </si>
  <si>
    <t xml:space="preserve">Opened with a soft stop only (manual close on a 4h close under 64.4k), swapped for a hard 65.3k 'to improve R and avoid soft SL', then back to a soft 4h-close stop at 64.6k plus an unspecified hard stop 'somewhere around 63-64k' purely to avoid a liquidation wick.</t>
  </si>
  <si>
    <t xml:space="preserve">65300 (tighten_hard_stop) -&gt; 65000 (tighten) -&gt; 64600 (soft_4h_close) -&gt; 63000 (widen_personal_hold)</t>
  </si>
  <si>
    <t xml:space="preserve">69300</t>
  </si>
  <si>
    <t xml:space="preserve">2026-06-04 03:03:12</t>
  </si>
  <si>
    <t xml:space="preserve">Another dip-buy on the way down: long from 67.3k with a 66,550 DCA underneath, on the view that 64.6k was 'the last near biggest support of BTC' and had to hold.</t>
  </si>
  <si>
    <t xml:space="preserve">He called the long at 67.3k CMP with 69-70k targets and only a soft invalidation - a manual close on a 4h close under 64.4k. Three hours later he restructured it: a 50% DCA at 66,550, the target tightened to a single 69.3k, and the soft stop replaced by a hard 65.3k 'to improve R and avoid soft SL'. He tightened again to 65k that evening, then reversed near midnight and went back to a soft line - a 4h close under 64.6k - advising a hard stop somewhere around 63-64k only to avoid a liquidation wick. At 03:03 on the 4th the candle closed below it: 'BTC closed below the manual SL you guys can exit if you can't risk no more.' He did not exit with them - 'I'LL PERSONALLY HOLD TILL 63K I believe a temporary bounce is coming' - but ninety minutes later he was opening a fresh long at 62.8k, so his own 63k line had gone too.</t>
  </si>
  <si>
    <t xml:space="preserve">4h close, support/resistance, liquidation levels</t>
  </si>
  <si>
    <t xml:space="preserve">Continued grind lower through 3 June; he was stacking long attempts as price fell.</t>
  </si>
  <si>
    <t xml:space="preserve">No exit price anywhere; the stop is taken from his own announcement that the manual SL had been broken, and the exit time is that announcement. A clear case of guidance diverging from his own action - he told members to close and kept holding to 63k himself, which price then took out (he was longing at 62.8k an hour and a half later). Whether the 66,550 DCA filled is never confirmed, so no average entry is recorded. Worth flagging that this stop and the 1 June one both contradict his later claim (msg 550, 18 June) of the 'first SL of the month on BTC'.</t>
  </si>
  <si>
    <t xml:space="preserve">#343, #344, #345, #346, #355, #364, #365, #368</t>
  </si>
  <si>
    <t xml:space="preserve">https://discord.com/channels/1042855255089623100/1501271173588193290/1511620390772801659</t>
  </si>
  <si>
    <t xml:space="preserve">2026-06-03 14:15:43</t>
  </si>
  <si>
    <t xml:space="preserve">DEXEUSDT</t>
  </si>
  <si>
    <t xml:space="preserve">18</t>
  </si>
  <si>
    <t xml:space="preserve">high risk high reward trade</t>
  </si>
  <si>
    <t xml:space="preserve">17.5</t>
  </si>
  <si>
    <t xml:space="preserve">2026-06-03 19:47:24</t>
  </si>
  <si>
    <t xml:space="preserve">An updated DEXE short engineered so that the 18 target was worth exactly 2R - high risk, high reward.</t>
  </si>
  <si>
    <t xml:space="preserve">He posted the short at 21.53 CMP with the setup deliberately built so the 18 target paid 2R, stop 23.56. Four hours later DEXE was 1.1R onside and he told members they could trim but no more than 25-30% - he took nothing himself. An hour after that it was 1.6R: he pulled his 18 TP off, saying he would close manually and try for around 3R at 17.5. Forty minutes later he closed the entire short at 18.53 for +1.6R with no partials, explaining that support was forming with the 4h EMA 50 right there and price would hold or bounce if BTC recovered. Under an hour after that 17.464 printed - his extended target - and he admitted he should have held, then moved on.</t>
  </si>
  <si>
    <t xml:space="preserve">support/resistance, EMA</t>
  </si>
  <si>
    <t xml:space="preserve">he expected BTC to recover, which would support DEXE</t>
  </si>
  <si>
    <t xml:space="preserve">The 25-30% trim in msg 354 was guidance for members, not his own action - he confirms at the close that he took no partials and banked the full 1.6R in one go.</t>
  </si>
  <si>
    <t xml:space="preserve">#350, #354, #355, #356, #357, #360</t>
  </si>
  <si>
    <t xml:space="preserve">https://discord.com/channels/1042855255089623100/1501271173588193290/1511689839416705036</t>
  </si>
  <si>
    <t xml:space="preserve">2026-06-03 15:59:26</t>
  </si>
  <si>
    <t xml:space="preserve">never_filled</t>
  </si>
  <si>
    <t xml:space="preserve">Entry limit at 4474 - never filled</t>
  </si>
  <si>
    <t xml:space="preserve">4400</t>
  </si>
  <si>
    <t xml:space="preserve">'RISKY but worth the RR. (Almost 5)'. Posted for the forex traders who asked in chat; he said he would not count it in the crypto TP/SL record.</t>
  </si>
  <si>
    <t xml:space="preserve">2026-06-03 16:49:05</t>
  </si>
  <si>
    <t xml:space="preserve">A risky but high-RR gold short from a 4474 limit down to 4400, posted for the channel's forex traders.</t>
  </si>
  <si>
    <t xml:space="preserve">He posted a limit short on gold at 4474 with TP 4400 and SL 4491, calling it risky but worth an almost-5 RR, and noted it would not count toward his crypto TP/SL record. Fifty minutes later he cancelled it: price had front-run the entry by $4 and gone without him - 'Cancelled, up 2.5R already, missed by 4$ front ran.' He replaced it half an hour later with a fresh short at market (see the 17:22 position).</t>
  </si>
  <si>
    <t xml:space="preserve">The 2.5R he quotes is what the setup made without him, not a result he banked, so r_multiple stays null. planned_r 5 records his own 'Almost 5' RR estimate.</t>
  </si>
  <si>
    <t xml:space="preserve">#351, #352</t>
  </si>
  <si>
    <t xml:space="preserve">https://discord.com/channels/1042855255089623100/1501271173588193290/1511715940830547979</t>
  </si>
  <si>
    <t xml:space="preserve">2026-06-03 17:22:07</t>
  </si>
  <si>
    <t xml:space="preserve">4452 CMP</t>
  </si>
  <si>
    <t xml:space="preserve">4427</t>
  </si>
  <si>
    <t xml:space="preserve">Half risk - riskier than the cancelled 4474 setup because the initial entry had already front-run half the target. Not counted in the crypto TP/SL record.</t>
  </si>
  <si>
    <t xml:space="preserve">4452 (to_entry)</t>
  </si>
  <si>
    <t xml:space="preserve">2026-06-03 23:38:18</t>
  </si>
  <si>
    <t xml:space="preserve">Re-entry of the gold short he had just cancelled, taken at market at 4452 for a shorter 4427 target because the move had already run half its distance without him.</t>
  </si>
  <si>
    <t xml:space="preserve">Half an hour after cancelling the 4474 limit he shorted gold at 4452 CMP with TP 4427 and SL 4468, telling members to use half risk since the move had already front-run half its target. Within two hours it had moved 1R; he told members they could book some and move the stop to entry for safety. An hour later he clarified his own position: 'Still in gold didn't hit BE, it's SL or TP for me' - he was holding the full size for one of the two levels. At 23:38 he called the exit for everyone still in: 'If anyone was hold XAU, exit here, up 1R exactly!'</t>
  </si>
  <si>
    <t xml:space="preserve">He exited at 1R, not at the 4427 target (1R from 4452 with a 4468 stop is around 4436), so this is a manual close rather than a TP. No fill price was ever stated - only 'up 1R exactly', which is his own figure. The book-some-here suggestion at 19:55 was follower guidance; msg 359 shows he took no partial himself.</t>
  </si>
  <si>
    <t xml:space="preserve">#353, #355, #358, #359, #366</t>
  </si>
  <si>
    <t xml:space="preserve">https://discord.com/channels/1042855255089623100/1501271173588193290/1511736749364351158</t>
  </si>
  <si>
    <t xml:space="preserve">2026-06-03 21:05:13</t>
  </si>
  <si>
    <t xml:space="preserve">PHAUSDT</t>
  </si>
  <si>
    <t xml:space="preserve">0.038 CMP, explicitly a scalp</t>
  </si>
  <si>
    <t xml:space="preserve">0.04, 0.042</t>
  </si>
  <si>
    <t xml:space="preserve">just a scalp, will TP around 0.5-0.7R; cut to half risk after the partial</t>
  </si>
  <si>
    <t xml:space="preserve">30% at 0.04</t>
  </si>
  <si>
    <t xml:space="preserve">An openly small scalp on PHA at 0.038 with a modest, stated ambition - 0.5-0.7R, roughly 0.04-0.042.</t>
  </si>
  <si>
    <t xml:space="preserve">He called it at 0.038 CMP as an explicit scalp with a 0.034 stop and a stated ambition of 0.5-0.7R, around 0.04-0.042. An hour later it hit 0.04 for 0.5R, he took 30% off and said he would close the rest soon, adding that anyone who dislikes partials could take the whole 0.5R win there. Two hours after that he was still holding, now at half risk, saying the plan was still valid and members could re-enter. The remainder is never resolved - PHA does not appear in the log again.</t>
  </si>
  <si>
    <t xml:space="preserve">The 0.5R applies to the 30% he booked, not to the whole trade; the rest was still open when PHA dropped out of the log, so no exit exists. He tells followers he dislikes partials in the same breath as taking one.</t>
  </si>
  <si>
    <t xml:space="preserve">#361, #362, #363, #367</t>
  </si>
  <si>
    <t xml:space="preserve">https://discord.com/channels/1042855255089623100/1501271173588193290/1511792892069281883</t>
  </si>
  <si>
    <t xml:space="preserve">2026-06-04 04:33:47</t>
  </si>
  <si>
    <t xml:space="preserve">62.8k, 'Gonna keep longing until I get something'; the stop was edited closer at entry</t>
  </si>
  <si>
    <t xml:space="preserve">'I went heavy' - oversized relative to his usual scalp.</t>
  </si>
  <si>
    <t xml:space="preserve">2026-06-04 08:52:37</t>
  </si>
  <si>
    <t xml:space="preserve">Having just been stopped on the 67.3k long, he kept firing long attempts into the flush convinced a temporary bounce was coming - this one caught it from 62.8k.</t>
  </si>
  <si>
    <t xml:space="preserve">Ninety minutes after telling the group his previous BTC long had broken its manual SL, he opened a new one: 'Longed BTC @ 62.8k, SL 60k, Gonna keep longing until I get something', noting he had edited the stop closer. He sized it heavily. Just over four hours later he took the whole thing off into the bounce - 'Closing here for 0.5R, I went heavy' - the 250x card showing average entry 63,094.1, close 64,082.2 and +363.26%. This is the first of the run of BTC wins he counted for the rest of June.</t>
  </si>
  <si>
    <t xml:space="preserve">Capitulation flush into the low 62s on 4 June, immediately after he declared the previous long stopped.</t>
  </si>
  <si>
    <t xml:space="preserve">The announced entry was 62.8k but the closed card averages 63,094.1, so there were fills above the quoted level or an add he did not narrate. The same card is reposted without text on 15 June (msg 487) and is one of the ten enumerated in the 12 June win-streak recap (msg 473). The 0.5R is his own stated figure, not computed.</t>
  </si>
  <si>
    <t xml:space="preserve">#369, #370, #473, #487</t>
  </si>
  <si>
    <t xml:space="preserve">https://discord.com/channels/1042855255089623100/1501271173588193290/1511905780536967279</t>
  </si>
  <si>
    <t xml:space="preserve">2026-06-04 13:22:03</t>
  </si>
  <si>
    <t xml:space="preserve">62.8k CMP, 'same setup' as the trade he had just closed; only half the intended size deployed</t>
  </si>
  <si>
    <t xml:space="preserve">Half size in at entry with 50% held back for a possible DCA - no DCA level was ever published.</t>
  </si>
  <si>
    <t xml:space="preserve">None (added 25%, average moved to 62.7k - the add price itself was never given)</t>
  </si>
  <si>
    <t xml:space="preserve">2026-06-04 15:33:44</t>
  </si>
  <si>
    <t xml:space="preserve">Immediate re-run of the trade that had just worked - the identical 62.8k long, half size in and half saved to average down, treated openly as a scalp.</t>
  </si>
  <si>
    <t xml:space="preserve">Four and a half hours after banking the first 62.8k long he re-opened the identical setup: 'Longed BTC again from 62.8k same setup, get in CMP', stop 59k, with only half the size deployed because he might DCA. An hour and twenty minutes later he added 25%, taking the average to 62.7k without saying where he added. Fifty minutes after that he was out: 'Closing BTC @ 63.6k with a DCA in, good gains for a scalp!' The announced 250x read +151.99%, and a textless Blofin card twenty minutes later showed the same trade on a second account at 141x, 62,711.2 into 63,567.7 for +192.56%.</t>
  </si>
  <si>
    <t xml:space="preserve">Bounce underway off the 4 June flush; he had banked the same setup four hours earlier.</t>
  </si>
  <si>
    <t xml:space="preserve">Run on at least three accounts: the 250x he announces, the 141x Blofin card (msg 377), and a 250x card in the 12 June recap showing 62,805 into 63,582.5 for +284.66% (msg 473). The quoted ROIs are not mutually consistent for a single price move, so each should be read as that account's own figure. avg_entry is taken from the Blofin card (62,711.2), which matches the 62.7k he stated verbally; exit_price is his own announced 63.6k, with the card showing 63,567.7.</t>
  </si>
  <si>
    <t xml:space="preserve">#371, #372, #373, #374, #375, #376, #377, #473</t>
  </si>
  <si>
    <t xml:space="preserve">https://discord.com/channels/1042855255089623100/1501271173588193290/1512038721678217308</t>
  </si>
  <si>
    <t xml:space="preserve">2026-06-05 06:54:21</t>
  </si>
  <si>
    <t xml:space="preserve">17.5, 18</t>
  </si>
  <si>
    <t xml:space="preserve">high risk, high reward - he intended to hold for the full 2R rather than trim</t>
  </si>
  <si>
    <t xml:space="preserve">2026-06-08 14:08:57</t>
  </si>
  <si>
    <t xml:space="preserve">Round two on the DEXE short after the first one paid, aiming at the same 17.5-18 zone and holding for a full 2R this time.</t>
  </si>
  <si>
    <t xml:space="preserve">Two days after banking the first DEXE short he took round two at 20.63 CMP, targeting 17.5-18 again with a 22.606 stop, and said he would try to take profit at 2R. By Saturday it had moved about 1.1R and he had still taken nothing: he told members they could move their stop to entry if the weekend pump worried them, but that he personally was holding for either the full stop or the full target. On Sunday he restated 18 as a level where members could take 25-30% while he held out for 2R. Monday morning he called the wick up to 22.049 a scam wick and expected a dump - instead the stop went that afternoon. He noted the trade had been 1R in profit and that he took nothing because he was targeting 2, and promised the month would still close at +10R.</t>
  </si>
  <si>
    <t xml:space="preserve">wick</t>
  </si>
  <si>
    <t xml:space="preserve">weekend pump risk</t>
  </si>
  <si>
    <t xml:space="preserve">The -1R is implied rather than stated: he confirms a full stop-out with no partials on a fixed-R setup. No exit price was restated - his published stop was 22.606. Both the stop-to-entry move (msg 383) and the 18 partial (msg 386) were offered to members, not taken by him. avg_entry 20.63 is his own 'SL to entry' reference; the 8 June chart showed a breakeven line at 20.600.</t>
  </si>
  <si>
    <t xml:space="preserve">#378, #379, #383, #386, #389, #391</t>
  </si>
  <si>
    <t xml:space="preserve">https://discord.com/channels/1042855255089623100/1501271173588193290/1512303540482347159</t>
  </si>
  <si>
    <t xml:space="preserve">2026-06-05 11:56:04</t>
  </si>
  <si>
    <t xml:space="preserve">62.3k CMP, with 25-30% held back for a DCA he never used</t>
  </si>
  <si>
    <t xml:space="preserve">Labelled a 'Risky long'; save 25-30% for a DCA. He later noted that because he did not DCA, a stop at 59k was a straight -1R.</t>
  </si>
  <si>
    <t xml:space="preserve">59000 (widen)</t>
  </si>
  <si>
    <t xml:space="preserve">63400 -&gt; 63400/64000</t>
  </si>
  <si>
    <t xml:space="preserve">2026-06-08 01:22:14</t>
  </si>
  <si>
    <t xml:space="preserve">Third swing at the same idea and an explicit shot at a third BTC win in a row: a risky long at 62.3k expecting the flush to be bought back into the 63-64k area over the weekend.</t>
  </si>
  <si>
    <t xml:space="preserve">He called it a 'Risky long' at 62.3k CMP with a 59.5k stop, telling people to save 25-30% for a DCA and framing it as a shot at a third BTC win in a row. That evening he widened the stop to 59k and said he would personally hold to 58.5k, pointing out that since he had not DCA'd, a 59k stop meant a full -1R. When lows were swept minutes later he told the group a ~25% add was optional but was explicit that he was not adding himself, and that from a 62.3k entry he still expected to close in profit around 63.4k. He carried it through the weekend - 'survived the dump for now' - set the TP at 63.4k, widened the band to 63.4-64k as both his positions came back green, and then took the lot in one go: 'patience fkin paid off, I took 100% at 64.1k', +496.61% on the 250x card, adding 'just to show I didn't take partials, straight away booked at top @ 64!'</t>
  </si>
  <si>
    <t xml:space="preserve">liquidity</t>
  </si>
  <si>
    <t xml:space="preserve">Post-flush chop in the low 60s; he expected a weekend pullback around 63-64k and got it.</t>
  </si>
  <si>
    <t xml:space="preserve">Entry is confirmed by his own words ('If you have entry 62.3k like me') and he stated he never DCA'd, so 62.3k is the true average. The -1R in msg 381 describes what a 59k stop would have cost, not a realised R, so r_multiple is left null. Exit is graded take_profit because 64.1k is at/above the 63.4-64k band he had set, though the close was executed by hand.</t>
  </si>
  <si>
    <t xml:space="preserve">#380, #381, #382, #383, #386, #387, #388</t>
  </si>
  <si>
    <t xml:space="preserve">https://discord.com/channels/1042855255089623100/1501271173588193290/1512379468772282500</t>
  </si>
  <si>
    <t xml:space="preserve">2026-06-06 12:10:39</t>
  </si>
  <si>
    <t xml:space="preserve">spot accumulation ladder: 40% at 1578 CMP, 30% at 1370, 30% at 969</t>
  </si>
  <si>
    <t xml:space="preserve">1370, 969</t>
  </si>
  <si>
    <t xml:space="preserve">not financial advice, his personal spot accumulation plan</t>
  </si>
  <si>
    <t xml:space="preserve">Personal spot accumulation of ETH on a three-step ladder into weakness, held for the bull run rather than traded.</t>
  </si>
  <si>
    <t xml:space="preserve">On 6 June he published his personal spot ladder for ETH: 40% at 1578 CMP, 30% at 1370, 30% at 969. Ten days later he reported the spot bags were nicely up - BTC 8%, ETH 20%, SOL 20% - said he had caught near the bottoms and was holding them all. ETH still appears in the bull-run allocation donut he posted on 20 August at 20.82% of the portfolio, so the bag was never sold in this log.</t>
  </si>
  <si>
    <t xml:space="preserve">buying near what he called the bottoms for big caps</t>
  </si>
  <si>
    <t xml:space="preserve">Spot accumulation, not a leveraged call: no stop and no target. Whether the 1370 and 969 rungs ever filled is never stated - only the +20% mark-to-market on 16 June. Outcome left unknown because he never sold.</t>
  </si>
  <si>
    <t xml:space="preserve">#384, #504, #995</t>
  </si>
  <si>
    <t xml:space="preserve">https://discord.com/channels/1042855255089623100/1501271173588193290/1512745526649684000</t>
  </si>
  <si>
    <t xml:space="preserve">63 CMP for 40% of the intended size; spot accumulation, not a leveraged trade</t>
  </si>
  <si>
    <t xml:space="preserve">46, 30</t>
  </si>
  <si>
    <t xml:space="preserve">'Not any financial advice, just my personal spot accumulation plan I'm sharing.' 40% / 30% / 30% ladder.</t>
  </si>
  <si>
    <t xml:space="preserve">A personal spot accumulation ladder in SOL - buy 40% at 63 and keep dry powder for 46 and 30 - held for the bull run rather than traded.</t>
  </si>
  <si>
    <t xml:space="preserve">He published his personal spot ladder for SOL - 40% at 63 CMP, 30% at 46, 30% at 30 - flagged as not financial advice. Ten days later the first tranche was clearly filled and working: 'our spot bags are nicely up... BTC 8%, ETH 20%, SOL 20%. Caught nearly bottoms... holding them all!' The lower rungs never came. Through August he kept pointing at the bag rather than trading it: on 19 August 'up nearly 30% if you want to take something. I'll TP around new ATH or so'; on 20 August SOL sat at 13.64% of the bull-run allocation donut he posted; on 21 August he noted SOL moving with SUI, AVAX and LINK; and later that day, with SOL around 90, he called 80-90 a decent buying range for a mid to short term hold. The position is still open when the log ends.</t>
  </si>
  <si>
    <t xml:space="preserve">Long-horizon bull-run accumulation alongside BTC, ETH and later HYPE, SUI, AVAX and LINK.</t>
  </si>
  <si>
    <t xml:space="preserve">Spot and unleveraged, kept separate from his leveraged SOL trades, several of which ran concurrently. The 46 and 30 DCA rungs never filled. The '+20%' (16 June) and 'up nearly 30%' (19 August) are progress marks on an open bag, not a result, so roi_pct is null - and the 30% figure covers HYPE and SOL together, with only HYPE carrying a share card. His 19 August line about recommending SOL 'for a month now' sits later than this 6 June ladder, so the two may be separate recommendations of the same bag.</t>
  </si>
  <si>
    <t xml:space="preserve">#384, #504, #981, #995, #999, #1002</t>
  </si>
  <si>
    <t xml:space="preserve">61k CMP for 40% of the intended spot allocation</t>
  </si>
  <si>
    <t xml:space="preserve">56000, 46000</t>
  </si>
  <si>
    <t xml:space="preserve">Spot accumulation - no leverage, no stop; posted as his own plan and explicitly not financial advice.</t>
  </si>
  <si>
    <t xml:space="preserve">Separate from the leveraged scalp book: accumulate BTC spot in thirds on the way down - 40% at 61k with ladders at 56k and 46k - on the view that the area was close to the bottom.</t>
  </si>
  <si>
    <t xml:space="preserve">He posted the ladder on 6 June - 40% at 61k CMP, 30% at DCA1 56k, 30% at DCA2 46k - for anyone interested in spot accumulation, with no stop and no target. BTC never came near either DCA level in this window, so only the first tranche can have filled. He never mentions selling any of it. Past the end of the window, on 16 June, he reports the spot bags up (BTC +8%, ETH +20%, SOL +20%), says he caught nearly the bottom and is holding them all.</t>
  </si>
  <si>
    <t xml:space="preserve">Early-June washout; he believed the local bottom was in and wanted unlevered exposure alongside the scalps.</t>
  </si>
  <si>
    <t xml:space="preserve">Recorded as a position because it is a directional BTC trade he took, but it is spot, not one of his leveraged calls - R, ROI, leverage and stop fields do not apply. Msg 384 is phrased as 'if anyone's interested', so his own participation is confirmed only by later context (msg 504, 16 June: 'our spot bags are nicely up, BTC 8%'); +8% against BTC's ~65.6k price that day back-solves to roughly a 61k entry, which matches the CMP tranche. No exit anywhere in the log, so the position runs past the end of the window.</t>
  </si>
  <si>
    <t xml:space="preserve">#384, #504</t>
  </si>
  <si>
    <t xml:space="preserve">2026-06-08 14:06:00</t>
  </si>
  <si>
    <t xml:space="preserve">63,123 CMP for 50% of size, with a 50% DCA above at 64,250</t>
  </si>
  <si>
    <t xml:space="preserve">64250</t>
  </si>
  <si>
    <t xml:space="preserve">61500</t>
  </si>
  <si>
    <t xml:space="preserve">'A bit risky since I expect pump' - half risk offered to anyone who wanted it.</t>
  </si>
  <si>
    <t xml:space="preserve">61800</t>
  </si>
  <si>
    <t xml:space="preserve">2026-06-09 13:54:22</t>
  </si>
  <si>
    <t xml:space="preserve">The only short in the run, and taken against his own bias purely to get paid down to a level he wanted to buy: 'I'm planning to long at 61.5k so trying to short till there', even though he expected a pump first.</t>
  </si>
  <si>
    <t xml:space="preserve">He shorted at 63,123 CMP with a 50% DCA at 64,250, target 61.5k and stop 65.5k, openly flagging that the trade cut against his own view - the point was to get paid on the way down to the level he wanted to buy. That evening the DCA was 'barely missed', so he nudged it up to 64.3k. By the next morning price had missed it by about $50, which he said would have made the trade 'a total banger', and he warned he might take profit earlier around 61.8k instead of 61.5k. He waited for neither: 'Closing BTC in small profits @ 62.6k, keeps missing DCA and keeps coming back to entry. 4th win a row on BTC though.'</t>
  </si>
  <si>
    <t xml:space="preserve">Chop in the low 60s; he was structurally bullish underneath but wanted a cheaper long entry at 61.5k.</t>
  </si>
  <si>
    <t xml:space="preserve">Neither DCA level (64,250, then 64.3k) ever filled, so the average entry is the 63,123 CMP figure from the call. The 250x card enumerated in the 12 June recap shows 63,068 into 62,699.6 for +135.5%, slightly different from the entry, close and ROI he announced - a second account of the same short.</t>
  </si>
  <si>
    <t xml:space="preserve">#390, #392, #396, #400, #473</t>
  </si>
  <si>
    <t xml:space="preserve">https://discord.com/channels/1042855255089623100/1501271173588193290/1513499332383473724</t>
  </si>
  <si>
    <t xml:space="preserve">2026-06-09 03:22:25</t>
  </si>
  <si>
    <t xml:space="preserve">'Entry: 4325 or 4322 CMP' - already shorted when he posted it</t>
  </si>
  <si>
    <t xml:space="preserve">4275</t>
  </si>
  <si>
    <t xml:space="preserve">On crypto exchanges he told members to keep the stop $2-3 wider because of price difference and slippage, and to use XAU rather than XAUT.</t>
  </si>
  <si>
    <t xml:space="preserve">A gold short from 4325 toward 4275 posted for the members who trade gold.</t>
  </si>
  <si>
    <t xml:space="preserve">He posted that he had shorted gold at 4325 (or 4322 CMP) with TP 4275 and SL 4349, then followed up with two execution notes for members: gold trades as XAU on crypto exchanges, not XAUT, and the stop should be kept $2-3 wider there because of the price difference and slippage. The short is then never mentioned again - twelve hours later he was long gold from 4340-4342, so it was gone by then, but he never said how.</t>
  </si>
  <si>
    <t xml:space="preserve">No exit of any kind was posted. Two readings: price rose into his 4349 stop (his later long, msg 406, says 'this hit SL again', implying an earlier stop-out), or he closed it manually when he flipped long at 4340-4342 - a level still below the stop. Left unknown rather than guessing; the published 4349 stop is in planned_stop.</t>
  </si>
  <si>
    <t xml:space="preserve">#393, #394, #395</t>
  </si>
  <si>
    <t xml:space="preserve">https://discord.com/channels/1042855255089623100/1501271173588193290/1513699759133687850</t>
  </si>
  <si>
    <t xml:space="preserve">2026-06-09 08:08:31</t>
  </si>
  <si>
    <t xml:space="preserve">'4.25 or 4.2 CMP' - his card shows the fill at 4.2</t>
  </si>
  <si>
    <t xml:space="preserve">high risk high reward - either SL or 1.5-2R minimum</t>
  </si>
  <si>
    <t xml:space="preserve">2026-06-09 13:56:55</t>
  </si>
  <si>
    <t xml:space="preserve">A binary high risk / high reward short on BEAT at 4.25-4.2 - in his own framing, either the stop or 1.5-2R minimum.</t>
  </si>
  <si>
    <t xml:space="preserve">He called the short at 4.25 or 4.2 CMP with a 4.58 stop and no target, framing it as binary: either the stop or 1.5-2R minimum. It worked immediately - while he slept it ran 2.5R, and by 11:14 it was back to 1.8R with the 25x card at +289.79% from 4.2. He told the room to take profit wherever they were happy and said he would post where he closed. He never got the chance: at 13:56 it stopped him out at 4.58 after having moved 2.8R in his favour, and he said he hoped members had taken profits. Three minutes later he asked the channel to vote on whether a trade that went to huge profit before stopping should count as a win or a loss.</t>
  </si>
  <si>
    <t xml:space="preserve">He was himself unsure how to score it and polled the room, because it ran 2.8R before stopping. Recorded as a loss because his own stop-out message gives -1R and he never trimmed. The exit price is the published 4.58 stop level, not a quoted fill.</t>
  </si>
  <si>
    <t xml:space="preserve">#397, #398, #399, #401, #403</t>
  </si>
  <si>
    <t xml:space="preserve">https://discord.com/channels/1042855255089623100/1501271173588193290/1513771757515968623</t>
  </si>
  <si>
    <t xml:space="preserve">2026-06-09 15:01:13</t>
  </si>
  <si>
    <t xml:space="preserve">Entry zone 4340-4342 CMP</t>
  </si>
  <si>
    <t xml:space="preserve">Very tight stop - $10 from entry.</t>
  </si>
  <si>
    <t xml:space="preserve">2026-06-09 16:42:24</t>
  </si>
  <si>
    <t xml:space="preserve">He flipped from short to long on gold at market with a very tight 4330 stop and no published target.</t>
  </si>
  <si>
    <t xml:space="preserve">Twelve hours after shorting gold he flipped: 'Long GOLD (XAU) again, Entry: 4340-4342 CMP, SL: 4330', and immediately reminded members that gold trades would be kept out of the crypto summary and get their own. Ninety minutes later it was over - 'Sorry guys this hit SL again, moved almost 1R and SL' - and eight minutes after that he posted the salt in the wound: the stop was hit exactly on the wick low and gold then ran what would have been 4R in his direction, price already back at 4361.07. 'Hit my SL exactly to go 4R up, not my day.'</t>
  </si>
  <si>
    <t xml:space="preserve">A full stop-out at the published 4330 level; he never stated a fill price or an R figure for the loss (the '1R' and '4R' he mentions are the favourable excursion before and after the stop), so exit_price and r_multiple are null.</t>
  </si>
  <si>
    <t xml:space="preserve">#404, #405, #406, #411</t>
  </si>
  <si>
    <t xml:space="preserve">https://discord.com/channels/1042855255089623100/1501271173588193290/1513875615185502289</t>
  </si>
  <si>
    <t xml:space="preserve">2026-06-09 17:31:10</t>
  </si>
  <si>
    <t xml:space="preserve">61.4k CMP for 75% of size, 25% reserved for the 60.7k DCA</t>
  </si>
  <si>
    <t xml:space="preserve">60700</t>
  </si>
  <si>
    <t xml:space="preserve">Explicitly labelled the low-RR / high-win-rate type of trade - he said he would post both types so members could pick.</t>
  </si>
  <si>
    <t xml:space="preserve">2026-06-10 02:42:36</t>
  </si>
  <si>
    <t xml:space="preserve">A deliberately low risk-reward, high win-rate BTC scalp from 61.4k - one of the two trade types he said he would alternate so members could take whichever suited them.</t>
  </si>
  <si>
    <t xml:space="preserve">He called the scalp at 61.4k CMP with 75% in and 25% reserved for a 60.7k DCA and a 58.5k stop, labelling it explicitly as the low-RR / high-WR kind of trade. That evening BTC missed the DCA by about $20, which he shrugged off since the tranche was only a quarter. When war headlines hit after midnight he told anyone who could not carry the risk to exit and said he would 'play full setup' himself. Half an hour later he did the opposite: 'Exiting BTC in small profits @ 61.6k will look to enter around DCA, I was planning to keep this but already have a risky trade running no need to risk more. Small win but better than red.'</t>
  </si>
  <si>
    <t xml:space="preserve">War-related headlines broke overnight while the position was open.</t>
  </si>
  <si>
    <t xml:space="preserve">No PnL card was posted for this one, so there is no ROI figure and no leverage; the $200 from 61.4k to 61.6k matches the 'small profits' he describes. The 60.7k DCA never filled, so 61.4k is the average. Worth flagging the gap between guidance and action: he told the group he would play the full setup and closed thirty minutes later.</t>
  </si>
  <si>
    <t xml:space="preserve">#413, #414, #420, #422, #423</t>
  </si>
  <si>
    <t xml:space="preserve">https://discord.com/channels/1042855255089623100/1501271173588193290/1513913353032958134</t>
  </si>
  <si>
    <t xml:space="preserve">2026-06-09 19:55:34</t>
  </si>
  <si>
    <t xml:space="preserve">4.7, confirmed as CMP six seconds later</t>
  </si>
  <si>
    <t xml:space="preserve">3.4</t>
  </si>
  <si>
    <t xml:space="preserve">high risk high reward; half risk, 'it's risky at BE so adjust'</t>
  </si>
  <si>
    <t xml:space="preserve">Straight back into the BEAT short six hours after being stopped, this time from 4.7 with 3.4 as the target - he reckoned 3R was confirmed if it dropped.</t>
  </si>
  <si>
    <t xml:space="preserve">Six hours after the previous BEAT short stopped out he tried again: short at 4.7 CMP, target 3.4, stop 5.1, high risk / high reward. He confirmed the entry was at market, told the room to use half risk because 'it's risky at BE so adjust', and ten minutes later said that if it dropped, 3R was confirmed. That is the last word on it - no fill, no management, no exit. When BEAT next appears in the log, on 27 June, he is buying it in spot at 2.6, far below this short's 3.4 target.</t>
  </si>
  <si>
    <t xml:space="preserve">Never resolved in the log: no stop-out, no target fill, no card. Marked still open only because nothing reports it closing - by the time BEAT reappears on 27 June he is trading it from the long side in spot, so it was almost certainly settled off-log. The 3R is his own 'if it drops 3R is confirmed', not a result.</t>
  </si>
  <si>
    <t xml:space="preserve">#416, #417, #418, #419</t>
  </si>
  <si>
    <t xml:space="preserve">https://discord.com/channels/1042855255089623100/1501271173588193290/1513949690583060540</t>
  </si>
  <si>
    <t xml:space="preserve">2026-06-10 11:21:57</t>
  </si>
  <si>
    <t xml:space="preserve">ALLOUSDT</t>
  </si>
  <si>
    <t xml:space="preserve">0.425 CMP with a 25% DCA leg above at 0.44</t>
  </si>
  <si>
    <t xml:space="preserve">0.44</t>
  </si>
  <si>
    <t xml:space="preserve">0.3</t>
  </si>
  <si>
    <t xml:space="preserve">High risk high reward trade; he took either the full TP or the stop, no partials, and told followers not to copy him on refusing to move the stop</t>
  </si>
  <si>
    <t xml:space="preserve">0.36</t>
  </si>
  <si>
    <t xml:space="preserve">2026-06-12 20:16:14</t>
  </si>
  <si>
    <t xml:space="preserve">A high risk / high reward short on ALLO he had been waiting for since the weekend. He wanted the whole 2R or nothing and refused to trim or move his stop - and it cost him the entire move.</t>
  </si>
  <si>
    <t xml:space="preserve">He had said on 6 June that he would try shorting ALLO if he saw weakness, and took it on 10 June at 0.425 CMP with a 25% DCA planned at 0.44 and a 0.468 stop; the 0.3 target followed half an hour later. By that afternoon it had moved 1.3R for him - and far more for the chat, many of whom had shorted higher and were 4R up - so he pulled the target in to about 0.36, roughly 2R, and said he would take either a full TP there or the stop, no partials, and would post when he closed. Overnight he was 1.5R up on the 100x card (+1037.04%) and hoping for 0.33-0.36. On the morning of 11 June he reminded followers that they could move their stop to entry at 1.5R while making clear he was not moving his own and that they should not be like him. It reached 1.8R, and his end-of-day tally put it at 1.4R. On 12 June it came all the way back and stopped him at the original 0.468 for -1R. He said he had no regrets - he wanted 2R whole or the stop - but noted he had round-tripped big profits while the chat had been up 4-5R.</t>
  </si>
  <si>
    <t xml:space="preserve">slow weekend, nothing much to do</t>
  </si>
  <si>
    <t xml:space="preserve">His entry is his own 'original entry' 0.425 - no fill card was ever posted - and the planned 0.44 DCA is never confirmed as filled. No stop moves are recorded because he explicitly did not move his: the 1.5R stop-to-entry advice at msg 450 was for followers only. Msg 385, four days earlier, is only the intent to look for the trade, so first_seen is the call itself.</t>
  </si>
  <si>
    <t xml:space="preserve">#385, #425, #426, #429, #445, #450, #451, #456, #461, #472</t>
  </si>
  <si>
    <t xml:space="preserve">https://discord.com/channels/1042855255089623100/1501271173588193290/1512792986805866587</t>
  </si>
  <si>
    <t xml:space="preserve">2026-06-10 11:49:46</t>
  </si>
  <si>
    <t xml:space="preserve">61.1k CMP with the majority at market and only a 25% DCA at 59.5k</t>
  </si>
  <si>
    <t xml:space="preserve">59500</t>
  </si>
  <si>
    <t xml:space="preserve">63000</t>
  </si>
  <si>
    <t xml:space="preserve">Scalp; majority of size at CMP with a small 25% tranche held for the 59.5k DCA.</t>
  </si>
  <si>
    <t xml:space="preserve">62460/63000</t>
  </si>
  <si>
    <t xml:space="preserve">25% at 62460</t>
  </si>
  <si>
    <t xml:space="preserve">2026-06-10 18:56:57</t>
  </si>
  <si>
    <t xml:space="preserve">Scalp long into the CPI release from 61.1k, then a nearer first target added at 62,460 once the print pumped it.</t>
  </si>
  <si>
    <t xml:space="preserve">He called the scalp at 61.1k CMP with a small 25% DCA at 59.5k, a 63k target and a 58.5k stop. As CPI pumped it he inserted a nearer first target - 'Pump it boys, first TP @ 62460' - which hit an hour and a quarter later, taking 25% off with the 150x card at +290.59% and keeping the majority for 63k+. He celebrated the move ('1400$ move caught, that's how we trade CPI') and then, two hours later and short of his 63k target, cleared the rest: 'fully out of BTC @ 62.7k don't want to round trip these gains.' He broke it down afterwards - 25% out at 62,460 and 75% at 62,700 from a 61.1k entry, average close 62,668.4 - and said he would look to short the 63.2-64k area next.</t>
  </si>
  <si>
    <t xml:space="preserve">CPI, news</t>
  </si>
  <si>
    <t xml:space="preserve">CPI release day; the print carried BTC roughly $1,400 higher inside a few hours.</t>
  </si>
  <si>
    <t xml:space="preserve">The closed card listed in the 12 June recap (62,141.4 into 62,668.4, +197.68%) has an entry about $1,000 above the 61.1k he repeatedly quotes - either a second account that entered late or a mislabelled card; the 62,668.4 close does match his stated average close. The 59.5k DCA never filled. His follow-on intention to short 63.2-64k (msg 439) was never acted on - he went long again at 62.2k an hour later instead - so it is not recorded as a position of its own.</t>
  </si>
  <si>
    <t xml:space="preserve">#427, #428, #434, #435, #438, #439, #473</t>
  </si>
  <si>
    <t xml:space="preserve">https://discord.com/channels/1042855255089623100/1501271173588193290/1514189823550947349</t>
  </si>
  <si>
    <t xml:space="preserve">2026-06-10 16:31:11</t>
  </si>
  <si>
    <t xml:space="preserve">INJUSDT</t>
  </si>
  <si>
    <t xml:space="preserve">5.052</t>
  </si>
  <si>
    <t xml:space="preserve">5.5</t>
  </si>
  <si>
    <t xml:space="preserve">1R scalp</t>
  </si>
  <si>
    <t xml:space="preserve">5.052 (the planned DCA filled - he refers to it as filled in msgs 448 and 452 - but he never gives the fill time or the blended average)</t>
  </si>
  <si>
    <t xml:space="preserve">25% at 5.3</t>
  </si>
  <si>
    <t xml:space="preserve">2026-06-11 11:37:06</t>
  </si>
  <si>
    <t xml:space="preserve">A 1R scalp long on INJ with a DCA just under the entry.</t>
  </si>
  <si>
    <t xml:space="preserve">He called INJ long at 5.14 CMP with a DCA at 5.052, a 5.5 target and a 4.8 stop, describing it as a 1R scalp. The DCA filled and INJ ran 1R quickly - too quickly for him to update in time - so the next morning he took 25% off at 5.3 and pointed out that he had not moved his stop at all. It stretched to 1.1R, then stalled; by late morning he closed the rest at 5.28, saying INJ was lagging and the DCA had already filled so he was happy with the profits. His end-of-day recap booked it at 0.8R against a best move of 1.2R.</t>
  </si>
  <si>
    <t xml:space="preserve">He never states a blended average after the DCA filled, so avg_entry is null; the published levels were 5.14 and 5.052. The +216.11% card figure appears on both the partial and the final close.</t>
  </si>
  <si>
    <t xml:space="preserve">#430, #431, #448, #451, #452, #461</t>
  </si>
  <si>
    <t xml:space="preserve">https://discord.com/channels/1042855255089623100/1501271173588193290/1514260647444217999</t>
  </si>
  <si>
    <t xml:space="preserve">2026-06-10 16:33:14</t>
  </si>
  <si>
    <t xml:space="preserve">0.56, 0.64</t>
  </si>
  <si>
    <t xml:space="preserve">after two adds he was risking 1.3R and told the group not to risk more than 1.5R</t>
  </si>
  <si>
    <t xml:space="preserve">None (first add - he gives only the new average of 0.49, not the fill price) | 0.47 (second add; average down to 0.484 and total risk up to 1.3R)</t>
  </si>
  <si>
    <t xml:space="preserve">2026-06-10 19:16:13</t>
  </si>
  <si>
    <t xml:space="preserve">Long WLD at market for a run at 0.56-0.64.</t>
  </si>
  <si>
    <t xml:space="preserve">He called the long at 0.515 CMP with a 0.45 stop and 0.56-0.64 targets. It went against him immediately: two hours later he DCAed, giving a new average of 0.49, and eleven minutes after that he added again at 0.47 for an average of 0.484, warning that he was now risking 1.3R and that nobody should risk more than 1.5R. Twenty-three minutes later the 0.45 stop went. He apologised to the group, calling it an abnormal dump and bad luck.</t>
  </si>
  <si>
    <t xml:space="preserve">an abnormal dump on WLD which he put down to bad luck</t>
  </si>
  <si>
    <t xml:space="preserve">He never states the R loss; he had said he was risking 1.3R after the second add, so the damage was probably about that, but it is not recorded. The first DCA's fill price was never given - only the resulting 0.49 average.</t>
  </si>
  <si>
    <t xml:space="preserve">#432, #436, #437, #440</t>
  </si>
  <si>
    <t xml:space="preserve">https://discord.com/channels/1042855255089623100/1501271173588193290/1514261162919727245</t>
  </si>
  <si>
    <t xml:space="preserve">2026-06-10 20:04:13</t>
  </si>
  <si>
    <t xml:space="preserve">62.2k CMP for 40%, 40% at a 61k DCA and 20% at 60.7k - 'Entry is small DCA is bigger'</t>
  </si>
  <si>
    <t xml:space="preserve">61000, 60700</t>
  </si>
  <si>
    <t xml:space="preserve">63000, 64000</t>
  </si>
  <si>
    <t xml:space="preserve">Size split 40-40-20 across the entry and two DCAs; targets split 25% at 63k and 75% at 64k. He suggested using ChatGPT to work out the split.</t>
  </si>
  <si>
    <t xml:space="preserve">60000 (tighten)</t>
  </si>
  <si>
    <t xml:space="preserve">64200</t>
  </si>
  <si>
    <t xml:space="preserve">25% at 62946</t>
  </si>
  <si>
    <t xml:space="preserve">2026-06-11 22:38:19</t>
  </si>
  <si>
    <t xml:space="preserve">Laddered long from 62.2k with most of the intended size sitting lower, targeting 63k and 64k on the post-CPI drift higher.</t>
  </si>
  <si>
    <t xml:space="preserve">He laddered the entry - 40% at 62.2k CMP, 40% at 61k, 20% at 60.7k, stop 59k, targets 63k for a quarter and 64k for the rest. Neither DCA filled; BTC missed the 61k by $50. He deliberately passed on a 62.9k print in the early morning because the move was too quick and he 'didn't want to take TP without you guys', then took the 25% tranche just under target at 62,946 on the 250x card (+315.35%), with a 150x card of the same trade at +245.5% a minute later. He confirmed he was still holding 75% from 62.2k, left the stop alone at first, set a fresh equal-sized DCA at 61.8k, then did raise the stop to 60k and gave anyone who had exited a 40%/60% re-entry plan. That evening he moved the remaining target from 64k up to 64.2k with instructions to book immediately on a rejection at 64k, then closed everything early: 'Fully closed BTC here at 63.8k, going to sleep', leaving a hold-on plan for anyone who wanted to stay in. 'Almost a 1800$ caught. 8/8 wins on BTC.'</t>
  </si>
  <si>
    <t xml:space="preserve">Post-CPI grind higher; his BTC win streak stood at six going into this trade and at eight coming out.</t>
  </si>
  <si>
    <t xml:space="preserve">The 0.8R in msg 461 is a running tally while the position was still open, not a realised R, so r_multiple is left null. His narrated numbers (62.2k into 63.8k, +363.9% at 250x) do not reconcile with the card in the 12 June recap (62,314.4 into 63,552.2, +463.21%), which is a different account of the same trade. All three DCA levels - 61k, 60.7k and the later 61.8k - went unfilled, so 62.2k is the average.</t>
  </si>
  <si>
    <t xml:space="preserve">#441, #442, #443, #446, #447, #449, #451, #453, #454, #455, #457, #458, #461, #462, #463, #464, #473</t>
  </si>
  <si>
    <t xml:space="preserve">https://discord.com/channels/1042855255089623100/1501271173588193290/1514314257548972143</t>
  </si>
  <si>
    <t xml:space="preserve">2026-06-11 03:10:39</t>
  </si>
  <si>
    <t xml:space="preserve">63.2 CMP</t>
  </si>
  <si>
    <t xml:space="preserve">68</t>
  </si>
  <si>
    <t xml:space="preserve">'High risk high reward trade'.</t>
  </si>
  <si>
    <t xml:space="preserve">63.3 (to_entry)</t>
  </si>
  <si>
    <t xml:space="preserve">2026-06-11 22:42:56</t>
  </si>
  <si>
    <t xml:space="preserve">A high-risk, high-reward SOL long at market from 63.2 with a 68 target and a 60 stop.</t>
  </si>
  <si>
    <t xml:space="preserve">He called SOL long at 63.2 CMP - TP 68, SL 60, openly high risk high reward. By mid-morning it had moved 1R; by late afternoon a full 1R and he was 'confused if I should close or hold till original TP 68-69'. That evening the card read entry 63.30, mark 66.97, +726.09% on 125x: 'SOL up 1.5R, can take a small TP, already SL at entry, will fully exit at 68', and his day tally a minute later logged SOL at 1.5R. He never got 68 - the recap card two hours later shows the whole 125x position closed at 67.24 for +778.04%.</t>
  </si>
  <si>
    <t xml:space="preserve">The close is documented only by the share card in the recap (67.24), never stated in text. r_multiple 1.5 is his own figure from the 20:55 tally, taken before the slightly better card close, so the true result is a touch above 1.5R. The 'can take a small TP' line was follower guidance - he exited in one piece.</t>
  </si>
  <si>
    <t xml:space="preserve">#444, #451, #459, #460, #461, #465</t>
  </si>
  <si>
    <t xml:space="preserve">https://discord.com/channels/1042855255089623100/1501271173588193290/1514421571350167613</t>
  </si>
  <si>
    <t xml:space="preserve">2026-06-12 11:54:07</t>
  </si>
  <si>
    <t xml:space="preserve">63.4k CMP, with 30-40% saved for a DCA</t>
  </si>
  <si>
    <t xml:space="preserve">64900, 65900</t>
  </si>
  <si>
    <t xml:space="preserve">Save 30-40% for a DCA; no DCA level was ever published and none is recorded as filled.</t>
  </si>
  <si>
    <t xml:space="preserve">2026-06-12 18:25:45</t>
  </si>
  <si>
    <t xml:space="preserve">Straight continuation long at 63.4k on the view that 65-66k was coming, targeting 64.9-65.9k.</t>
  </si>
  <si>
    <t xml:space="preserve">He called the long at 63.4k CMP with a 60.5k stop, 64,900-65,900 targets and 30-40% held back for a DCA. Six and a half hours later he was out - 'TPed on BTC personally' - the 250x card at +305.06%, while telling anyone still in that 64,900 remained the target, a line he repeated twice more over the next ten minutes. He said he would go long again on a drop because he believed 65-66k was coming, and flagged 66-66.2k as a place to short and 63-63.4k as a place to buy back. Later that evening he claimed a ten-trade BTC win streak on scalps, backing it with ten closed share cards.</t>
  </si>
  <si>
    <t xml:space="preserve">Steady grind higher through 12 June with his BTC win streak intact.</t>
  </si>
  <si>
    <t xml:space="preserve">He gave no exit price in the close message. Entry 63,477.6 and close 64,252.2 are taken from the card enumerated in the 12 June recap - the only card in that list matching a 63.4k CMP entry, and consistent with him exiting below the 64,900 he left for holders - but that mapping is an inference, hence medium confidence. Exit type is recorded as manual_close rather than take_profit because the posted 64,900 target was never reached, even though he described it as 'TPed'.</t>
  </si>
  <si>
    <t xml:space="preserve">#467, #468, #469, #471, #473</t>
  </si>
  <si>
    <t xml:space="preserve">https://discord.com/channels/1042855255089623100/1501271173588193290/1514915694922170429</t>
  </si>
  <si>
    <t xml:space="preserve">2026-06-13 03:24:26</t>
  </si>
  <si>
    <t xml:space="preserve">63.5k CMP; 30% was to be saved for a DCA but nine minutes later he cut that to 20-25% and went heavy at market</t>
  </si>
  <si>
    <t xml:space="preserve">64500, 64700</t>
  </si>
  <si>
    <t xml:space="preserve">The 0.5-0.7R scalp template - 'Same strategy 0.5-0.7R TP, so get out around 64.5-64.7k.' He did not expect the DCA to fill so kept only a 20-25% backup tranche.</t>
  </si>
  <si>
    <t xml:space="preserve">40% at 64200</t>
  </si>
  <si>
    <t xml:space="preserve">2026-06-13 21:25:11</t>
  </si>
  <si>
    <t xml:space="preserve">The 0.5-0.7R scalp template again from 63.5k, heavy at market because he did not expect a DCA fill, aiming to be out around 64.5-64.7k.</t>
  </si>
  <si>
    <t xml:space="preserve">He called the long at 63.5k CMP with a 61.5k stop and 30% notionally saved for a DCA, then said nine minutes later that he did not expect the DCA to fill so he was keeping only 20-25% as backup and going heavy at market, with the usual 0.5-0.7R exit around 64.5-64.7k. Nearly thirteen hours later, with BTC close to target, he trimmed 40% at 64.2k on the 250x card (+228.9%) and left the rest for 64.5k, explaining the early trim as the consequence of being heavy at market. Five hours after that he cleared the remainder at the same 64.2k because price was 'struggling around resistance', told anyone who wanted to hold to go for it since he felt 66k was coming, and said he would look to re-enter a scalp around 63.3-63.5k. The next morning he confirmed the target was reached without him: 'Well BTC went to TP as expected but got out earlier.'</t>
  </si>
  <si>
    <t xml:space="preserve">Grinding toward 64-65k; he thought 66k was coming but did not want to sit through resistance.</t>
  </si>
  <si>
    <t xml:space="preserve">Both the 40% partial and the final exit landed at 64.2k, so the partial price and exit_price are the same figure. The 0.5-0.7R was a published target, not a realised result - he never stated the R he actually got - so it is recorded as planned_r and r_multiple is left null. The targets in planned_take_profits come from msg 477 nine minutes after the call, since the call itself carried none.</t>
  </si>
  <si>
    <t xml:space="preserve">#474, #475, #477, #479, #480, #482, #483</t>
  </si>
  <si>
    <t xml:space="preserve">https://discord.com/channels/1042855255089623100/1501271173588193290/1515149817633046591</t>
  </si>
  <si>
    <t xml:space="preserve">2026-06-14 10:20:26</t>
  </si>
  <si>
    <t xml:space="preserve">1.76 CMP, flagged as a risky long</t>
  </si>
  <si>
    <t xml:space="preserve">1.9</t>
  </si>
  <si>
    <t xml:space="preserve">Can go half risk as it's risky, your choice</t>
  </si>
  <si>
    <t xml:space="preserve">1.76 (to_entry)</t>
  </si>
  <si>
    <t xml:space="preserve">2026-06-16 00:12:39</t>
  </si>
  <si>
    <t xml:space="preserve">A second, deliberately risky long on RENDER at 1.76 aiming for 1.9 with a wide 1.6 stop.</t>
  </si>
  <si>
    <t xml:space="preserve">He called the risky long at 1.76 CMP for 1.9 with a 1.6 stop and half risk optional. By the next morning it was up more than 0.7R and he was holding; by that afternoon it had moved a full 1R, and he told members to trim if they wanted but said he avoids partials and planned to exit fully near 1.9. That evening the price action stalled and he pulled the stop up to entry - 'this shit is going no where' - and just after midnight he closed the whole thing at 1.779 from 1.761 for +91.99% at 90x, apologising for the round trip from 1R but saying it beat hitting breakeven.</t>
  </si>
  <si>
    <t xml:space="preserve">AI coins lagged the tape on the day he closed</t>
  </si>
  <si>
    <t xml:space="preserve">The 1R and 0.7R figures are mid-trade marks, not the result - he gave up almost all of it before closing, so r_multiple is left null.</t>
  </si>
  <si>
    <t xml:space="preserve">#484, #492, #498, #499, #503</t>
  </si>
  <si>
    <t xml:space="preserve">https://discord.com/channels/1042855255089623100/1501271173588193290/1515616893787050035</t>
  </si>
  <si>
    <t xml:space="preserve">2026-06-14 11:24:29</t>
  </si>
  <si>
    <t xml:space="preserve">PYTHUSDT</t>
  </si>
  <si>
    <t xml:space="preserve">0.039, confirmed as CMP five seconds later</t>
  </si>
  <si>
    <t xml:space="preserve">0.04169</t>
  </si>
  <si>
    <t xml:space="preserve">2026-06-15 05:45:54</t>
  </si>
  <si>
    <t xml:space="preserve">A tight long on PYTH from 0.039 with a 0.04169 target and a 0.0363 stop.</t>
  </si>
  <si>
    <t xml:space="preserve">He called PYTH long at 0.039, confirming CMP seconds later, with TP 0.04169 and SL 0.0363. Overnight it went nowhere and he bailed the next morning: 'Closed PYTH in very small profits @ 0.392, it's going no where and I'm afraid when BTC reverses it dies.' Nine hours later he had to eat it - 'Closed PYTH publicly just to see it flying' - posting the closed 75x card showing entry 0.0391 and a 0.04062 close for +292.53%.</t>
  </si>
  <si>
    <t xml:space="preserve">Worried a BTC reversal would kill the trade.</t>
  </si>
  <si>
    <t xml:space="preserve">Exit price recorded verbatim as he wrote it, 0.392, which is almost certainly a typo for 0.0392 given the 0.039 entry. The card he posted later shows the close at 0.04062, higher than the 0.0392 he announced - possibly a different account or a later fill; the two cannot both be his single exit.</t>
  </si>
  <si>
    <t xml:space="preserve">#485, #486, #492, #494</t>
  </si>
  <si>
    <t xml:space="preserve">https://discord.com/channels/1042855255089623100/1501271173588193290/1515633013034193059</t>
  </si>
  <si>
    <t xml:space="preserve">2026-06-15 00:29:37</t>
  </si>
  <si>
    <t xml:space="preserve">OIL</t>
  </si>
  <si>
    <t xml:space="preserve">A WTI oil short he ran without posting it to the channel - the only trace is the closed PnL card.</t>
  </si>
  <si>
    <t xml:space="preserve">The only evidence of this trade is a share card posted with no text: a 100x short on the OIL(WTI)USDT perpetual, closed at +450.98%. He never posted the call, the entry, the stop, the target or the exit here - the following message acknowledges it was a trade he had not shown the channel.</t>
  </si>
  <si>
    <t xml:space="preserve">Entry price, exit price, entry time and all levels are unknown - only the closed card's +450.98% on 100x is given, which is why the outcome is a win with no supporting numbers. Symbol recorded as it appears in the file (OIL); the card reads OIL(WTI)USDT.</t>
  </si>
  <si>
    <t xml:space="preserve">#488</t>
  </si>
  <si>
    <t xml:space="preserve">https://discord.com/channels/1042855255089623100/1501271173588193290/1515830600559493281</t>
  </si>
  <si>
    <t xml:space="preserve">2026-06-15 00:48:17</t>
  </si>
  <si>
    <t xml:space="preserve">LTCUSDT</t>
  </si>
  <si>
    <t xml:space="preserve">He backed a member's LTC long on the view that incoming news would break LTC's daily resistance.</t>
  </si>
  <si>
    <t xml:space="preserve">He recalled that a member had asked the day before whether to long LTC and that he had said go for it, because news would come and break LTC's daily resistance. The screenshot he posted of those earlier messages shows LTC struggling at daily resistance but able to see 45-46 and then 48. He never called LTC in the channel and never showed a position of his own in it.</t>
  </si>
  <si>
    <t xml:space="preserve">daily resistance, news</t>
  </si>
  <si>
    <t xml:space="preserve">Advice given to one member in chat, recounted after the fact - no entry, stop or size for himself, so recorded as not_taken. The 45-46 and 48 levels come from a screenshot of his earlier posts, not from a published call.</t>
  </si>
  <si>
    <t xml:space="preserve">#491</t>
  </si>
  <si>
    <t xml:space="preserve">https://discord.com/channels/1042855255089623100/1501271173588193290/1515835294291722241</t>
  </si>
  <si>
    <t xml:space="preserve">2026-06-15 05:51:14</t>
  </si>
  <si>
    <t xml:space="preserve">66k limit short, to be cancelled if BTC fell to 64.7k before filling</t>
  </si>
  <si>
    <t xml:space="preserve">don't risk more than 1% on real and 0.3-0.4% funded because the market is highly bullish; he himself started at 0.5R and scaled to a full 1R</t>
  </si>
  <si>
    <t xml:space="preserve">None (added a bit more margin, no price given, expecting at least the 65k region) | None (scaled from 0.5R to full 1R risk; told members they could still add because it was above breakeven) | 66400 (50% add at 66.4k, lifting the average entry to 66.2k)</t>
  </si>
  <si>
    <t xml:space="preserve">65500 -&gt; 64800/65300</t>
  </si>
  <si>
    <t xml:space="preserve">2026-06-15 14:37:24</t>
  </si>
  <si>
    <t xml:space="preserve">2026-06-16 17:36:35</t>
  </si>
  <si>
    <t xml:space="preserve">Fade the rally with a limit short at 66k into a market he himself called highly bullish, cancelling the order if BTC fell to 64.7k first; he expected at least a move back into the 65k region.</t>
  </si>
  <si>
    <t xml:space="preserve">He set a 66k limit short on 06-15 with a 68k stop and a standing instruction to cancel it if BTC fell to 64.7k first; the limit filled at 66k the next afternoon and he immediately told members to keep risk tiny (max 1% real, 0.3-0.4% funded) because the market was still highly bullish. Overnight he added margin twice - once with no price given, then scaling his own risk from 0.5R to a full 1R while telling members they could still add since the trade was above breakeven - and then made a well-timed 50% add at 66.4k that lifted the average to 66.2k. The exit zone moved from 'around 65.5k' down to 64.8-65.3k and the target was hit about eight minutes later for 0.5R, +160.49% on the 250x card. Twenty minutes after that he posted the same trade from his other exchange, a sniper entry at 67,119.9 closed at 65,634.5 for +331.94%, and claimed 12/12 BTC wins for the month.</t>
  </si>
  <si>
    <t xml:space="preserve">highly bullish market on a 11-12 trade BTC win streak; he deliberately kept risk small because he was fading strength</t>
  </si>
  <si>
    <t xml:space="preserve">No exit price was posted for the 250x account - only the +160.49% card - so exit_price is null. The 150x card from his other exchange states a close at 65,634.5, but that is a different fill (67,119.9 entry) and sits above the 64.8-65.3k exit zone he had just announced, so it is not carried over as this position's exit. The two adds at msgs 503 and 508 have no prices.</t>
  </si>
  <si>
    <t xml:space="preserve">#493, #495, #503, #505, #508, #511, #512, #513</t>
  </si>
  <si>
    <t xml:space="preserve">https://discord.com/channels/1042855255089623100/1501271173588193290/1515911537771024415</t>
  </si>
  <si>
    <t xml:space="preserve">2026-06-15 20:43:58</t>
  </si>
  <si>
    <t xml:space="preserve">530 CMP, offered as an optional idea for members - he states plainly that he is not taking it</t>
  </si>
  <si>
    <t xml:space="preserve">480, 490</t>
  </si>
  <si>
    <t xml:space="preserve">if anyone wants to take it, risk 1-2% max</t>
  </si>
  <si>
    <t xml:space="preserve">559 (widened) -&gt; 530 (to_entry)</t>
  </si>
  <si>
    <t xml:space="preserve">482</t>
  </si>
  <si>
    <t xml:space="preserve">An optional short idea he floated for members who wanted something to trade - ZEC from 530 down to 480-490 - and explicitly did not take himself.</t>
  </si>
  <si>
    <t xml:space="preserve">He posted it as a trade idea for anyone who wanted to try it: short ZEC at 530 CMP, stop 550, target 480-490. Twenty minutes later he revised it - 559 as a safer stop and around 482 as the target - and said plainly that he was not taking it, and that anyone who did should risk 1-2% at most. The idea worked without him: on the afternoon of 16 June he told the room it had moved more than 1R and they should take the full target or at least 50% and move the stop to entry, and ninety minutes later that it was nearly 2R up, so get out or trim another 25%, with no further updates coming.</t>
  </si>
  <si>
    <t xml:space="preserve">He states outright that he is not taking this one, so every management instruction here is follower guidance rather than his own execution and there is no entry, exit or R for him. The stop and target revisions are recorded because for a not-taken idea the published plan is all there is. The idea itself ran nearly 2R.</t>
  </si>
  <si>
    <t xml:space="preserve">#500, #501, #509, #510</t>
  </si>
  <si>
    <t xml:space="preserve">https://discord.com/channels/1042855255089623100/1501271173588193290/1516136201973923951</t>
  </si>
  <si>
    <t xml:space="preserve">2026-06-15 22:08:50</t>
  </si>
  <si>
    <t xml:space="preserve">XMRUSDT</t>
  </si>
  <si>
    <t xml:space="preserve">400</t>
  </si>
  <si>
    <t xml:space="preserve">soft stop was a 4h close under 330, hard stop 320</t>
  </si>
  <si>
    <t xml:space="preserve">390/400 -&gt; 392</t>
  </si>
  <si>
    <t xml:space="preserve">Long XMR at 357 for a run at 400, with a 4h-close stop under 330 and a hard stop at 320.</t>
  </si>
  <si>
    <t xml:space="preserve">He called XMR long at 357 CMP targeting 400, with a soft stop on a 4h close under 330 and a hard stop at 320. Two hours later he said XMR was doing great and that he would take profit around 390-400 instead, then an hour after that fixed the target at 392, which he described as 1R. By the following afternoon the move had gone: 'XMR died lol'. Nothing further is ever posted - no take profit, no stop, no close.</t>
  </si>
  <si>
    <t xml:space="preserve">The outcome is genuinely unreported: after 'XMR died lol' on 16 June the file never mentions XMR again across the remaining two months, so the position is treated as ended at an unknown price rather than still running. He also never confirms his own fill.</t>
  </si>
  <si>
    <t xml:space="preserve">#502, #503, #505, #506</t>
  </si>
  <si>
    <t xml:space="preserve">https://discord.com/channels/1042855255089623100/1501271173588193290/1516157555687030805</t>
  </si>
  <si>
    <t xml:space="preserve">2026-06-16 14:14:23</t>
  </si>
  <si>
    <t xml:space="preserve">CMP for 70% of size with 30% at 0.621; reworked the same evening to 50% / 25% / 25% across 0.653, 0.621 and 0.5846, and members already green were told to cut the first tranche from 70% to 50%</t>
  </si>
  <si>
    <t xml:space="preserve">0.621, 0.5846</t>
  </si>
  <si>
    <t xml:space="preserve">0.8</t>
  </si>
  <si>
    <t xml:space="preserve">swing trade laddered 50/25/25 so there was room to add lower if BTC dipped</t>
  </si>
  <si>
    <t xml:space="preserve">0.563 (widen)</t>
  </si>
  <si>
    <t xml:space="preserve">A swing long on WLD, which he called very strong, laddered in with room to add lower if BTC dipped, targeting 0.8.</t>
  </si>
  <si>
    <t xml:space="preserve">He posted this one as a swing: 70% of size at 0.653 CMP, 30% reserved at 0.621, target 0.8, stop 0.5646. That evening he reworked the ladder to 50% at 0.653, 25% at 0.621 and 25% at 0.5846 and widened the stop slightly to 0.563, saying WLD was very strong but that it was better to have lower adds ready in case BTC dipped; he added that anyone already green could reduce the first tranche from 70% to 50%. Early on 17 June the position was 0.6R up - his 75x card showed +611.46% from 0.6545 - and he was holding for more. That is the last thing the file says about it.</t>
  </si>
  <si>
    <t xml:space="preserve">wanted room to add in case BTC decided to dip</t>
  </si>
  <si>
    <t xml:space="preserve">No exit is ever reported. Two months later (msg 956, 17 August) he is shorting WLD at 0.355, far below this trade's 0.563 stop, so the swing must have ended before then - but the file never says how, hence exit_type and outcome unknown. Whether the 0.621 and 0.5846 tranches ever filled is also unrecorded; avg_entry 0.6545 is the 17 June card, i.e. the first tranche only.</t>
  </si>
  <si>
    <t xml:space="preserve">#507, #520, #521, #525</t>
  </si>
  <si>
    <t xml:space="preserve">https://discord.com/channels/1042855255089623100/1501271173588193290/1516400544590204928</t>
  </si>
  <si>
    <t xml:space="preserve">2026-06-16 18:10:38</t>
  </si>
  <si>
    <t xml:space="preserve">spot, not leveraged - he says he has been holding since 60 and adds on every $10 drop; the average he states later is 56.23</t>
  </si>
  <si>
    <t xml:space="preserve">52, 53</t>
  </si>
  <si>
    <t xml:space="preserve">83, 84, 90, 100</t>
  </si>
  <si>
    <t xml:space="preserve">spot holding, no stop</t>
  </si>
  <si>
    <t xml:space="preserve">80</t>
  </si>
  <si>
    <t xml:space="preserve">The one coin besides BTC he recommends buying in spot: he has been accumulating HYPE since 60, expects 83-84 short term, 90-100 very soon and a new all-time high.</t>
  </si>
  <si>
    <t xml:space="preserve">This is his spot HYPE bag rather than a signal trade. On 16 June he told the group HYPE was the coin he recommended buying in spot, that he had held since 60 (+21.66% at the time), that they should add on every $10 drop, and that he saw 83-84 short term and 90-100 very soon. He kept repeating it through late June and July - 'HYPE and SOL don't miss on these' - and after his July scalp said he had been buying heavy since 60, expected an all-time high that month and would add more at 52-53. By 19 August his stated average was 56.23 for +27.77%, and he said he would take profit around a new ATH. The 20 August portfolio donut put HYPE at 22.89% of his bull-run holdings, accumulated over six months. On 21 August the ATH printed: the bag was up 40%, he told members they could take profit from spot, said he had taken nothing himself and would only think about it above $80.</t>
  </si>
  <si>
    <t xml:space="preserve">ATH</t>
  </si>
  <si>
    <t xml:space="preserve">alt bull run - he pushed HYPE and SOL to the group for a month</t>
  </si>
  <si>
    <t xml:space="preserve">A long-running spot position stitched from scattered mentions, not a called trade: no stop, no discrete entry, so entry_time and duration are unknown. His entry references conflict - 'holding since 60' (msgs 516, 681) versus a stated average of 56.23 (msg 981); the average is used. The '52-53' add level in msg 681 sits well below the ~70 price at the time and may have been a typo for 62-63. Still open and untouched at the end of the log.</t>
  </si>
  <si>
    <t xml:space="preserve">#516, #624, #681, #979, #981, #995, #999, #1003</t>
  </si>
  <si>
    <t xml:space="preserve">https://discord.com/channels/1042855255089623100/1501271173588193290/1516459999537139743</t>
  </si>
  <si>
    <t xml:space="preserve">2026-06-16 19:48:15</t>
  </si>
  <si>
    <t xml:space="preserve">PORTALUSDT</t>
  </si>
  <si>
    <t xml:space="preserve">0.01635 CMP - already taken when he posted it, deliberately small</t>
  </si>
  <si>
    <t xml:space="preserve">0.0142</t>
  </si>
  <si>
    <t xml:space="preserve">'Small risky short'.</t>
  </si>
  <si>
    <t xml:space="preserve">0.01635 (to_entry)</t>
  </si>
  <si>
    <t xml:space="preserve">50% at None</t>
  </si>
  <si>
    <t xml:space="preserve">2026-06-17 00:04:13</t>
  </si>
  <si>
    <t xml:space="preserve">A small, deliberately risky short on PORTAL from 0.01635 down to 0.0142.</t>
  </si>
  <si>
    <t xml:space="preserve">He disclosed a small risky short on PORTAL already taken at 0.01635 CMP, targeting 0.0142 with a 0.018 stop. Three hours later, 0.8R up with the mark at 0.01515 on a 10x card, he took 50% off and moved the stop to breakeven. Asked about the trim he explained his general rule: 'Take 50, I don't take partials but I advise if you take partials at least do 50%.' Just after midnight he was fully out: 'Fully out from Portal rn out at 0.5, took 50% at 0.8R.'</t>
  </si>
  <si>
    <t xml:space="preserve">'out at 0.5' reads as 0.5R on the remainder, not a price - so r_multiple 0.5 covers the runner while the first half came off at 0.8R; no exit price was ever given. His msg 522 line 'I don't take partials' is a general statement of style and sits awkwardly with the 50% he actually took here.</t>
  </si>
  <si>
    <t xml:space="preserve">#518, #519, #522, #523</t>
  </si>
  <si>
    <t xml:space="preserve">https://discord.com/channels/1042855255089623100/1501271173588193290/1516484566418718752</t>
  </si>
  <si>
    <t xml:space="preserve">2026-06-17 00:30:43</t>
  </si>
  <si>
    <t xml:space="preserve">0.08346</t>
  </si>
  <si>
    <t xml:space="preserve">High risk high reward trade with a very tight stop - about 1.6R, maybe 2R on a nice reaction</t>
  </si>
  <si>
    <t xml:space="preserve">2026-06-17 15:22:43</t>
  </si>
  <si>
    <t xml:space="preserve">High risk / high reward HBAR long at market, worth about 1.6R to the 0.08346 target and possibly 2R on a good reaction.</t>
  </si>
  <si>
    <t xml:space="preserve">He called the long at 0.08123 CMP with a 0.0797 stop and a 0.08346 target, describing it as a high risk / high reward trade worth around 1.6R that might extend to 2R if HBAR reacted nicely. Fifteen hours later it was stopped. He was not surprised - 'HBAR stopped as expected was a high risk, SL was pretty tight' - and put no number on the loss.</t>
  </si>
  <si>
    <t xml:space="preserve">No exit price was restated; the published stop was 0.0797, less than 2% below entry. avg_entry is the entry restated on the stop-out event. He never states the R loss.</t>
  </si>
  <si>
    <t xml:space="preserve">#524, #528</t>
  </si>
  <si>
    <t xml:space="preserve">https://discord.com/channels/1042855255089623100/1501271173588193290/1516555649243418784</t>
  </si>
  <si>
    <t xml:space="preserve">2026-06-17 15:18:38</t>
  </si>
  <si>
    <t xml:space="preserve">CMP; the 63.4k DCA was explicitly optional - 'can go fully here'</t>
  </si>
  <si>
    <t xml:space="preserve">63400</t>
  </si>
  <si>
    <t xml:space="preserve">67000, 68000</t>
  </si>
  <si>
    <t xml:space="preserve">Not a 0.5R scalp but a swing - use normal risk 2%</t>
  </si>
  <si>
    <t xml:space="preserve">64700 (to_entry)</t>
  </si>
  <si>
    <t xml:space="preserve">67000/68000</t>
  </si>
  <si>
    <t xml:space="preserve">2026-06-17 21:10:27</t>
  </si>
  <si>
    <t xml:space="preserve">Swing long the 64.7k flush while everyone was dumping, using normal 2% risk rather than his usual 0.5R scalp risk, targeting 67-68k.</t>
  </si>
  <si>
    <t xml:space="preserve">He called a BTC swing long at 64.7k CMP with a 62.8k stop and 67-68k targets, telling members to use normal 2% risk and that the 63.4k DCA was optional. His fill was 64,736.5, he thought he had sniped the flush, and price came back to entry exactly once as he had predicted before running to 66,370.9 - where he told members they could take 20-25% off at almost 1R and laid out a 20/30/50 ladder at 1R, 67k and 68k. Ahead of FOMC he moved his stop to breakeven at the 64.7k entry as a precaution, and about 75 minutes later it was hit: 'BTC stopped'. He read the move as nothing but volatility wicks, invited members to jump back in, and rebuilt the swing himself less than two hours later (recorded as the next position).</t>
  </si>
  <si>
    <t xml:space="preserve">FOMC</t>
  </si>
  <si>
    <t xml:space="preserve">everyone dumping into the 64.7k flush; FOMC event risk the same evening</t>
  </si>
  <si>
    <t xml:space="preserve">exit_price is the published breakeven stop level (the 64.7k call entry), not a posted fill - he never quoted an exit price or card. The 20-25% at 1R in msg 533 was follower guidance ('you can take 20-25%'); he never confirmed trimming himself, so partials is empty.</t>
  </si>
  <si>
    <t xml:space="preserve">#526, #531, #532, #533, #534, #535, #536</t>
  </si>
  <si>
    <t xml:space="preserve">https://discord.com/channels/1042855255089623100/1501271173588193290/1516779101682270263</t>
  </si>
  <si>
    <t xml:space="preserve">2026-06-17 16:15:46</t>
  </si>
  <si>
    <t xml:space="preserve">LDOUSDT</t>
  </si>
  <si>
    <t xml:space="preserve">0.288 CMP</t>
  </si>
  <si>
    <t xml:space="preserve">0.303</t>
  </si>
  <si>
    <t xml:space="preserve">Long LDO at 0.288 CMP for 0.303 with a 0.268 stop; no reasoning published.</t>
  </si>
  <si>
    <t xml:space="preserve">A bare call: long LDO at 0.288 CMP, target 0.303, stop 0.268. Nothing else about LDO appears anywhere in the log - no update, no partial, no exit.</t>
  </si>
  <si>
    <t xml:space="preserve">Single event for this symbol in the whole log; outcome never stated.</t>
  </si>
  <si>
    <t xml:space="preserve">#529</t>
  </si>
  <si>
    <t xml:space="preserve">https://discord.com/channels/1042855255089623100/1501271173588193290/1516793481492955347</t>
  </si>
  <si>
    <t xml:space="preserve">2026-06-17 16:16:29</t>
  </si>
  <si>
    <t xml:space="preserve">no call was posted - the move went too fast for him to write it up</t>
  </si>
  <si>
    <t xml:space="preserve">He sniped a TAO long at 249.66 without being able to post the setup first because the move happened too fast.</t>
  </si>
  <si>
    <t xml:space="preserve">He posted a card of a 100x TAO long from 249.66 already at +256.08% with price at 256.05, saying he had wanted to post the trade but it went so fast he could not - he just sniped it. No stop or target was ever published and no follow-up appears: the file never says how or when he got out. Two and a half weeks later he opened a fresh TAO long at 212.4, which is a separate position.</t>
  </si>
  <si>
    <t xml:space="preserve">Single-event position: entry price and leverage come from the share card, everything else is unrecorded. It was well in profit when shown but there is no exit, so the outcome is unknown.</t>
  </si>
  <si>
    <t xml:space="preserve">#530</t>
  </si>
  <si>
    <t xml:space="preserve">https://discord.com/channels/1042855255089623100/1501271173588193290/1516793661063696404</t>
  </si>
  <si>
    <t xml:space="preserve">2026-06-17 23:00:41</t>
  </si>
  <si>
    <t xml:space="preserve">the only published entry in this cluster was the 64.3k CMP 'scalp' leg (msg 539); the swing leg was rebuilt without a published entry straight after the breakeven stop and first appears as a 64,600 average</t>
  </si>
  <si>
    <t xml:space="preserve">65000, 67000, 68000</t>
  </si>
  <si>
    <t xml:space="preserve">the 64.2k swing add was flagged optional - 'Optional DCA if you don't want to go heavy avoid'; from msg 547 the invalidation became a 4h close under 62.7k or a hard stop at 62.2k</t>
  </si>
  <si>
    <t xml:space="preserve">64200 (added to the swing at 64.2k, taking the swing average to 64.5k) | 64260 (opened the separate 'scalp' leg at 64.3k CMP, filled 64,260, sharing the same 62.8k stop ('SL 62.8k for both')) | 63300 (30% DCA at 63.3k taking the quoted average to 63.9k - from here he stops separating the swing and the scalp)</t>
  </si>
  <si>
    <t xml:space="preserve">62200 (widened)</t>
  </si>
  <si>
    <t xml:space="preserve">2026-06-20 18:38:04</t>
  </si>
  <si>
    <t xml:space="preserve">Rebuilt the 67-68k swing long immediately after the FOMC breakeven stop, convinced the flush was only volatility wicks, and ran a second smaller 'scalp' tranche from 64,260 for a 0.5R pop to 65k.</t>
  </si>
  <si>
    <t xml:space="preserve">Less than two hours after the FOMC breakeven stop he was back in the swing at a 64,600 average, added again at 64.2k to make it 64.5k, and opened a separate 'scalp' leg at 64.3k CMP (filled 64,260) sharing the same 62.8k stop - swing targeting 67-68k, scalp 65k for 0.5R. The next evening he added a 30% DCA at 63.3k for a 63.9k average and widened the invalidation to a 4h close under 62.7k or a hard 62.2k; forty minutes later he told the channel 'You can close BTC' and counted it publicly as his first BTC stop-loss of the month after 14 wins, while saying he would personally hold, gambling on the next day's deal giving a wick up - 'a gamble if someone wanna take'. He kept referring to it as 'my old position with 63.7k entry' through 06-19 and 06-20 as it came back into profit, and closed it fully on 06-20 at 63,923.2 for +60.28% on the 150x card. From the 63.3k DCA onward he quotes a single BTC average and never separates the swing from the scalp again, so both legs are recorded here as one position.</t>
  </si>
  <si>
    <t xml:space="preserve">4h close, news</t>
  </si>
  <si>
    <t xml:space="preserve">post-FOMC volatility wicks; he was gambling on a 'deal' the next day giving a wick up, then on a weekend scam pump</t>
  </si>
  <si>
    <t xml:space="preserve">He published these as two trades four minutes apart - a swing (avg 64.5k, TP 67-68k) and a scalp (64,260, TP 65k = 0.5R) - but shared one stop across both, quoted a single average from msg 545 onward, announced exactly one stop-out and thereafter referred to a single 'old position', so they are merged here rather than invented separate endings. planned_take_profits combines both legs (65k = scalp, 67-68k = swing). Outcome is recorded as his own action - he held through the publicly-counted 62.2k stop and closed green - but for the public record this trade was booked as the month's first BTC SL (msgs 548, 550). The averages do not reconcile exactly: 64.5k swing + 64,260 scalp plus a 30% add at 63.3k should blend nearer 64.1k than the 63.9k he quotes, and he later quotes 63.7k against a 63,667.3 card, so there were probably adds he did not post. msgs 527 and 537 are the plans that preceded the scalp leg; msgs 552, 555 and 558 are shared with the 62.8k long.</t>
  </si>
  <si>
    <t xml:space="preserve">#527, #537, #538, #539, #540, #545, #547, #548, #549, #550, #552, #555, #558, #560, #562</t>
  </si>
  <si>
    <t xml:space="preserve">https://discord.com/channels/1042855255089623100/1501271173588193290/1516779606441590874</t>
  </si>
  <si>
    <t xml:space="preserve">2026-06-18 11:40:04</t>
  </si>
  <si>
    <t xml:space="preserve">1750 CMP; TP to be taken manually but 1800-1820 set for now</t>
  </si>
  <si>
    <t xml:space="preserve">1800, 1820</t>
  </si>
  <si>
    <t xml:space="preserve">2026-06-18 18:58:18</t>
  </si>
  <si>
    <t xml:space="preserve">Trying a long on a coin he says he hates, from 1750 CMP with 1800-1820 pencilled in and a 1705 stop.</t>
  </si>
  <si>
    <t xml:space="preserve">He opened with 'I absolutely hate this coin but trying a long' at 1750 CMP, stop 1705, targets 1800-1820 to be taken manually. Seven hours later the market dumped and the stop was hit. He posted it alongside a BTC stop-out - 'that's why I hate ETH, whenever I long it market dumps' - apologised for a rough day and said he would recover.</t>
  </si>
  <si>
    <t xml:space="preserve">market dumped the same session</t>
  </si>
  <si>
    <t xml:space="preserve">exit_price is the 1705 stop restated in his own stop-out message; no separate fill price was posted.</t>
  </si>
  <si>
    <t xml:space="preserve">#541, #548</t>
  </si>
  <si>
    <t xml:space="preserve">https://discord.com/channels/1042855255089623100/1501271173588193290/1517086484518404197</t>
  </si>
  <si>
    <t xml:space="preserve">2026-06-18 11:41:15</t>
  </si>
  <si>
    <t xml:space="preserve">XAU</t>
  </si>
  <si>
    <t xml:space="preserve">the 4299-4300 zone, and only if that level traded before 4270</t>
  </si>
  <si>
    <t xml:space="preserve">A conditional gold short: he would try it only if 4299-4300 traded before 4270.</t>
  </si>
  <si>
    <t xml:space="preserve">The only mention of gold in the log: on 18 June he said he would try a short on XAU if he got 4299-4300 before 4270. No stop, no target, no size, and no follow-up of any kind - nothing ever says whether the condition was met or whether he took it.</t>
  </si>
  <si>
    <t xml:space="preserve">Recorded as a position only because it is a published intent with a level. It never became a call with a stop or target and is never mentioned again, so 'not taken' is read from the silence rather than stated by him - it could equally be a setup whose trigger never came.</t>
  </si>
  <si>
    <t xml:space="preserve">#542</t>
  </si>
  <si>
    <t xml:space="preserve">https://discord.com/channels/1042855255089623100/1501271173588193290/1517086785799323692</t>
  </si>
  <si>
    <t xml:space="preserve">2026-06-18 12:12:48</t>
  </si>
  <si>
    <t xml:space="preserve">LABUSDT</t>
  </si>
  <si>
    <t xml:space="preserve">No entry price published - he had started calling the long in chat around 14.8</t>
  </si>
  <si>
    <t xml:space="preserve">Stop given as a 12.8-13 zone; 12.8 recorded.</t>
  </si>
  <si>
    <t xml:space="preserve">2026-06-18 21:36:31</t>
  </si>
  <si>
    <t xml:space="preserve">With much of the channel trying to short LAB, he argued it was bullish for now and told them to long it instead - and was long himself from 15.679.</t>
  </si>
  <si>
    <t xml:space="preserve">He told the members who were shorting LAB to try longing it instead for now, with a 12.8-13 stop, saying it looked bullish. Six minutes later he added that anyone in Dimitry's setup should respect it and play it full, and that he was not calling a long himself - only that 18 felt realistic to him. That evening he pointed out he had begun calling the LAB long in chat around 14.8, with his own position entered at 15.679 and price at 17.015. Twelve minutes later he was out: 'LAB I fully exit @ 18, won't be surprised if it goes 22-ATH', and the confirming card at 03:14 the next morning shows entry 15.679 and exit 18.008 - roughly +14.9% unleveraged.</t>
  </si>
  <si>
    <t xml:space="preserve">A lot of members were positioned short, and a separate LAB setup from 'Dimitry' was circulating.</t>
  </si>
  <si>
    <t xml:space="preserve">The long was seeded in chat rather than called in the channel, so no entry price or time was ever published - entry_time and duration are null and avg_entry comes from his card. He announced the exit at 18; the card shows 18.008, used as the exit price. No leverage or ROI shown on the card, so roi_pct is null.</t>
  </si>
  <si>
    <t xml:space="preserve">#543, #544, #551, #553, #554</t>
  </si>
  <si>
    <t xml:space="preserve">https://discord.com/channels/1042855255089623100/1501271173588193290/1517094724022964314</t>
  </si>
  <si>
    <t xml:space="preserve">Short zone 20-22, to be shorted from there if LAB traded back up</t>
  </si>
  <si>
    <t xml:space="preserve">In chat he had described splitting it - maybe half now and half at 22.</t>
  </si>
  <si>
    <t xml:space="preserve">He expected LAB to trade 20-22 again and saw that zone, not current price, as the place to short it into an eventual collapse.</t>
  </si>
  <si>
    <t xml:space="preserve">In the same message that told members to stop shorting LAB and long it instead, he laid out where the short did belong: 'it'll probably go 20-22$ again try to short from there if you want', echoing a chat plan to short around 22, perhaps half there and half higher, expecting an eventual collapse. He exited his own long at 18 later that day and never posted a LAB short - the 20-22 zone is never revisited in the log.</t>
  </si>
  <si>
    <t xml:space="preserve">Many members were already trying to short LAB too early.</t>
  </si>
  <si>
    <t xml:space="preserve">An idea floated for the 20-22 zone with no stop, no target and no entry ever taken; recorded as not_taken. It shares its message with the LAB long, which is the position he actually held.</t>
  </si>
  <si>
    <t xml:space="preserve">#543</t>
  </si>
  <si>
    <t xml:space="preserve">2026-06-18 21:26:47</t>
  </si>
  <si>
    <t xml:space="preserve">CMP long posted 'if anyone wants to try'; he said he was done for the day and confirmed his own 62.8k entry the next morning (msg 555)</t>
  </si>
  <si>
    <t xml:space="preserve">64000</t>
  </si>
  <si>
    <t xml:space="preserve">posted as an optional idea - 'SL @ 60.5k if anyone wants to try'</t>
  </si>
  <si>
    <t xml:space="preserve">63800 (added 25% back at 63.8k after banking half, taking the average to 63k (card shows 63,044.0))</t>
  </si>
  <si>
    <t xml:space="preserve">62800 (to_entry)</t>
  </si>
  <si>
    <t xml:space="preserve">64000 -&gt; 65000/66000 -&gt; 65000</t>
  </si>
  <si>
    <t xml:space="preserve">50% at 64150</t>
  </si>
  <si>
    <t xml:space="preserve">2026-06-19 04:06:43</t>
  </si>
  <si>
    <t xml:space="preserve">2026-06-22 15:57:09</t>
  </si>
  <si>
    <t xml:space="preserve">After a rough stop-out day he still thought a long opportunity was developing at 62.8k and that BTC could reach at least 64k, with a weekend scam pump possibly giving 65-67k.</t>
  </si>
  <si>
    <t xml:space="preserve">With BTC at 62.8k on the evening of his stop-out he posted a CMP long with a 60.5k stop 'if anyone wants to try', expecting at least 64k, then confirmed the next morning that he had taken it himself at 62.8k. He told members they could reduce to 50% in profit and re-add at 61.5k to improve their R but said plainly 'I'm holding'. On 06-20 he told members they could move their stop to entry - he did not, leaving his at 60.5k - banked 50% at 64,150, added 25% back at 63.8k for a 63k average, and twice flagged a further 25% add at 61.5k that never filled. The 65k target was missed by $200 on 06-22 before filling later that day at 64,987.9 for +462.5% on the 150x card; he closed fully, offered 66-67k runners to anyone still in, and drew the lesson that 'you don't add margin to a green trade unless you're confident'.</t>
  </si>
  <si>
    <t xml:space="preserve">the evening of his first BTC stop of the month; he expected a weekend scam pump into 65-67k</t>
  </si>
  <si>
    <t xml:space="preserve">Leverage differs across cards for the same trade - 200x on 06-20 (msgs 561, 563), 150x at the exit (msgs 566, 567) - so this ran on at least two accounts; the 150x numbers are used because the closing card is 150x. The trim-to-50%-and-re-add-at-61.5k in msg 557 was follower guidance he explicitly did not follow. The 25% add at 61.5k (msgs 564, 565) was announced twice and never filled. Entry time is taken from msg 555 because msg 552 says he was done for the day; the call itself was 06-18 21:26.</t>
  </si>
  <si>
    <t xml:space="preserve">#552, #555, #557, #558, #561, #563, #564, #565, #566, #567, #568, #569</t>
  </si>
  <si>
    <t xml:space="preserve">https://discord.com/channels/1042855255089623100/1501271173588193290/1517234138451542057</t>
  </si>
  <si>
    <t xml:space="preserve">2026-06-19 22:55:23</t>
  </si>
  <si>
    <t xml:space="preserve">REUSDT</t>
  </si>
  <si>
    <t xml:space="preserve">spot buy, no entry price given at the time; he later revealed a 0.75 average</t>
  </si>
  <si>
    <t xml:space="preserve">1</t>
  </si>
  <si>
    <t xml:space="preserve">GAMBLE TRADE - don't go in too heavy</t>
  </si>
  <si>
    <t xml:space="preserve">An explicit gamble: a spot bag of RE bought with no stop, targeting $1 and above, with a warning to nobody to size it heavily.</t>
  </si>
  <si>
    <t xml:space="preserve">He bought RE in spot on the evening of 19 June, labelling it a gamble trade targeting $1+ and telling members not to go in heavy. No entry price was posted at the time. The next afternoon he took 50% off after a 43% move from what he then revealed was a 0.75 average, saying the remaining half comes off at a 2x or better. That remaining half is never mentioned again - no exit, no price, no result.</t>
  </si>
  <si>
    <t xml:space="preserve">His wording - 'nearly a 50% move down, exactly a 43% move' - is confused; the context (booking profit from a 0.75 average) means the move was up. No entry or exit price is ever posted, only the 0.75 average and the 43%. The remaining half is unresolved when RE drops out of the log.</t>
  </si>
  <si>
    <t xml:space="preserve">#556, #559</t>
  </si>
  <si>
    <t xml:space="preserve">https://discord.com/channels/1042855255089623100/1501271173588193290/1517618823149125672</t>
  </si>
  <si>
    <t xml:space="preserve">2026-06-23 01:30:10</t>
  </si>
  <si>
    <t xml:space="preserve">70% of size at CMP with 30% held back to add in the 61.5-62k zone to improve the entry</t>
  </si>
  <si>
    <t xml:space="preserve">deliberately wide stop - 'Yes SL a bit wide but I'm playing safe'</t>
  </si>
  <si>
    <t xml:space="preserve">62700 (green-lit an add at 62.7k market price; msg 578 confirms he added, taking his average to 63.3k)</t>
  </si>
  <si>
    <t xml:space="preserve">None (condition_change)</t>
  </si>
  <si>
    <t xml:space="preserve">2026-06-24 18:56:06</t>
  </si>
  <si>
    <t xml:space="preserve">He had been waiting for a dip into 63.9-64.2k and took 70% there at 63,940, playing safe with a wide 61k stop and 30% reserved for 61.5-62k, expecting a squeeze before BTC could break 60k.</t>
  </si>
  <si>
    <t xml:space="preserve">He had been waiting for a dip into 63.9-64.2k and suspected he was being front run, then took 70% of size at 63,940 CMP with 30% held back for 61.5-62k and a deliberately wide 61k stop 'because I'm playing safe'. He green-lit an add at 62.7k market price the next afternoon and confirmed on 06-24 that it had taken his average to 63.3k, that price had touched his entry that day and then dumped hard. He said the stop only counted on a 4h close, which is why he did not take it when price traded through 61k, and at 17:35 he called the bottom in for the day; for members already stopped he suggested re-longing with a 59-60k stop. Just over an hour later the 4h was closing under, he admitted 'Was wrong about the bottom' and took the loss at -1.25R with an apology.</t>
  </si>
  <si>
    <t xml:space="preserve">he expected a squeeze before 60k broke and called the bottom in on 06-24; instead the 4h closed under and price dumped hard</t>
  </si>
  <si>
    <t xml:space="preserve">No exit price was ever posted, so exit_price is null; -1.25R is his own stated figure and is worse than a clean stop at the published 61k because he held through it waiting for a 4h close. msgs 570 and 571 are the plans that preceded the call (he thought he was being front run at 63.6k).</t>
  </si>
  <si>
    <t xml:space="preserve">#570, #571, #572, #573, #574, #577, #578, #579, #580</t>
  </si>
  <si>
    <t xml:space="preserve">https://discord.com/channels/1042855255089623100/1501271173588193290/1518652206641844423</t>
  </si>
  <si>
    <t xml:space="preserve">2026-06-24 16:42:34</t>
  </si>
  <si>
    <t xml:space="preserve">SPCXUSDT</t>
  </si>
  <si>
    <t xml:space="preserve">conditional - only if SPCX gave him 155 before dropping into the 140s</t>
  </si>
  <si>
    <t xml:space="preserve">135, 140</t>
  </si>
  <si>
    <t xml:space="preserve">SPCX looked like an easy short down to 135-140, but only from 155 - he would not chase it lower.</t>
  </si>
  <si>
    <t xml:space="preserve">He flagged SPCX as an easy short to 135-140 but made it conditional: he would only take it if he got 155 before price dropped into the 140s, and promised to post the entry whenever he took it. He never did. The next time SPCX appears, in August, he is long it off a call he had made on X.</t>
  </si>
  <si>
    <t xml:space="preserve">Conditional idea with a target but no stop; nothing indicates the 155 trigger came or that he entered, so it is recorded as not_taken.</t>
  </si>
  <si>
    <t xml:space="preserve">#575</t>
  </si>
  <si>
    <t xml:space="preserve">https://discord.com/channels/1042855255089623100/1501271173588193290/1519336939113808096</t>
  </si>
  <si>
    <t xml:space="preserve">2026-06-24 17:16:09</t>
  </si>
  <si>
    <t xml:space="preserve">JUPUSDT</t>
  </si>
  <si>
    <t xml:space="preserve">0.214 CMP</t>
  </si>
  <si>
    <t xml:space="preserve">0.24</t>
  </si>
  <si>
    <t xml:space="preserve">2026-06-24 20:52:04</t>
  </si>
  <si>
    <t xml:space="preserve">Relative strength play - JUP was holding well against the dump, so he expected a breakout if BTC reversed.</t>
  </si>
  <si>
    <t xml:space="preserve">He longed JUP at 0.214 CMP for 0.24 with a 0.1969 stop, on the logic that it was holding up against the dump and would break out once BTC reversed. BTC never reversed. Under four hours later the stop was hit: 'JUP stopped out, started great but BTC ruining it. Sorry guys, rough month.' He did not restate the fill.</t>
  </si>
  <si>
    <t xml:space="preserve">breakout</t>
  </si>
  <si>
    <t xml:space="preserve">BTC dumping and dragging alts down; he calls it a rough month</t>
  </si>
  <si>
    <t xml:space="preserve">No exit price posted, so exit_price is null; the stated stop was 0.1969. [AUDIT] Audit: management_story says "BTC never reversed" — BTC did reverse ~2h later (MSG 582-589).</t>
  </si>
  <si>
    <t xml:space="preserve">#576, #586</t>
  </si>
  <si>
    <t xml:space="preserve">https://discord.com/channels/1042855255089623100/1501271173588193290/1519345393325048010</t>
  </si>
  <si>
    <t xml:space="preserve">2026-06-24 20:34:12</t>
  </si>
  <si>
    <t xml:space="preserve">he announced his own fill at 59.5k first (msg 582), then posted the formal call seven minutes later at 59.4k CMP with 30-40% saved to add lower or on a bounce</t>
  </si>
  <si>
    <t xml:space="preserve">61000, 63000</t>
  </si>
  <si>
    <t xml:space="preserve">save 30-40% for a DCA; a minute after entering he said 'ngl not sure about SL but I have 56-57k in my mind' before fixing it at 57.5k in the call</t>
  </si>
  <si>
    <t xml:space="preserve">62000</t>
  </si>
  <si>
    <t xml:space="preserve">2026-06-25 02:59:21</t>
  </si>
  <si>
    <t xml:space="preserve">He read the dump as a stop-run to a new daily low and bought the dead cat bounce on the lower timeframes at 59.5k, targeting 61-63k.</t>
  </si>
  <si>
    <t xml:space="preserve">Ninety minutes after taking the -1.25R stop he longed BTC at 59.5k, arguing they had hit a new daily low and a dead cat bounce was coming on the lower timeframes; a minute later he floated a 56-57k stop, then posted the formal call at 59.4k CMP with a 57.5k stop, 61-63k targets and 30-40% saved for a DCA. By late evening the trade was well in profit on two accounts - 59,214.3 and 59,595.1 - and he banked the thesis publicly: '1.1R from 59.2, 1R from 59.5 done boys, as I said they'll make a new daily low then bounce it'. He told members they could take 25-30% off there and said he would close the rest around 62k or on a rejection, then posted proof that the entry he had published was the one he was actually in. At 02:59 on 06-25 he closed the whole position at 61,117.2 for +383.11% because 'our Target 1 is achieved', telling members they could take 50% there and the rest at 61.8-62k.</t>
  </si>
  <si>
    <t xml:space="preserve">daily low, lower timeframe</t>
  </si>
  <si>
    <t xml:space="preserve">capitulation into a new daily low roughly 90 minutes after his 63.3k long was stopped for -1.25R</t>
  </si>
  <si>
    <t xml:space="preserve">Two accounts with different fills - 59,214.3 (the one he says most members should have) and 59,595.1 (Blofin) - and he quotes 1.1R from the first, 1R from the second; avg_entry uses the first, exit_price and roi_pct come from the closing card, which is the 59,595.1 account. The 25-30% partial in msg 589 was follower guidance, not his own fill - he closed 100% at msg 591. The 56-57k stop floated in msg 584 was superseded six minutes later by the 57.5k in the formal call.</t>
  </si>
  <si>
    <t xml:space="preserve">#582, #584, #585, #587, #588, #589, #590, #591, #592</t>
  </si>
  <si>
    <t xml:space="preserve">https://discord.com/channels/1042855255089623100/1501271173588193290/1519395234063192325</t>
  </si>
  <si>
    <t xml:space="preserve">2026-06-25 15:12:55</t>
  </si>
  <si>
    <t xml:space="preserve">TOSHIUSDT</t>
  </si>
  <si>
    <t xml:space="preserve">0.000126, 0.000142</t>
  </si>
  <si>
    <t xml:space="preserve">Shitcoin, total gambling - don't risk more than 2%</t>
  </si>
  <si>
    <t xml:space="preserve">0.0001126 (to_profit)</t>
  </si>
  <si>
    <t xml:space="preserve">An openly-labelled gamble on a shitcoin, sized so nobody risked more than 2%.</t>
  </si>
  <si>
    <t xml:space="preserve">He called the TOSHI long at 0.00011 with targets at 0.000126-0.000142 and a 0.00009 stop, labelling it a shitcoin and total gambling with a 2% risk cap. The next day it was 'running'. By 28 June it had pumped 25% in spot terms - a 1.5R move - and his 50x card showed +965.92% from an entry of 0.0001101 with funding deeply negative. That evening he moved the stop above entry to 0.0001126 to lock in profit and took only 20% off at around 1R, leaving the bulk to run. Nothing further about TOSHI is ever posted.</t>
  </si>
  <si>
    <t xml:space="preserve">funding</t>
  </si>
  <si>
    <t xml:space="preserve">heavily negative funding (-1.1492%) as it pumped</t>
  </si>
  <si>
    <t xml:space="preserve">The final exit is never reported - the file goes quiet on TOSHI after 28 June. It is recorded as a win because he banked a 20% partial in profit and had his stop locked above entry, so the remainder could not have closed at a loss, but the size of the result is unknown.</t>
  </si>
  <si>
    <t xml:space="preserve">#593, #613, #617, #618, #619</t>
  </si>
  <si>
    <t xml:space="preserve">https://discord.com/channels/1042855255089623100/1501271173588193290/1519676767046996118</t>
  </si>
  <si>
    <t xml:space="preserve">2026-06-25 15:35:07</t>
  </si>
  <si>
    <t xml:space="preserve">50% at CMP with 50% saved for a DCA he would announce - 'For a safer entry just enter when I DCA'; he had already taken it personally at 61.2k in small size four minutes earlier</t>
  </si>
  <si>
    <t xml:space="preserve">small size, and he flagged it 'RISKY TRADE' three minutes after posting</t>
  </si>
  <si>
    <t xml:space="preserve">2026-06-25 16:02:26</t>
  </si>
  <si>
    <t xml:space="preserve">A small, self-flagged risky long at 61.2-61.3k taken straight after banking the bounce trade, half size with half saved for a DCA.</t>
  </si>
  <si>
    <t xml:space="preserve">Half an hour after banking the bounce trade he said he was personally long again from 61.2k in small size, then published the setup at 61.3k CMP for 50% of size with 50% saved for a DCA and a 58.6k stop, telling cautious members to wait and enter when he DCAed. Three minutes later he flagged the whole thing 'RISKY TRADE'. Twenty-three minutes after that he closed it flat - in at 61,253.1, out at 61,270.6, +4.28% on the 150x card - saying 'Closed at BE for now'. He immediately said the setup itself was fine but would take too long to play out from 61.3k, so he would look to long from around 60k or short from 62k+ instead.</t>
  </si>
  <si>
    <t xml:space="preserve">chop just above his 61.1k exit; he decided there was no edge at that price</t>
  </si>
  <si>
    <t xml:space="preserve">The personal 61.2k entry (msg 594) and the published 61.3k call (msg 595) are treated as one position - the card average 61,253.1 sits between them. The short-from-62k plan in msg 597 was never taken. [AUDIT] Audit: management_story says "half an hour after" the previous trade; the real gap is 12.6 hours (MSG 591 02:59 -&gt; MSG 594 15:35). MSG 598 is cited in the story but missing from msgs.</t>
  </si>
  <si>
    <t xml:space="preserve">#594, #595, #596, #597</t>
  </si>
  <si>
    <t xml:space="preserve">https://discord.com/channels/1042855255089623100/1501271173588193290/1519682355940294666</t>
  </si>
  <si>
    <t xml:space="preserve">2026-06-25 16:58:03</t>
  </si>
  <si>
    <t xml:space="preserve">58.2k CMP for half the size with 50% reserved for a DCA (no level given); he clarified his own fill was 58.5k while CMP was 58.2k</t>
  </si>
  <si>
    <t xml:space="preserve">half size in, 50% reserved for a DCA</t>
  </si>
  <si>
    <t xml:space="preserve">60000</t>
  </si>
  <si>
    <t xml:space="preserve">70% at 59502.9</t>
  </si>
  <si>
    <t xml:space="preserve">2026-06-25 17:18:22</t>
  </si>
  <si>
    <t xml:space="preserve">Re-long the second bottom bounce of the day much lower than he had planned - half size at 58.2k CMP with 50% kept back for a DCA and a 56k stop.</t>
  </si>
  <si>
    <t xml:space="preserve">Fifty-five minutes after the breakeven exit he re-longed far lower than he had planned, calling 58.2k CMP for half the size with 50% reserved for a DCA and a 56k stop, then clarifying that 58.2k was CMP while his own fill was 58.5k. Twelve minutes later he banked 70% at about 59,502.9 (+226.87% on the 150x card) and left the last 30% for 60k. Eight minutes after that he closed everything at 59.1k because his own average entry was 'bad', telling anyone filled at 58.4k or lower to keep it running. At 17:37 he posted a card showing the 60k target filled at 60,008.6 - from an entry of 58,305.1, which does not match the 58,616.4 shown 27 minutes earlier - and claimed he had caught both yesterday's and today's bottom bounce.</t>
  </si>
  <si>
    <t xml:space="preserve">second capitulation low of the week; he had said he would re-long around 60k and ended up taking it at 58.2k</t>
  </si>
  <si>
    <t xml:space="preserve">His own stated action is the full close at 59.1k (msg 603), so that is exit_price. The msg 605 card showing the 60k target filling at 60,008.6 carries an entry of 58,305.1 that matches neither the 58,616.4 card nor his stated 58.5k fill - either a second account or a members-facing card - so the trade is not recorded as ending at 60k. msg 598 is the plan that led to this re-entry; msg 607 is his post-trade comment that he would replay the same setup if BTC returned to 58k, which it did not that day.</t>
  </si>
  <si>
    <t xml:space="preserve">#598, #600, #601, #602, #603, #605, #607</t>
  </si>
  <si>
    <t xml:space="preserve">https://discord.com/channels/1042855255089623100/1501271173588193290/1519690053415338144</t>
  </si>
  <si>
    <t xml:space="preserve">2026-06-26 08:28:49</t>
  </si>
  <si>
    <t xml:space="preserve">61000</t>
  </si>
  <si>
    <t xml:space="preserve">half risk trade</t>
  </si>
  <si>
    <t xml:space="preserve">2026-06-26 16:53:58</t>
  </si>
  <si>
    <t xml:space="preserve">A half-risk long in a tight range at 59.8k for a single 61k target, invalidated below 58.2k.</t>
  </si>
  <si>
    <t xml:space="preserve">On the morning of 06-26 he called a half-risk long at 59.8k CMP with a single 61k target and a 58.2k invalidation. It ran most of the way there but stalled - eight and a half hours later he said BTC had 'missed target by 200$' and would close it on breakeven for now rather than risk the reversal. No exit price and no card were ever posted, so the flat exit is known only from his own words measured against the 59.8k call entry. That evening he said the weekend dump felt over and BTC should head to at least 62k, and that he would look for another BTC long.</t>
  </si>
  <si>
    <t xml:space="preserve">range-bound weekend chop; later that evening he decided the dump was over and BTC was heading to at least 62k</t>
  </si>
  <si>
    <t xml:space="preserve">avg_entry and exit_price are both the 59.8k call entry - he never posted a fill, an exit price or a card for this trade, and 'will close this on BE' is the only evidence of how it ended.</t>
  </si>
  <si>
    <t xml:space="preserve">#608, #609</t>
  </si>
  <si>
    <t xml:space="preserve">https://discord.com/channels/1042855255089623100/1501271173588193290/1519937459322884237</t>
  </si>
  <si>
    <t xml:space="preserve">2026-06-26 16:56:12</t>
  </si>
  <si>
    <t xml:space="preserve">Never published as a call - a 10x swing opened before he disclosed it, mentioned only in chat at the time</t>
  </si>
  <si>
    <t xml:space="preserve">Set-and-forget swing running with about 10% margin on a side app - he had forgotten about it.</t>
  </si>
  <si>
    <t xml:space="preserve">66 (screenshot of his own earlier message showing he bought the 66 bottom the previous day; the buy itself predates this message)</t>
  </si>
  <si>
    <t xml:space="preserve">2026-07-02 14:13:48</t>
  </si>
  <si>
    <t xml:space="preserve">He held SOL as the strongest mainstream alt and ran a low-leverage swing long from the June bottom, expecting 75-85 in July.</t>
  </si>
  <si>
    <t xml:space="preserve">He disclosed a 10x SOL swing he had mentioned in chat days earlier and then forgotten - 'SOL is the strongest don't miss out, you'll see it 75-85 easily in July' - and posted the Blofin card two seconds later (entry 67.55, mark 70.30, +40.71%, open). Twenty minutes on he showed a screenshot proving he had bought the previous day's bottom at 66, regretting not publishing a long there, and that evening called 75-78 by the weekend, noting it felt bad being long alone from the bottom. On 29 June the position was +110.42% (card entry 68.46, mark 76.02) and he expected 80+ by the weekend; on 1 July, 'Well 75 was done at weekend, 78 now, 80-82 by this weekend' with the card at +130.23%. He closed the next afternoon at 82 - the top of his own 80-82 zone - for +196.41%, reminding everyone he had been telling them to buy SOL at 66-67 right before the pump.</t>
  </si>
  <si>
    <t xml:space="preserve">Post-bottom alt recovery; he repeatedly framed SOL and HYPE as the leaders.</t>
  </si>
  <si>
    <t xml:space="preserve">Entry predates the log and was never timestamped - he bought around the 66 bottom on ~25 June and only disclosed the position on 26 June - so entry_time and duration are null. The card entry drifts across posts (67.55 on 26 Jun, 68.46 on 29 Jun, 68.53 on 1-2 Jul), which does not square neatly with a 66 buy; avg_entry uses the final card. The 75-85, 80 and 80-82 levels are forecasts he voiced, not resting orders, so planned_take_profits is empty.</t>
  </si>
  <si>
    <t xml:space="preserve">#610, #611, #612, #614, #624, #648, #651</t>
  </si>
  <si>
    <t xml:space="preserve">https://discord.com/channels/1042855255089623100/1501271173588193290/1520065148054671480</t>
  </si>
  <si>
    <t xml:space="preserve">2026-06-27 06:16:37</t>
  </si>
  <si>
    <t xml:space="preserve">'bought some BEAT in spot around 2.6' - officially a spot call, not a setup</t>
  </si>
  <si>
    <t xml:space="preserve">Risky trade, invest max 5% of your spot; the 2 stop applies only to the optional leveraged version</t>
  </si>
  <si>
    <t xml:space="preserve">2026-07-01 17:24:05</t>
  </si>
  <si>
    <t xml:space="preserve">A spot punt on BEAT around 2.6 expecting a 40-100% 'scam pump', capped at 5% of anyone's spot.</t>
  </si>
  <si>
    <t xml:space="preserve">On 27 June he said he had bought BEAT in spot around 2.6 - a risky trade worth at most 5% of anyone's spot - and that while it could also be traded long with 2 as the stop, officially it was a spot call. He was expecting a 40-100% scam pump. It delivered the low end: on 1 July he reported BEAT had given exactly a 40% pump from their entry and that he had taken profit, though he never posted the exit price. He added that he still expected a further scam pump up to $4 even though he was out.</t>
  </si>
  <si>
    <t xml:space="preserve">Entry is 'around 2.6' and no exit price is ever given - the 40% is his own description of the move, so exit_price is null. No published target existed, so the exit is a discretionary profit-take rather than a TP fill.</t>
  </si>
  <si>
    <t xml:space="preserve">#615, #642</t>
  </si>
  <si>
    <t xml:space="preserve">https://discord.com/channels/1042855255089623100/1501271173588193290/1520266578879316088</t>
  </si>
  <si>
    <t xml:space="preserve">2026-06-27 06:20:08</t>
  </si>
  <si>
    <t xml:space="preserve">60k CMP, published explicitly as an idea for members - 'Just an idea if anyone wants to swing, I'll take a scalp later on'</t>
  </si>
  <si>
    <t xml:space="preserve">65000</t>
  </si>
  <si>
    <t xml:space="preserve">an idea handed to members, not a trade he was taking himself</t>
  </si>
  <si>
    <t xml:space="preserve">A 60k-to-65k swing idea offered to members after he decided the weekend dump was over, while he intended to scalp instead.</t>
  </si>
  <si>
    <t xml:space="preserve">He posted this purely as an idea for members - 60k CMP, 65k target, 56,800 stop - and said in the same message that he was not taking it himself: 'Just an idea if anyone wants to swing, I'll take a scalp later on'. Nothing in the log shows him entering it and the setup is never mentioned again. His next actual BTC trades were the 06-29 swing short from 60k and the long he scrambled into at 59,200 the same morning. Recorded as not taken.</t>
  </si>
  <si>
    <t xml:space="preserve">he thought the weekend dump was finished and BTC was heading to at least 62k</t>
  </si>
  <si>
    <t xml:space="preserve">msg 613 is the plan the evening before ('will look for a BTC long again') that leads into this idea. Side is inferred from the structure of the call - TP above and SL below entry - as the event itself is not labelled long or short.</t>
  </si>
  <si>
    <t xml:space="preserve">#613, #616</t>
  </si>
  <si>
    <t xml:space="preserve">https://discord.com/channels/1042855255089623100/1501271173588193290/1520091131084275922</t>
  </si>
  <si>
    <t xml:space="preserve">2026-06-29 02:53:53</t>
  </si>
  <si>
    <t xml:space="preserve">59,700 CMP or 60k, with 50% of size held back for a DCA at 62k; entering near the DCA was offered as a better R. His own fill is quoted as 60k, card 59,972.9</t>
  </si>
  <si>
    <t xml:space="preserve">56000, 57000</t>
  </si>
  <si>
    <t xml:space="preserve">swing with a wide 64k stop; members told they could enter around the DCA for a better R</t>
  </si>
  <si>
    <t xml:space="preserve">57550 -&gt; 57550</t>
  </si>
  <si>
    <t xml:space="preserve">2026-07-01 04:56:25</t>
  </si>
  <si>
    <t xml:space="preserve">He wanted to buy the 57k region anyway, so he shorted into it from 59.7-60k with a wide 64k stop and half the size reserved for a 62k DCA.</t>
  </si>
  <si>
    <t xml:space="preserve">He opened the swing short at 59,700 CMP (or 60k) on 06-29 with the reasoning 'I want to long from 57k region so why not try a short', holding 50% back for a DCA at 62k, planning to take profit manually around 56-57k, and using a wide 64k stop. His fill is quoted as 60k, with the closing card showing 59,972.9, and the 62k DCA never filled. On 06-30 he replaced the loose 56-57k plan with a hard 57,550 target and re-posted it under the original call so members could see it against the setup, running the short alongside a fresh 58.3k scalp long. The target was never reached: on 07-01 he said the short was in profit and had 'almost touched our TP', then closed it at 59,318.1 for +163.77% on the 150x card.</t>
  </si>
  <si>
    <t xml:space="preserve">run deliberately alongside his fresh BTC longs; he was shorting into a level he intended to buy</t>
  </si>
  <si>
    <t xml:space="preserve">No separate fill message was posted, so entry_time is the call time; his stated fill (60k, card 59,972.9) is above the 59,700 CMP in the call, so the actual entry may have been slightly later. The exit comes from the later context (msg 637). Two later messages muddy it: at 17:17 on 07-01 he still says the short's 'TP missed by 200$' and 'a DCA full will be nice', and at 18:09 he says the swing short is running alongside a new scalp short - so he may have re-established the position after this close.</t>
  </si>
  <si>
    <t xml:space="preserve">#620, #627, #628, #636, #637</t>
  </si>
  <si>
    <t xml:space="preserve">https://discord.com/channels/1042855255089623100/1501271173588193290/1520940334593609748</t>
  </si>
  <si>
    <t xml:space="preserve">2026-06-29 05:42:18</t>
  </si>
  <si>
    <t xml:space="preserve">he wanted a 59k scalp long but price ran up too fast for him to post it, so the setup was never published; his actual fill is the 59,200 on the card in msg 623</t>
  </si>
  <si>
    <t xml:space="preserve">2026-06-29 06:12:13</t>
  </si>
  <si>
    <t xml:space="preserve">He wanted to be long as well as short and was waiting for a new daily low to trigger it; when the 59k scalp ran away from him he took 59,200 anyway with a DCA resting below, expecting a good pump.</t>
  </si>
  <si>
    <t xml:space="preserve">At 02:54 on 06-29, minutes after posting the swing short, he said he would long too and was waiting for a new daily low. At 05:42 he admitted he had wanted to scalp long at 59k but price 'went up so fast couldn't update', so the setup was never published. Half an hour later he showed himself in anyway at 59,200 with a DCA resting below, saying this would 'pump good' and he just hoped the DCA filled. That card is an open-position mark at 60,063.9 and no exit is ever recorded - when he called a fresh long at 58.3k the next day he described it as one heavy entry with no DCA, and the two longs closed on 07-01 carry entries of 58,486.2 and 58,372.7, so neither of them is this one.</t>
  </si>
  <si>
    <t xml:space="preserve">daily low</t>
  </si>
  <si>
    <t xml:space="preserve">crazy wicks up and down; price ran $500 while he was writing the post</t>
  </si>
  <si>
    <t xml:space="preserve">This position simply disappears from the log - no close, no stop, no target was ever posted for it, and no later card matches the 59,200 entry, so outcome is unknown and it is flagged as still open. It may have been closed unannounced or folded into the 06-30 long. first_seen is the missed 59k attempt (msg 622); msg 621, where he first said he would long as well, is included in msgs. No stop was ever given.</t>
  </si>
  <si>
    <t xml:space="preserve">#621, #622, #623</t>
  </si>
  <si>
    <t xml:space="preserve">https://discord.com/channels/1042855255089623100/1501271173588193290/1520940547701997568</t>
  </si>
  <si>
    <t xml:space="preserve">2026-06-30 16:02:13</t>
  </si>
  <si>
    <t xml:space="preserve">58.3k CMP, run alongside the 60k swing short; nothing was saved for a DCA - msg 632 says it was one heavy entry</t>
  </si>
  <si>
    <t xml:space="preserve">unusually for him a single heavy entry with no DCA reserve, which is why he took a partial at all</t>
  </si>
  <si>
    <t xml:space="preserve">57000 (tightened)</t>
  </si>
  <si>
    <t xml:space="preserve">59180 -&gt; 59500</t>
  </si>
  <si>
    <t xml:space="preserve">50% at 59104.4</t>
  </si>
  <si>
    <t xml:space="preserve">2026-07-01 04:56:00</t>
  </si>
  <si>
    <t xml:space="preserve">A scalp long at 58.3k CMP taken alongside the running 60k swing short, aiming for a quick pop to 59,180 with a 56.3k invalidation.</t>
  </si>
  <si>
    <t xml:space="preserve">He called a long at 58.3k CMP with a 56.3k stop, running it alongside the 60k swing short, and forty minutes later reframed it as a scalp with a 59,180 target. The target 'got hit instantly': he took 50% off at an average 59,104.4, lifted the target for the rest to around 59.5k, tightened the stop to 57k and said he would add 25% back at 58.2k if price came down. He explained the unusual partial - he does not normally take them, but this was one heavy entry with no DCA saved - said he was still holding, and told members to exit on a hard rejection off the 50 EMA at 59.3k because he might not be able to update in time. Price dumped immediately after his 50%, he said he would add the 25% back at 58k and re-longed separately at 58.4k, and by 04:56 on 07-01 this one was closed: the card shows 58,486.2 in at 58,950.3 out, +119.03%, one of the 'two long scalps of around 0.5Rs' he booked that morning.</t>
  </si>
  <si>
    <t xml:space="preserve">50 EMA</t>
  </si>
  <si>
    <t xml:space="preserve">sharp two-way action - the scalp target filled almost instantly and price then dumped straight back</t>
  </si>
  <si>
    <t xml:space="preserve">The exit is pieced together from the later context. Of the two cards on 07-01, msg 635 explicitly ties 58,372.7 -&gt; 58,957.8 to the re-long, so the other card (58,486.2 -&gt; 58,950.3) is taken as this position; but its 58,486.2 average is above the 58.3k CMP he called and does not reflect the 25% add-back at 58k he said he would make, and msg 638 describes one long as 'closed at 59.2k earlier', which matches neither card. The 50% partial at 59,104.4 on 06-30 is the well-documented part; the exact final fill and close time are uncertain. r_multiple is his own approximation ('around 0.5Rs').</t>
  </si>
  <si>
    <t xml:space="preserve">#627, #629, #631, #632, #633, #634, #636, #638</t>
  </si>
  <si>
    <t xml:space="preserve">https://discord.com/channels/1042855255089623100/1501271173588193290/1521501113877139617</t>
  </si>
  <si>
    <t xml:space="preserve">2026-06-30 16:46:29</t>
  </si>
  <si>
    <t xml:space="preserve">A bit risky - he flagged it at the call and again at the stop-out</t>
  </si>
  <si>
    <t xml:space="preserve">2026-07-01 17:01:39</t>
  </si>
  <si>
    <t xml:space="preserve">A relative-strength play: HYPE was holding well and he expected a BTC bounce around 57-58k to lift it.</t>
  </si>
  <si>
    <t xml:space="preserve">He called HYPE long at 64.8 CMP with a 68 target and a 62.7 stop, saying it was a bit risky but that HYPE was holding well and a BTC bounce around 57-58k might send it higher. A day later the stop went. His only comment was that he had said it was risky and hoped people had managed their risk. No levels or figures were restated.</t>
  </si>
  <si>
    <t xml:space="preserve">expected a BTC bounce around 57-58k</t>
  </si>
  <si>
    <t xml:space="preserve">No exit price, ROI or R figure was given for the stop-out; the published stop was 62.7, and he never confirmed his own fill.</t>
  </si>
  <si>
    <t xml:space="preserve">#630, #639</t>
  </si>
  <si>
    <t xml:space="preserve">https://discord.com/channels/1042855255089623100/1501271173588193290/1521512253352841236</t>
  </si>
  <si>
    <t xml:space="preserve">2026-06-30 17:58:28</t>
  </si>
  <si>
    <t xml:space="preserve">58.4k CMP (market), posted as 'Long again' minutes after the dump off 59.2k</t>
  </si>
  <si>
    <t xml:space="preserve">2026-07-01 04:48:43</t>
  </si>
  <si>
    <t xml:space="preserve">Re-longs BTC immediately after the 59.2k spike dumped back to 58.4k, same dip-buying idea as the scalp he had just taken half off, with a 57k invalidation.</t>
  </si>
  <si>
    <t xml:space="preserve">He posted the re-long at 58.4k CMP with a 57k stop and no target, running it alongside the older 58.3k long he had already half-closed. He held it overnight and closed it the next morning at 58,957.8 from an average 58,372.7 (+150.34% on a 150x card) with the words 'Closed this after re-longing'. Minutes later he told the channel both longs were out - 'One was closed at 59.2k earlier, one at 59k rn' - and framed the pair as 'Caught 2 long scalps of around 0.5Rs'. Followers still in the older trade were told to add back at 58k; he added 25% back there himself, on the older position rather than this one.</t>
  </si>
  <si>
    <t xml:space="preserve">BTC whipsawing in the 58-59.2k range on 30 June; he had just banked 50% of the earlier 58.3k scalp at ~59.1k before the dump</t>
  </si>
  <si>
    <t xml:space="preserve">He ran two BTC longs at once here, so read the cards carefully: MSG 636 shows two 150x cards and only the 58,372.7 one belongs to this re-long (MSG 635 attaches it explicitly). The other card (58,486.2 to 58,950.3, +119.03%) belongs to the older 58.3k long called in MSG 627, which starts before this window. The 'add 25% back at 58k' instruction in MSG 634 is also for that older trade, not this one. The 0.5R is his own rough figure ('around 0.5Rs'), not a computed number.</t>
  </si>
  <si>
    <t xml:space="preserve">#634, #635, #636, #638</t>
  </si>
  <si>
    <t xml:space="preserve">https://discord.com/channels/1042855255089623100/1501271173588193290/1521530366798594078</t>
  </si>
  <si>
    <t xml:space="preserve">2026-07-01 17:03:13</t>
  </si>
  <si>
    <t xml:space="preserve">0.239 CMP with 25% of size saved for a DCA whose level was never given</t>
  </si>
  <si>
    <t xml:space="preserve">Save 25% for DCA</t>
  </si>
  <si>
    <t xml:space="preserve">2026-07-05 06:38:05</t>
  </si>
  <si>
    <t xml:space="preserve">Short JUP at market with a 0.2703 stop, keeping a quarter of the size back for a DCA; no target was published.</t>
  </si>
  <si>
    <t xml:space="preserve">He shorted JUP at 0.239 CMP with a 0.2703 stop and 25% held back for a DCA, giving no target. It drifted for three and a half days without ever threatening the stop or reaching a level worth booking. On 5 July he closed it manually at 0.2358 from 0.2380 for +44.25% at 50x, purely because it was going nowhere.</t>
  </si>
  <si>
    <t xml:space="preserve">The DCA he reserved 25% for was never given a level and never mentioned again. [AUDIT] Audit: "without ever threatening the stop" is inferred from 3.5 days of silence, not stated.</t>
  </si>
  <si>
    <t xml:space="preserve">#640, #674</t>
  </si>
  <si>
    <t xml:space="preserve">https://discord.com/channels/1042855255089623100/1501271173588193290/1521878850936635392</t>
  </si>
  <si>
    <t xml:space="preserve">2026-07-01 17:17:49</t>
  </si>
  <si>
    <t xml:space="preserve">Never published as a setup - a personal position, no entry, stop or target given to the channel</t>
  </si>
  <si>
    <t xml:space="preserve">He believes BTC has finished its move down and that 62k comes this week, so he stays long personally on his high-leverage account rather than as a posted call.</t>
  </si>
  <si>
    <t xml:space="preserve">The only record of this trade is the MEXC share card posted with 'Personally longing BTC I think BTC has given it's move down and we will see 62k this week' - a closed 250x long, average entry 58,637.9, average close 59,939.6, +554.97%. No entry, stop or target was ever published for it, and the entry price sits below the ~58,950 where he had closed the two called longs nine hours earlier, so the fill predates the message by an unknown amount. Forty minutes later he added 'And if you longed big win for you, never hit SL', which reads as a victory lap on the same idea. He flipped to the short side less than an hour after this post.</t>
  </si>
  <si>
    <t xml:space="preserve">BTC recovering through 59-60k on 1 July after the 58k base; his swing short was still running and had missed its target by $200</t>
  </si>
  <si>
    <t xml:space="preserve">Distrust the framing more than the numbers. The card's figures are explicit, but nothing dates the entry, and the text ('Personally longing BTC') is present tense while the card is closed - so this may be (a) a separate uncalled MEXC leg he opened and closed on 1 July, or (b) the 250x account leg of the 30 June / 1 July longs held past the 04:58 'longs are closed' announcement, in which case its true start is outside this window. It is not a duplicate of the 06-30 re-long card: entries (58,637.9 vs 58,372.7) and exits (59,939.6 vs 58,957.8) both differ. MSG 643 may equally refer to the earlier called longs, which also never hit their stop.</t>
  </si>
  <si>
    <t xml:space="preserve">#641, #643</t>
  </si>
  <si>
    <t xml:space="preserve">https://discord.com/channels/1042855255089623100/1501271173588193290/1521882525780148336</t>
  </si>
  <si>
    <t xml:space="preserve">2026-07-01 18:09:03</t>
  </si>
  <si>
    <t xml:space="preserve">59.8k CMP, posted as a scalp while his older swing short was still running</t>
  </si>
  <si>
    <t xml:space="preserve">60250</t>
  </si>
  <si>
    <t xml:space="preserve">59000</t>
  </si>
  <si>
    <t xml:space="preserve">DCA at 60250 offered as optional ('otherwise can just do without DCA'); once it filled he called the trade risky and told anyone who wanted out to leave</t>
  </si>
  <si>
    <t xml:space="preserve">60250 (the optional 25% add filled; he stated the blended entry as 60050)</t>
  </si>
  <si>
    <t xml:space="preserve">2026-07-02 01:22:55</t>
  </si>
  <si>
    <t xml:space="preserve">A quick counter-trend scalp short from 59.8k down to 59k, taken against his own stated bullish view and run next to the swing short he already had on.</t>
  </si>
  <si>
    <t xml:space="preserve">He called the scalp short at 59.8k CMP for 59k with a 61k stop, clarifying a minute later that this was the scalp and the older swing short was still running. He offered an optional 25% DCA at 60,250; it filled within the hour, taking his blended entry to 60,050, at which point he flagged the trade as risky and said anyone who wanted to exit could, pulling his own target in from 59k to about 59,500 for a 0.5R. Price never came back - roughly six hours later he posted 'SL on our BTC short, was in profits and entry for a while mentioned it's risky now, looked like a breakout wanted to take a chance.' Straight afterwards he admitted he had simply counter-traded himself, having said 62k was incoming, and called 62-64k due next.</t>
  </si>
  <si>
    <t xml:space="preserve">BTC pushing up through 60k toward the 62k he himself had called; the move looked like a breakout and he shorted into it anyway</t>
  </si>
  <si>
    <t xml:space="preserve">He never stated a fill price or an ROI for the stop-out; exit_price 61000 is the stop level he posted in the call (MSG 644), carried over, not a figure he quoted. His stated blended entry of 60,050 is also a little above a straight 75/25 blend of 59,800 and 60,250 (~59,913), so his own fills were likely worse than the posted levels. No R was given for the loss.</t>
  </si>
  <si>
    <t xml:space="preserve">#644, #645, #646, #647, #649, #650</t>
  </si>
  <si>
    <t xml:space="preserve">https://discord.com/channels/1042855255089623100/1501271173588193290/1521895420002046186</t>
  </si>
  <si>
    <t xml:space="preserve">2026-07-02 15:19:14</t>
  </si>
  <si>
    <t xml:space="preserve">posted as a 1660 limit or 1656 CMP, then corrected to a 1662 limit with CMP entry still fine</t>
  </si>
  <si>
    <t xml:space="preserve">1622</t>
  </si>
  <si>
    <t xml:space="preserve">Short ETH from 1656-1662 with a first target at 1622 and a 1690 stop.</t>
  </si>
  <si>
    <t xml:space="preserve">He shorted ETH from a 1660 limit or 1656 CMP with TP1 at 1622 and a 1690 stop, correcting the limit to 1662 three minutes later. An hour on he was already grumbling 'yeah never winning on ETH', which reads as the trade moving against him. He never posted a stop-out for it directly, but he re-shorted ETH from 1702 at 18:07 calling it 'one more try', and when he closed that second attempt he said he was playing safe because he had 'already had a SL' on ETH - so this first short was stopped at 1690 during the afternoon.</t>
  </si>
  <si>
    <t xml:space="preserve">ETH grinding higher against him</t>
  </si>
  <si>
    <t xml:space="preserve">The stop-out is inferred, not stated: the evidence is 'ETH short again ... one more try' (MSG 657) and 'already had a SL playing safe' (MSG 658). No exit time or fill price was ever posted, so both are null.</t>
  </si>
  <si>
    <t xml:space="preserve">#652, #653, #654</t>
  </si>
  <si>
    <t xml:space="preserve">https://discord.com/channels/1042855255089623100/1501271173588193290/1522215070954684630</t>
  </si>
  <si>
    <t xml:space="preserve">2026-07-02 18:07:26</t>
  </si>
  <si>
    <t xml:space="preserve">1702 was his own entry, 1697 CMP for anyone following</t>
  </si>
  <si>
    <t xml:space="preserve">playing safe after already taking one stop on ETH</t>
  </si>
  <si>
    <t xml:space="preserve">2026-07-03 02:54:22</t>
  </si>
  <si>
    <t xml:space="preserve">One more try at the ETH short after the first attempt was stopped, from 1702 with a 1735 stop and no target.</t>
  </si>
  <si>
    <t xml:space="preserve">Ninety minutes after his first ETH short was taken out, he shorted again from 1702 (1697 CMP for followers) with a 1735 stop, framing it as 'one more try'. He held it overnight and closed it before 3am at 1699.37 - a 150x card showing +23.1%, effectively flat - saying he was not feeling confident and was playing safe after already taking one stop on ETH. In the same message he offered a swing short with 1780 as the stop for anyone who wanted it, making clear he was out himself.</t>
  </si>
  <si>
    <t xml:space="preserve">Marked breakeven because that is how he described it, even though the card shows a small +23.1% leveraged gain. The 1780-stop swing short mentioned in the same message is follower guidance he explicitly did not take.</t>
  </si>
  <si>
    <t xml:space="preserve">#657, #658</t>
  </si>
  <si>
    <t xml:space="preserve">https://discord.com/channels/1042855255089623100/1501271173588193290/1522257398717485066</t>
  </si>
  <si>
    <t xml:space="preserve">2026-07-03 02:57:25</t>
  </si>
  <si>
    <t xml:space="preserve">1.086 CMP; target to be posted once it started moving</t>
  </si>
  <si>
    <t xml:space="preserve">1.1269, 1.16</t>
  </si>
  <si>
    <t xml:space="preserve">1.1269/1.16</t>
  </si>
  <si>
    <t xml:space="preserve">2026-07-03 21:47:02</t>
  </si>
  <si>
    <t xml:space="preserve">Long XRP at market with a 1.0211 stop, targets to follow once it started moving.</t>
  </si>
  <si>
    <t xml:space="preserve">He longed XRP at 1.086 CMP with a 1.0211 stop and no target, promising one once it moved. By mid-morning it was +209% at 125x and he set TP1 at 1.1269 with a 1.16 TP2 for anyone wanting to hold, then clarified at lunchtime that he had taken nothing off yet and there was no level before 1.1269. That evening TP1 filled and the card showed the 125x long closed from 1.0870 at 1.1270 for +459.98%. The next day he posted 'XRP full TP if someone held' with a card showing entry 1.0868 and an average close of 1.162, so the 1.16 second target was reached as well.</t>
  </si>
  <si>
    <t xml:space="preserve">Two cards with near-identical entries (1.0870 and 1.0868) - his TP1 close at 1.1270 and a second one closing at 1.162 - suggest he ran the same long on two accounts and let one run to TP2, but the second is framed as 'if someone held', so his own exit is recorded at TP1 1.127. If the 1.162 card is also his, the real exit is 1.162 on 2026-07-04 18:13:03.</t>
  </si>
  <si>
    <t xml:space="preserve">#659, #660, #661, #662, #667</t>
  </si>
  <si>
    <t xml:space="preserve">https://discord.com/channels/1042855255089623100/1501271173588193290/1522390773365215243</t>
  </si>
  <si>
    <t xml:space="preserve">2026-07-04 04:13:31</t>
  </si>
  <si>
    <t xml:space="preserve">1750 CMP or 1760 higher up</t>
  </si>
  <si>
    <t xml:space="preserve">1760</t>
  </si>
  <si>
    <t xml:space="preserve">1700</t>
  </si>
  <si>
    <t xml:space="preserve">Short ETH from 1750-1760 for 1700, with the stop defined as a 4h close above 1780 or a hard 1800.</t>
  </si>
  <si>
    <t xml:space="preserve">He shorted ETH at 1750 CMP (or 1760 higher) targeting 1700, with the stop as a 4h close above 1780 or a hard 1800. Eleven hours later he wanted out around breakeven, saying it had gone sideways and was probably just building for another leg up; that evening he softened it - anyone who had exited near BE was fine, anyone still in should keep holding because he was still holding and would post when he closed. On 5 July it came back into profit (150x card, 1759.84 to 1753.36, +55.25%) and he told followers they could safely close while he held, and on 6 July he re-posted it at +195.5% with the position still open. He never posted the close.</t>
  </si>
  <si>
    <t xml:space="preserve">chop - it went sideways for a day before rolling over</t>
  </si>
  <si>
    <t xml:space="preserve">Despite promising to update when he closed, no exit was ever posted. Last seen open and +195.5% on 6 July; by 27 July he is telling people not to short ETH blindly, so it was gone by then. Result recorded as unknown.</t>
  </si>
  <si>
    <t xml:space="preserve">#664, #666, #669, #675, #685</t>
  </si>
  <si>
    <t xml:space="preserve">https://discord.com/channels/1042855255089623100/1501271173588193290/1522772313517588621</t>
  </si>
  <si>
    <t xml:space="preserve">2026-07-04 14:17:28</t>
  </si>
  <si>
    <t xml:space="preserve">219.4/223</t>
  </si>
  <si>
    <t xml:space="preserve">2026-07-04 20:36:59</t>
  </si>
  <si>
    <t xml:space="preserve">Long TAO at market with the target to be set once it moved.</t>
  </si>
  <si>
    <t xml:space="preserve">He called TAO long at 212.4 CMP with a 201.76 stop and said the target would come once it moved a bit. Four hours later, with his card showing the 100x long from 212.45 up +123.25% at 215.07, he set TP1 at 219.4 - where he said he would personally exit the whole position - and TP2 at 223 for anyone holding longer. He did not quite get there: at 218.36 it looked like it was rejecting from the target, so he took the profit and closed the whole position for +278.02%, calling it a decent win.</t>
  </si>
  <si>
    <t xml:space="preserve">No R figure was stated for the result. He exited just under his own TP1, so this is recorded as a manual close rather than a target fill.</t>
  </si>
  <si>
    <t xml:space="preserve">#665, #668, #670</t>
  </si>
  <si>
    <t xml:space="preserve">https://discord.com/channels/1042855255089623100/1501271173588193290/1522924301941211237</t>
  </si>
  <si>
    <t xml:space="preserve">2026-07-04 23:07:23</t>
  </si>
  <si>
    <t xml:space="preserve">469; his fill card shows 468.70</t>
  </si>
  <si>
    <t xml:space="preserve">flagged risky; if he could not post an update, members should take a small TP or move the stop to entry at 0.5R</t>
  </si>
  <si>
    <t xml:space="preserve">468.7 (to_entry)</t>
  </si>
  <si>
    <t xml:space="preserve">453.23</t>
  </si>
  <si>
    <t xml:space="preserve">2026-07-05 05:23:45</t>
  </si>
  <si>
    <t xml:space="preserve">A short on ZEC from 469 that he himself flagged as risky, with the target deliberately held back until it started moving.</t>
  </si>
  <si>
    <t xml:space="preserve">He called the short at 469 with a 492.6 stop, flagged as risky and with no target - the TP would come once it started moving, and if he could not update, members should take a small profit or move the stop to entry at 0.5R. Three hours later he moved his own stop to entry, his card showing the fill at 468.70, set the target at 453.23 with the 75x at +95.89%, and said 10% could be taken off to cover fees in case it ended up stopping at breakeven. Three hours after that the target filled: the card shows the short closed from 468.70 at 453.04 for +250.72%.</t>
  </si>
  <si>
    <t xml:space="preserve">The 10% fee-cover trim is phrased as an option for members ('can take 10%') with no sign he took it himself, so it is not recorded as a partial. His fill, 468.70, is marginally better than the 469 he published.</t>
  </si>
  <si>
    <t xml:space="preserve">#671, #672, #673</t>
  </si>
  <si>
    <t xml:space="preserve">https://discord.com/channels/1042855255089623100/1501271173588193290/1523057662940414053</t>
  </si>
  <si>
    <t xml:space="preserve">2026-07-05 13:17:01</t>
  </si>
  <si>
    <t xml:space="preserve">weekend size - don't go too heavy</t>
  </si>
  <si>
    <t xml:space="preserve">70.8</t>
  </si>
  <si>
    <t xml:space="preserve">2026-07-06 00:34:37</t>
  </si>
  <si>
    <t xml:space="preserve">Long HYPE at market with no target at the call - a weekend trade taken on reduced size, and a fifth win in a row if it worked.</t>
  </si>
  <si>
    <t xml:space="preserve">He called HYPE long at 68.8 CMP with a 65.11 stop and no target, noting that a win here would make five in a row and reminding everyone to use weekend size rather than going heavy. Three hours later he set the first target at 70.8. It filled just after midnight: his card shows the 75x long from 68.787 closed at 70.796 for +219.04%, and he called it a hot streak on a weekend.</t>
  </si>
  <si>
    <t xml:space="preserve">weekend</t>
  </si>
  <si>
    <t xml:space="preserve">No R figure was given. The spot-HYPE remarks he posted two minutes after this close (msg 681) belong to his spot bag, not to this trade.</t>
  </si>
  <si>
    <t xml:space="preserve">#676, #677, #678, #679, #680</t>
  </si>
  <si>
    <t xml:space="preserve">https://discord.com/channels/1042855255089623100/1501271173588193290/1523271479561814016</t>
  </si>
  <si>
    <t xml:space="preserve">2026-07-06 12:18:25</t>
  </si>
  <si>
    <t xml:space="preserve">OPUSDT</t>
  </si>
  <si>
    <t xml:space="preserve">2026-07-06 16:10:45</t>
  </si>
  <si>
    <t xml:space="preserve">Short OP at market with a 0.1123 stop; no target was published.</t>
  </si>
  <si>
    <t xml:space="preserve">He shorted OP at 0.1068 CMP with a 0.1123 stop and no target given. Just under four hours later it had run into profit while he was asleep, so he could not update in time; the card shows the 75x short from 0.1067 closed at 0.1034 for +231.95%, which he put at around 0.5R or better.</t>
  </si>
  <si>
    <t xml:space="preserve">No take-profit level was ever published, so 'TP hit' here just means it closed in profit. He describes the result as 'around 0.5+ R'; 0.5 is recorded as the stated floor.</t>
  </si>
  <si>
    <t xml:space="preserve">#682, #684</t>
  </si>
  <si>
    <t xml:space="preserve">https://discord.com/channels/1042855255089623100/1501271173588193290/1523619119293796442</t>
  </si>
  <si>
    <t xml:space="preserve">2026-07-06 12:34:58</t>
  </si>
  <si>
    <t xml:space="preserve">MEUSDT</t>
  </si>
  <si>
    <t xml:space="preserve">0.0644 CMP, swing - 'can take a week or 2'</t>
  </si>
  <si>
    <t xml:space="preserve">Wide stop on a slow swing.</t>
  </si>
  <si>
    <t xml:space="preserve">2026-07-25 09:34:19</t>
  </si>
  <si>
    <t xml:space="preserve">A patient swing long on ME from 0.0644 with a wide 0.0493 stop, expected to take a week or two.</t>
  </si>
  <si>
    <t xml:space="preserve">He called ME long at 0.0644 CMP with a wide 0.0493 stop and no target, warning it could take a week or two. It then sat untouched for nineteen days - no updates, no stop moves - until he closed it at 0.0668 for +179.96% on 50x, not because it reached anything but because 'too many trades running it's getting messy so closing this now'.</t>
  </si>
  <si>
    <t xml:space="preserve">No target was ever published and the trade got no management at all between call and close.</t>
  </si>
  <si>
    <t xml:space="preserve">#683, #769</t>
  </si>
  <si>
    <t xml:space="preserve">https://discord.com/channels/1042855255089623100/1501271173588193290/1523623284816613437</t>
  </si>
  <si>
    <t xml:space="preserve">2026-07-06 17:25:28</t>
  </si>
  <si>
    <t xml:space="preserve">XLMUSDT</t>
  </si>
  <si>
    <t xml:space="preserve">0.1993 CMP</t>
  </si>
  <si>
    <t xml:space="preserve">0.19276</t>
  </si>
  <si>
    <t xml:space="preserve">flagged risky - he was expecting a pump</t>
  </si>
  <si>
    <t xml:space="preserve">2026-07-07 14:33:11</t>
  </si>
  <si>
    <t xml:space="preserve">A short on XLM at 0.1993 for a tight move to 0.19276 - risky precisely because he was expecting the market to pump against it.</t>
  </si>
  <si>
    <t xml:space="preserve">He called the short at 0.1993 CMP with a tight 0.19276 target and a 0.20923 stop, labelling the setup risky. Overnight he explained the label: the pump he was expecting is exactly why he flagged it, and he was still in the trade, chasing an eighth straight win. It came in the following afternoon - the 75x card shows the short from 0.19789 closed at 0.19291 for +188.93% - and the streak continued.</t>
  </si>
  <si>
    <t xml:space="preserve">he expects BTC to pump toward 65k</t>
  </si>
  <si>
    <t xml:space="preserve">Nothing ambiguous here: the call, the hold through the pump he expected and the target fill are all his own posts, with a closing card.</t>
  </si>
  <si>
    <t xml:space="preserve">#688, #691, #692</t>
  </si>
  <si>
    <t xml:space="preserve">https://discord.com/channels/1042855255089623100/1501271173588193290/1523696391229149324</t>
  </si>
  <si>
    <t xml:space="preserve">2026-07-08 17:42:46</t>
  </si>
  <si>
    <t xml:space="preserve">6.42 CMP or a limit higher at 6.46</t>
  </si>
  <si>
    <t xml:space="preserve">6.22</t>
  </si>
  <si>
    <t xml:space="preserve">2026-07-09 11:05:57</t>
  </si>
  <si>
    <t xml:space="preserve">A short on AVAX from 6.42 (or a 6.46 limit) down to 6.22, stopped above 6.752.</t>
  </si>
  <si>
    <t xml:space="preserve">He shorted AVAX at 6.42 CMP, offering a limit at 6.46 for anyone who wanted a better fill, with TP 6.22 and SL 6.752. Seventeen hours later it was over: 'Unfortunately we got stopped, first SL of the month, sorry.' No exit price was given and the trade was not named in the apology.</t>
  </si>
  <si>
    <t xml:space="preserve">It broke a month-long win streak.</t>
  </si>
  <si>
    <t xml:space="preserve">The stop-out message does not name AVAX, but the AVAX short is the position that was running and its 6.752 stop is the one referenced; symbol link inferred. No fill price stated, so exit_price is null and the published stop sits in planned_stop. The 6.46 alternative is an entry option, not a DCA.</t>
  </si>
  <si>
    <t xml:space="preserve">#694, #695</t>
  </si>
  <si>
    <t xml:space="preserve">https://discord.com/channels/1042855255089623100/1501271173588193290/1524425519163244695</t>
  </si>
  <si>
    <t xml:space="preserve">2026-07-09 16:52:33</t>
  </si>
  <si>
    <t xml:space="preserve">77.9 CMP; TP to be posted once it started moving</t>
  </si>
  <si>
    <t xml:space="preserve">2026-07-21 03:57:23</t>
  </si>
  <si>
    <t xml:space="preserve">Long SOL at market from 77.9 with a 73 stop, targets to follow once it started moving.</t>
  </si>
  <si>
    <t xml:space="preserve">He longed SOL at 77.9 CMP with SL 73 and said he would post a target once it started moving - it never did. Six days in, weighing BTC, he noted 'SOL showing strength too so either way is fine' while still holding. Twelve days after the call he gave up on it: 'Guys closing SOL around BE for now, almost hit SL twice but we survived, sorry for this messy trade.' The card shows entry 77.90 closed at 77.99, +14.22% on 125x - flat in price terms.</t>
  </si>
  <si>
    <t xml:space="preserve">He was watching BTC direction; SOL's relative strength meant either way suited him.</t>
  </si>
  <si>
    <t xml:space="preserve">Closed nine cents above entry after two near-stop-outs; he called it breakeven himself, and the +14.22% is only the leverage multiplying a flat move. No target was ever published.</t>
  </si>
  <si>
    <t xml:space="preserve">#696, #715, #740</t>
  </si>
  <si>
    <t xml:space="preserve">https://discord.com/channels/1042855255089623100/1501271173588193290/1524775271461552238</t>
  </si>
  <si>
    <t xml:space="preserve">2026-07-09 23:35:37</t>
  </si>
  <si>
    <t xml:space="preserve">63.2k CMP; he told followers entering at the DCA or at 62.8k was equally fine</t>
  </si>
  <si>
    <t xml:space="preserve">62570</t>
  </si>
  <si>
    <t xml:space="preserve">64000, 64200</t>
  </si>
  <si>
    <t xml:space="preserve">He flagged the target as small relative to the 1.5k stop distance and offered better entries instead of chasing</t>
  </si>
  <si>
    <t xml:space="preserve">2026-07-10 05:53:30</t>
  </si>
  <si>
    <t xml:space="preserve">A small, tightly-defined long from 63.2k for 64-64.2k, offered to the channel ('Trying a BTC long if anyone wants to join') during a week he otherwise did not want to force trades.</t>
  </si>
  <si>
    <t xml:space="preserve">He called the long at 63.2k CMP with a 62,570 DCA, a 61,700 stop and a 64k-64.2k target, warning up front that the target was small and that entering at the DCA or 62.8k was better than chasing. The trade needed no management: price ran straight to the first target overnight. Six hours after the call he posted 'BTC TP hit' with a 150x card showing 63,229.9 in and 63,998.4 out, +182.32%. The DCA never filled, so the fill was essentially the posted entry.</t>
  </si>
  <si>
    <t xml:space="preserve">Mid-July grind after his 64k call played out; he was waiting on a pullback before adding more long exposure</t>
  </si>
  <si>
    <t xml:space="preserve">No R stated. Only the first target (64k) is documented as filled; the second (64.2k) is never mentioned again. [AUDIT] Audit: thesis/market_context import MSG 701 ("not forcing any trades"), posted a day AFTER this trade closed.</t>
  </si>
  <si>
    <t xml:space="preserve">#697, #698</t>
  </si>
  <si>
    <t xml:space="preserve">https://discord.com/channels/1042855255089623100/1501271173588193290/1524876706572402719</t>
  </si>
  <si>
    <t xml:space="preserve">2026-07-10 21:10:51</t>
  </si>
  <si>
    <t xml:space="preserve">GENIUSUSDT</t>
  </si>
  <si>
    <t xml:space="preserve">0.359 was his own entry, 0.364 CMP for followers</t>
  </si>
  <si>
    <t xml:space="preserve">shitcoin, so don't go too heavy - 2% at max; if you like scalps skip this or just buy it in spot</t>
  </si>
  <si>
    <t xml:space="preserve">0.4/0.44</t>
  </si>
  <si>
    <t xml:space="preserve">2026-07-25 09:39:02</t>
  </si>
  <si>
    <t xml:space="preserve">A long-term swing on a shitcoin from 0.359 with a wide 0.2864 stop, explicitly not for scalpers - buy it in spot if you don't want to hold.</t>
  </si>
  <si>
    <t xml:space="preserve">He put out GENIUS as a long-term swing at his 0.359 entry (0.364 CMP), stop 0.2864, telling scalpers to skip it or just buy spot, and seven minutes later capped size at 2% because it is a shitcoin. He then held it for a fortnight without a single update. On 25 July he closed at 0.3816 from 0.3509 for +172.22% at 20x, with the same reasoning he gave for closing ME - it had finally started moving but he had been holding too long. For anyone not closing with him he said to move the stop to entry and exit at 0.4-0.44.</t>
  </si>
  <si>
    <t xml:space="preserve">His card entry (0.3509) is below both posted entry options (0.359 / 0.364 CMP) and the card still showed the position open when he said he was closing it, so the exit is his stated action rather than a closed-card fill. The 0.4-0.44 exit zone and the stop-to-entry instruction are follower guidance; no stop level was given, so stop_moves is empty.</t>
  </si>
  <si>
    <t xml:space="preserve">#699, #700, #770</t>
  </si>
  <si>
    <t xml:space="preserve">https://discord.com/channels/1042855255089623100/1501271173588193290/1525202663044808884</t>
  </si>
  <si>
    <t xml:space="preserve">2026-07-13 06:33:40</t>
  </si>
  <si>
    <t xml:space="preserve">62800, confirmed as CMP in a one-word follow-up five seconds later</t>
  </si>
  <si>
    <t xml:space="preserve">64000, 64600</t>
  </si>
  <si>
    <t xml:space="preserve">63100/63500</t>
  </si>
  <si>
    <t xml:space="preserve">2026-07-14 16:12:22</t>
  </si>
  <si>
    <t xml:space="preserve">The pullback long he had been waiting for all week - buying 62.8k with a 61.5k invalidation for a run into 64-64.6k.</t>
  </si>
  <si>
    <t xml:space="preserve">He posted the setup at 62,800 with a 61,500 stop and a 64k-64.6k target, confirming it was a market entry. A day later he was still holding from 'around 62.7k' and warned he would close early in the 63.1-63.5k area if he saw weakness. In the end he did neither - he sat through that zone and took profit at 63,781.6 from 62,775.4 on a 150x card (+240.40%), posting 'TP taken on BTC, 64k was almost hit'. Seven hours after his exit he confirmed 'BTC all TPs were hit, I closed earlier', so the full 64.6k target paid out for anyone who held.</t>
  </si>
  <si>
    <t xml:space="preserve">After a win streak at the start of the month he had been sitting out, waiting for a pullback before longing into an expected 65.5-66k weekend push</t>
  </si>
  <si>
    <t xml:space="preserve">Plan and execution diverge in the trader's favour on the entry (62,775.4 vs the posted 62,800) and against him on the exit - he closed below his own posted targets, which then filled. No R stated.</t>
  </si>
  <si>
    <t xml:space="preserve">#702, #703, #708, #709, #710</t>
  </si>
  <si>
    <t xml:space="preserve">https://discord.com/channels/1042855255089623100/1501271173588193290/1526069076533968946</t>
  </si>
  <si>
    <t xml:space="preserve">2026-07-14 03:27:55</t>
  </si>
  <si>
    <t xml:space="preserve">EIGENUSDT</t>
  </si>
  <si>
    <t xml:space="preserve">0.266</t>
  </si>
  <si>
    <t xml:space="preserve">A plain long call on EIGEN at market targeting 0.266 - no reasoning was given.</t>
  </si>
  <si>
    <t xml:space="preserve">He posted the call - long EIGEN at 0.241 CMP, target 0.266, stop 0.22 - and that is the entire record. There is no confirmation that he filled, no management, and no report of a stop or a target being hit. EIGEN never appears again in the file.</t>
  </si>
  <si>
    <t xml:space="preserve">The call is the only EIGEN event in the file. Since it was a CMP call he presumably took it, but nothing confirms the entry and the outcome is completely unreported.</t>
  </si>
  <si>
    <t xml:space="preserve">#704</t>
  </si>
  <si>
    <t xml:space="preserve">https://discord.com/channels/1042855255089623100/1501271173588193290/1526384718436765776</t>
  </si>
  <si>
    <t xml:space="preserve">2026-07-14 05:06:45</t>
  </si>
  <si>
    <t xml:space="preserve">TRIAUSDT</t>
  </si>
  <si>
    <t xml:space="preserve">flagged as a CMP long but no entry price was published - 'already 2 shitcoins running so not giving now'</t>
  </si>
  <si>
    <t xml:space="preserve">not given as an official call because two shitcoin positions were already running</t>
  </si>
  <si>
    <t xml:space="preserve">2026-07-14 06:24:47</t>
  </si>
  <si>
    <t xml:space="preserve">Kept TRIA off the official call list because he already had two shitcoins running, but told people to watch it as a CMP long with 0.0067 as the stop - and took it himself.</t>
  </si>
  <si>
    <t xml:space="preserve">At 05:06 he flagged TRIA without officially calling it, saying he already had two shitcoins running but that people could long at CMP with 0.0067 as the stop. He was in it himself, and 78 minutes later he was out: the share card shows a 25x long from 0.008487 at 0.009649 for +342.56%, with the comment that a 20% spot move was good enough for a scalp.</t>
  </si>
  <si>
    <t xml:space="preserve">No entry price was ever published - 0.008487 comes only from the closing card, and the '20% spot move' he quotes does not match that card's move from 0.008487 to 0.009649 (about 14%), so he may have been in from lower or earlier than the 05:06 message.</t>
  </si>
  <si>
    <t xml:space="preserve">#706, #707</t>
  </si>
  <si>
    <t xml:space="preserve">https://discord.com/channels/1042855255089623100/1501271173588193290/1526409587589120102</t>
  </si>
  <si>
    <t xml:space="preserve">2026-07-15 00:40:11</t>
  </si>
  <si>
    <t xml:space="preserve">64,850 CMP; he named 65-65.1k as the better price but would not post a limit there for fear of being front-run</t>
  </si>
  <si>
    <t xml:space="preserve">Explicitly risky and counter to his own view (he expected 66-67k); 50% of size held back for a DCA and members told to go small or wait for his DCA</t>
  </si>
  <si>
    <t xml:space="preserve">65000 (a deliberately small DCA - 20% instead of the planned 50% - because he expected BTC at 67k; he described the position as 'risking 0.6+' after it)</t>
  </si>
  <si>
    <t xml:space="preserve">63250</t>
  </si>
  <si>
    <t xml:space="preserve">2026-07-16 09:01:24</t>
  </si>
  <si>
    <t xml:space="preserve">A scalp short from 64,850 down toward 63k taken openly against his own bias - he expected BTC to run to 66-67k and said so in the same message.</t>
  </si>
  <si>
    <t xml:space="preserve">He flagged the idea the night before ('too tired at the moment, if I enter will update') and then posted the short at 64,850 CMP targeting 63k, labelling 66,200 as the invalidation and holding half the size back for a DCA. Ten hours in it was in small profit and he repeated the risk warning; that evening he DCAed only about 20% at 65k rather than the planned 50% because he still expected 67k. Next morning he firmed the target to 63,250, then closed the whole thing an hour later for +11.92% on a 150x card (64,948.66 in, 64,896.8 out): 'Closed for a very small profit, I have a feeling BTC wants 66k today better close here than in red'. He immediately regretted it, posting an overthinking meme and then admitting the roadmap moved exactly as he had called but 'chickened out from BTC short at the lost moment, feels awful' - price did trade down to the 63k area he had targeted.</t>
  </si>
  <si>
    <t xml:space="preserve">BTC around 64.85k after his 65k call played out; he was publicly bullish to 66-67k and shorting into it anyway</t>
  </si>
  <si>
    <t xml:space="preserve">In the call he labelled 66,200 as 'TP' although it sits above a short entry - read as the stop (almost certainly a label typo); the real target was the 'targeting 63k' line. Technically a win, but only +11.92% at 150x, and by his own account the trade should have been held. Card entry 64,948.66 is slightly above a straight 80/20 blend of 64,850 and 65,000.</t>
  </si>
  <si>
    <t xml:space="preserve">#710, #711, #712, #715, #716, #717, #718, #719, #720</t>
  </si>
  <si>
    <t xml:space="preserve">https://discord.com/channels/1042855255089623100/1501271173588193290/1526682250417016923</t>
  </si>
  <si>
    <t xml:space="preserve">2026-07-17 05:03:10</t>
  </si>
  <si>
    <t xml:space="preserve">63,469 CMP, posted as the scalp version of the setup; a swing version at 63,323 was posted one minute later and is tracked separately</t>
  </si>
  <si>
    <t xml:space="preserve">62811</t>
  </si>
  <si>
    <t xml:space="preserve">64260</t>
  </si>
  <si>
    <t xml:space="preserve">62811 (he confirms at the TP that 'a DCA filled so good gains' and gives the blended average as 63.1k; the fill itself was never announced, most likely during the pullback toward 62.3-61.8k on 17 July)</t>
  </si>
  <si>
    <t xml:space="preserve">2026-07-17 21:30:23</t>
  </si>
  <si>
    <t xml:space="preserve">Scalp long at 63,469 with a DCA at 62,811, on the expectation of a bounce out of the 62.3-61.8k area.</t>
  </si>
  <si>
    <t xml:space="preserve">He posted the scalp at 63,469 CMP with a 62,811 DCA and a 62k stop, adding a 64,260 target twelve minutes later. Through the day BTC dipped toward his DCA zone; he told followers still using 62k as a stop to lower it or wait for a 4h close instead, while saying nothing about moving his own. That evening he announced 'BTC TP hit with a DCA filled so good gains! Avg was 63.1k' with a 150x card at +171.25% - then corrected himself ten minutes later: 'Sorry guys, 64200 was hit, not 64260. It's still almost there (64.1k) you can manually close!'. So the trade ended in profit, but the exact fill is unresolved and anyone leaving a resting order at 64,260 may not have been filled at all.</t>
  </si>
  <si>
    <t xml:space="preserve">BTC pulling back after the 65k push; he expected a bounce from 62.3-61.8k and had 59k pencilled in as the next level down if it failed</t>
  </si>
  <si>
    <t xml:space="preserve">Exit price left null on purpose: he announced the 64,260 TP as hit and then said price only reached 64,200, and the card's price section was cropped, so no exit price is reliably stated - +171.25% ROI on a 150x card is the only figure. Note the ROI does not reconcile with an average entry of 63.1k and an exit near 64.2k (that would be far more than +171%), so treat the card and the levels as separate claims. The stop-widening advice at MSG 724 is guidance to followers; his own stop is never restated.</t>
  </si>
  <si>
    <t xml:space="preserve">#721, #723, #724, #725, #726</t>
  </si>
  <si>
    <t xml:space="preserve">https://discord.com/channels/1042855255089623100/1501271173588193290/1527495853257003089</t>
  </si>
  <si>
    <t xml:space="preserve">2026-07-17 05:04:09</t>
  </si>
  <si>
    <t xml:space="preserve">63,323 CMP, posted one minute after the scalp as the 'if you want swing' version - wider stop, higher targets</t>
  </si>
  <si>
    <t xml:space="preserve">65000, 66000</t>
  </si>
  <si>
    <t xml:space="preserve">63323 (to_entry)</t>
  </si>
  <si>
    <t xml:space="preserve">65000 -&gt; 66000 -&gt; 66200</t>
  </si>
  <si>
    <t xml:space="preserve">50% at 64900 | 20% at None | 20% at None</t>
  </si>
  <si>
    <t xml:space="preserve">2026-07-21 10:53:23</t>
  </si>
  <si>
    <t xml:space="preserve">The swing version of his 17 July long: 63,323 for 65-66k with a wide 61.3k stop, riding the roadmap he had published a week earlier (65.3-65.6k, pullback to 62-63k, then 66-67k).</t>
  </si>
  <si>
    <t xml:space="preserve">Posted a minute after the scalp as the longer-hold alternative - 63,323 CMP, 61.3k stop, 65-66k target - and filled slightly better at 63,244.7. That evening he moved the swing stop to breakeven and split the target, putting the first TP at 65k; by 19 July it was almost 1R up and he took 50% off manually at 64.9k as 65k was nearly touched, leaving the rest for 66k. He then scaled out in stages: another 20% early on 20 July (70% out, remainder to 66.2k), the 65k first target officially filling at 65,024.1 for +204.89%, and a further 20% that evening at a mark of 65,578.6. The last piece paid out on 21 July - 'BTC full TP hit @ 66.2k! MashaAllah brothers caught the whole 3k move and a 1.7R' - and he flipped straight to the short side one minute later.</t>
  </si>
  <si>
    <t xml:space="preserve">EMA, 4h timeframe, daily timeframe</t>
  </si>
  <si>
    <t xml:space="preserve">His week-old BTC roadmap playing out step by step; BTC strong on the daily, and he was telling members not to force shorts before 65.5k</t>
  </si>
  <si>
    <t xml:space="preserve">Partial percentages are his own running totals (50, then 20 for 'a total of 70%', then another 20) and only the first has a stated price. The 1.7R is his figure, not computed. The +204.89% card does not reconcile arithmetically with 63,244.7 to 65,024.1 at any round leverage, and no leverage is shown on the swing cards - treat the ROI as reported, not derived. The breakeven stop move is phrased as advice to swing holders rather than an explicit statement about his own order.</t>
  </si>
  <si>
    <t xml:space="preserve">#722, #727, #732, #733, #734, #735, #739, #743</t>
  </si>
  <si>
    <t xml:space="preserve">https://discord.com/channels/1042855255089623100/1501271173588193290/1527496100825796668</t>
  </si>
  <si>
    <t xml:space="preserve">2026-07-18 15:16:28</t>
  </si>
  <si>
    <t xml:space="preserve">544 CMP, no target published</t>
  </si>
  <si>
    <t xml:space="preserve">574</t>
  </si>
  <si>
    <t xml:space="preserve">2026-07-18 17:55:56</t>
  </si>
  <si>
    <t xml:space="preserve">A quick ZEC long at 544 with a 530 stop and no target - he was scalping the move and picked his exit on the fly.</t>
  </si>
  <si>
    <t xml:space="preserve">He called it at 544 CMP with a 530 stop and no target on the afternoon of 18 July. Less than three hours later he took profit at 560 and posted the 75x card at +147.51% as proof. Four minutes after that he told the room the next target would be 574 for anyone doing partials, confirming that he exits 100% himself.</t>
  </si>
  <si>
    <t xml:space="preserve">No target was ever published, so the 560 exit is a discretionary profit-take even though he calls it 'TP'. No fill price was posted for the entry either - only the 544 CMP call and a cropped ROI card.</t>
  </si>
  <si>
    <t xml:space="preserve">#728, #729, #730, #731</t>
  </si>
  <si>
    <t xml:space="preserve">https://discord.com/channels/1042855255089623100/1501271173588193290/1528012581569036319</t>
  </si>
  <si>
    <t xml:space="preserve">2026-07-21 10:54:47</t>
  </si>
  <si>
    <t xml:space="preserve">66,250 CMP, posted as 'Switching to short' one minute after the swing long's final TP; he added that 66.5-67k was a better entry that needed no DCA</t>
  </si>
  <si>
    <t xml:space="preserve">67000</t>
  </si>
  <si>
    <t xml:space="preserve">Counter-trend by his own admission - he expected 67k within the week and was only playing a pullback; he later cut the planned DCA to a quarter of its size because BTC looked strong</t>
  </si>
  <si>
    <t xml:space="preserve">66137.7 (to_entry)</t>
  </si>
  <si>
    <t xml:space="preserve">65120/64840</t>
  </si>
  <si>
    <t xml:space="preserve">70% at 65120</t>
  </si>
  <si>
    <t xml:space="preserve">2026-07-23 15:49:56</t>
  </si>
  <si>
    <t xml:space="preserve">Flips from the just-closed swing long straight into a counter-trend short at 66,250, expecting a pullback to 65k first even though he thinks BTC reaches 67k within the week.</t>
  </si>
  <si>
    <t xml:space="preserve">One minute after the swing long's full TP he announced 'Switching to short' at 66,250 CMP with a 67k DCA and a 67.6k stop, telling members 66.5-67k was the better entry and would need no DCA. That afternoon he shrank the plan - only 25% of the intended DCA at 67k, 'small DCA because BTC looks strong and I don't want to lose much' - and in the event the level was never reached, leaving him filled at 66,137.7. On 23 July he set hard targets of 65,120 and 64,840, said he would like 64.4k but expected a bounce near 65k, then took 70% off at his first target and moved the stop to breakeven. The last 30% closed that afternoon: 'BTC full TP done! Hopefully some of you had better entry as I mentioned to enter around 66.6k!' - and he flagged he would be entering a long soon.</t>
  </si>
  <si>
    <t xml:space="preserve">daily timeframe</t>
  </si>
  <si>
    <t xml:space="preserve">BTC strong on the daily after the 3k run into 66.2k; he was bullish to 67k and shorting only the pullback</t>
  </si>
  <si>
    <t xml:space="preserve">Two soft spots. First, the 70% partial: his text says 65,120 but the accompanying card says 65,409.7 (+165.11%) - both are recorded, neither is reconciled. Second, the final exit level is not restated in the 'full TP done' message; 64,840 is carried over as the second target he had published, so treat it as inferred. No DCA filled (average entry 66,137.7 sits below the 66,250 call entry). No R stated.</t>
  </si>
  <si>
    <t xml:space="preserve">#744, #745, #748, #752, #753, #754, #756</t>
  </si>
  <si>
    <t xml:space="preserve">https://discord.com/channels/1042855255089623100/1501271173588193290/1529033891946696797</t>
  </si>
  <si>
    <t xml:space="preserve">2026-07-21 11:51:05</t>
  </si>
  <si>
    <t xml:space="preserve">the trade was announced first (with only a 573.2 stop) and the full setup - entry 545, TP 526.46, SL 573 - followed two hours later</t>
  </si>
  <si>
    <t xml:space="preserve">526.46</t>
  </si>
  <si>
    <t xml:space="preserve">573 (restated)</t>
  </si>
  <si>
    <t xml:space="preserve">2026-07-22 12:02:00</t>
  </si>
  <si>
    <t xml:space="preserve">Shorted ZEC into 545 with a 573 stop and one tight target at 526.46 - he was in the trade before he had time to publish the setup.</t>
  </si>
  <si>
    <t xml:space="preserve">At midday on 21 July he posted that he had shorted ZEC with a 573.2 stop and promised the full setup later. It came two hours on: short from 545, target 526.46, stop restated as 573. Nothing else was posted until the following midday, when the target filled - the 75x card shows the short entered at 543.18 and closed at 527.22 for +220.48%.</t>
  </si>
  <si>
    <t xml:space="preserve">His fill (543.18) is below the 545 he published, and the stop was restated from 573.2 to 573 without explanation. Otherwise the trade is fully documented end to end.</t>
  </si>
  <si>
    <t xml:space="preserve">#746, #747, #749</t>
  </si>
  <si>
    <t xml:space="preserve">https://discord.com/channels/1042855255089623100/1501271173588193290/1529048060422914059</t>
  </si>
  <si>
    <t xml:space="preserve">2026-07-22 13:42:58</t>
  </si>
  <si>
    <t xml:space="preserve">ENAUSDT</t>
  </si>
  <si>
    <t xml:space="preserve">0.08892 as a limit or 0.08825 CMP; no target was ever posted</t>
  </si>
  <si>
    <t xml:space="preserve">ENA looking strong, don't go too heavy on this</t>
  </si>
  <si>
    <t xml:space="preserve">2026-07-23 07:59:35</t>
  </si>
  <si>
    <t xml:space="preserve">A short on ENA at 0.08825 taken despite the coin looking strong - which is exactly why he told members not to size it heavily.</t>
  </si>
  <si>
    <t xml:space="preserve">He called the short at 0.08892 limit or 0.08825 CMP with a 0.09264 stop and no target, warning that ENA looked strong so nobody should go heavy. Eighteen hours later it stopped out at 0.09264 - the second stop-loss of the month, he noted - and he reminded followers he had warned them about size. No R, no loss figure and no card were posted.</t>
  </si>
  <si>
    <t xml:space="preserve">No entry fill, no R and no loss figure were ever posted - only that it stopped at the published 0.09264, which is the price used here rather than a quoted fill.</t>
  </si>
  <si>
    <t xml:space="preserve">#750, #751</t>
  </si>
  <si>
    <t xml:space="preserve">https://discord.com/channels/1042855255089623100/1501271173588193290/1529438600725528627</t>
  </si>
  <si>
    <t xml:space="preserve">2026-07-23 12:25:04</t>
  </si>
  <si>
    <t xml:space="preserve">1.871 CMP, no target at the call</t>
  </si>
  <si>
    <t xml:space="preserve">1.935/1.96</t>
  </si>
  <si>
    <t xml:space="preserve">2026-07-27 18:48:19</t>
  </si>
  <si>
    <t xml:space="preserve">Long NEAR at 1.871 on its relative strength, expecting an easy target if BTC reversed.</t>
  </si>
  <si>
    <t xml:space="preserve">He called NEAR long at 1.871 CMP with a 1.775 stop and no target. That evening he set one: NEAR was 'holding really well', he was targeting 1.96 but had the order at 1.935 for now, and suggested members split 50-50 between the two. Four days later the trade had come within $0.001 of the stop and clawed back - 'From $0.001 away from SL to almost BE. Gonna close around BE @ 1.875' - but he never got the exit off. That evening it stopped: 'Sorry about NEAR it stopped, pumped from 0.001 away from SL to 0.01 away from BE. Giving us some proper blue balls but ZEC and BTC made up for it.'</t>
  </si>
  <si>
    <t xml:space="preserve">Waiting on a BTC reversal that would pull NEAR up with it.</t>
  </si>
  <si>
    <t xml:space="preserve">Stopped at the original 1.775 (not restated at the exit); no fill price or R was given, so exit_price and r_multiple are null. His plan to close at 1.875 for breakeven was never executed.</t>
  </si>
  <si>
    <t xml:space="preserve">#755, #758, #783, #799</t>
  </si>
  <si>
    <t xml:space="preserve">https://discord.com/channels/1042855255089623100/1501271173588193290/1529781385047314472</t>
  </si>
  <si>
    <t xml:space="preserve">2026-07-23 17:08:17</t>
  </si>
  <si>
    <t xml:space="preserve">1.112 CMP, holding 20-30% back for an optional DCA</t>
  </si>
  <si>
    <t xml:space="preserve">1.082</t>
  </si>
  <si>
    <t xml:space="preserve">1.176</t>
  </si>
  <si>
    <t xml:space="preserve">SL is wide - if you don't know how to risk 1-2% don't take this trade; maximum loss on the stop should be 2%</t>
  </si>
  <si>
    <t xml:space="preserve">2026-07-27 13:02:44</t>
  </si>
  <si>
    <t xml:space="preserve">A swing long on XRP at 1.112 for 1.176, with a deliberately wide 1.04 stop that had to be sized down to keep the maximum loss at 2%.</t>
  </si>
  <si>
    <t xml:space="preserve">He called the swing at 1.112 CMP for 1.176, stressing that the 1.04 stop was wide so the position had to be sized to cap the loss at 2%, and that he would keep 20-30% back for an optional DCA. The next day he named that DCA at 1.082, again flagged as optional. Three days later he closed the whole thing at 1.1081 from an average of 1.1069 - a token profit - because XRP is a slow mover and he needed room for new trades, adding that he would look to re-long at 1.08.</t>
  </si>
  <si>
    <t xml:space="preserve">XRP moving slowly while he wanted room for new trades</t>
  </si>
  <si>
    <t xml:space="preserve">His average entry (1.1069) is slightly below the 1.112 call, which hints the 1.082 DCA partially filled, but no fill was ever confirmed so dca_fills is empty. The 'will look to long @ 1.08' plan in the same closing message was never acted on in this log.</t>
  </si>
  <si>
    <t xml:space="preserve">#757, #765, #793</t>
  </si>
  <si>
    <t xml:space="preserve">https://discord.com/channels/1042855255089623100/1501271173588193290/1529852660683903108</t>
  </si>
  <si>
    <t xml:space="preserve">2026-07-23 21:28:28</t>
  </si>
  <si>
    <t xml:space="preserve">64,700 CMP or a 64.4k limit; 50% of size held back for a DCA at 64.1-64.2k, with no DCA needed for anyone filled on the limit</t>
  </si>
  <si>
    <t xml:space="preserve">64100</t>
  </si>
  <si>
    <t xml:space="preserve">65500</t>
  </si>
  <si>
    <t xml:space="preserve">Keeping 50% for a DCA in case price traded 64.1-64.2k</t>
  </si>
  <si>
    <t xml:space="preserve">65700</t>
  </si>
  <si>
    <t xml:space="preserve">2026-07-24 10:16:44</t>
  </si>
  <si>
    <t xml:space="preserve">Scalp long into the bounce he had just flagged - 64.7k with a 63.5k stop for a quick 65.5k target, taken right after covering his short.</t>
  </si>
  <si>
    <t xml:space="preserve">Twenty minutes after suggesting a scalp long off the 64.6k area he posted the setup: 64,700 CMP or a 64.4k limit, 50% held for a DCA at 64.1-64.2k, 63.5k stop, 65.5k scalp target. He filled at 64,790.5 - slightly worse than the posted entry - and the DCA never came into play. Next morning he was still holding and stretched the target: 'Holding BTC scalp, will update when I TP, trying for 65.7k'. It paid two and a half hours later at his new level: 'TPed at 65.7k, you can extend TP to 66.1k but do take something', on a 150x card at +214.37%.</t>
  </si>
  <si>
    <t xml:space="preserve">Immediately after closing the 66.25k short; he expected a bounce from the 64.6k area and had told the channel he would be entering a long soon</t>
  </si>
  <si>
    <t xml:space="preserve">The plan message at MSG 759 reads oddly - 'Expecting BTC bounce from 64.6 (CMP) to 64.3k' is contradictory for a bounce and the levels are probably transposed; it does not affect the trade as executed. No R stated. He told followers they could extend to 66.1k after he was already out.</t>
  </si>
  <si>
    <t xml:space="preserve">#756, #759, #760, #761, #762</t>
  </si>
  <si>
    <t xml:space="preserve">https://discord.com/channels/1042855255089623100/1501271173588193290/1529832944431005707</t>
  </si>
  <si>
    <t xml:space="preserve">2026-07-24 10:26:56</t>
  </si>
  <si>
    <t xml:space="preserve">CMP, keeping 25% of size back for an optional DCA - no DCA level was ever published</t>
  </si>
  <si>
    <t xml:space="preserve">25% of size held back for an optional DCA; he told followers the DCA was optional</t>
  </si>
  <si>
    <t xml:space="preserve">None (added about 20% of size, bringing his average to around 5.36; no fill price given and he flagged the add as optional for followers)</t>
  </si>
  <si>
    <t xml:space="preserve">5.0 (tighten)</t>
  </si>
  <si>
    <t xml:space="preserve">2026-07-26 12:04:45</t>
  </si>
  <si>
    <t xml:space="preserve">What he called an A+ setup: INJ on daily support with the EMAs aligned and breaking out.</t>
  </si>
  <si>
    <t xml:space="preserve">He called INJ long at 5.42 CMP with a 5.07 stop, no target yet, keeping 25% of size back for an optional DCA. That afternoon he added about 20% for an average near 5.36. The next day he tightened his own stop to 5.00, expecting a weekend bounce that would let him exit at breakeven. It never came: he was stopped on 26 July and was clearly frustrated - he called it an A+ setup with daily support and aligned EMAs that was breaking out, said it had pumped back to his entry while the market was dumping, and admitted he did not know what happened.</t>
  </si>
  <si>
    <t xml:space="preserve">daily support, EMA</t>
  </si>
  <si>
    <t xml:space="preserve">market was dumping</t>
  </si>
  <si>
    <t xml:space="preserve">No exit price or R figure was posted. His last stated stop was 5.00, tightened from the published 5.07, and that tightening was explicitly his own decision. The DCA fill price was never given - only the resulting ~5.36 average.</t>
  </si>
  <si>
    <t xml:space="preserve">#763, #765, #775, #777</t>
  </si>
  <si>
    <t xml:space="preserve">https://discord.com/channels/1042855255089623100/1501271173588193290/1530114045754085526</t>
  </si>
  <si>
    <t xml:space="preserve">2026-07-24 12:23:57</t>
  </si>
  <si>
    <t xml:space="preserve">'Entry: 64.7' - the identical setup re-issued two hours after the previous one paid, with 'TP SL same' carrying over the 65.5k target and 63.5k stop</t>
  </si>
  <si>
    <t xml:space="preserve">64050</t>
  </si>
  <si>
    <t xml:space="preserve">64050 (the DCA filled - his card's blended entry is 64,489.7, below the 64,700 call entry - but the fill was never announced; he told followers a 50% DCA should give an average of 64,350)</t>
  </si>
  <si>
    <t xml:space="preserve">63400 (widened)</t>
  </si>
  <si>
    <t xml:space="preserve">2026-07-26 19:41:03</t>
  </si>
  <si>
    <t xml:space="preserve">Reuses the exact setup that had just worked - 64.7k with a DCA below and a 65.5k target - explicitly as a repeat of a proven pattern rather than a fresh idea.</t>
  </si>
  <si>
    <t xml:space="preserve">Two hours after taking profit on the previous scalp he re-issued the same card - 'Great exit on our BTC long, will use this setup again. Entry: 64.7, DCA: 64.1k, TP SL same' - then moved the DCA down to 64,050 and the stop to 63,400 the same afternoon, restating the stop again that evening. The DCA filled at some point unannounced, leaving him blended at 64,489.7 (he told members a 50% DCA should average 64,350). On 26 July he said he would close around 65k, and that evening he took it off below there: 'BTC closed @ 64.8k We used the same setup twice and closed in profits!', posting the 150x card at +70.28% (64,489.7 to 64,791.9) next to the previous trade's card. He acknowledged BTC might still extend to 65.5k but was content, since he was 'just reusing this setup anyway' - and claimed 6 out of 6 BTC trades won on the week.</t>
  </si>
  <si>
    <t xml:space="preserve">Late July grind between 64k and 65.5k; he was riding a run of BTC winners and claimed 6 out of 6 on the week</t>
  </si>
  <si>
    <t xml:space="preserve">The call itself is shorthand - 'Entry: 64.7' and 'TP SL same' - so the 65.5k target and 63.5k stop are carried over from the 23 July setup rather than restated. The DCA fill is inferred from the blended card entry (64,489.7 sits between 64,050 and 64,700), never announced directly, and his own average differs from the 64,350 he quoted to followers. He closed at 64.8k, below both his 65k intention and the 65.5k target; BTC did tag 65,555 the next morning.</t>
  </si>
  <si>
    <t xml:space="preserve">#764, #765, #766, #776, #779, #780, #781</t>
  </si>
  <si>
    <t xml:space="preserve">https://discord.com/channels/1042855255089623100/1501271173588193290/1530143491227652107</t>
  </si>
  <si>
    <t xml:space="preserve">2026-07-24 18:03:42</t>
  </si>
  <si>
    <t xml:space="preserve">4065 CMP, 'not officially calling' it</t>
  </si>
  <si>
    <t xml:space="preserve">Deliberately unofficial - 'I don't trade Gold too much so not officially calling but looks decent'. Tight 20-point stop.</t>
  </si>
  <si>
    <t xml:space="preserve">4066.9 (to_entry)</t>
  </si>
  <si>
    <t xml:space="preserve">Gold looked good for a long from 4065 with a tight stop - offered to the members who trade gold rather than called as a signal, but he was in it himself.</t>
  </si>
  <si>
    <t xml:space="preserve">He posted that gold looked good for a long from 4065 CMP with a tight 4045 stop, adding that he does not trade gold much so was not officially calling it. Sixteen minutes later he was clearly in it himself: 'Almost 1R done on Gold, can move SL to entry', with a XAUUSDT 100x card showing entry 4066.90, mark 4080.98, +34.63%. That is the last word on the trade - no close, no stop-out, no mention in any later summary.</t>
  </si>
  <si>
    <t xml:space="preserve">He never reported how this ended. With the stop already at entry the likeliest end is a flat stop-out, but nothing states it, so the outcome is unknown and exit_time is null. The +34.63% on the card is an open-position mark taken at the stop move, not a result. Entry price comes from that card; he only published 4065 CMP. He was short gold by 5 August, so this was gone by then.</t>
  </si>
  <si>
    <t xml:space="preserve">#767, #768</t>
  </si>
  <si>
    <t xml:space="preserve">https://discord.com/channels/1042855255089623100/1501271173588193290/1530228995126333460</t>
  </si>
  <si>
    <t xml:space="preserve">2026-07-25 11:55:37</t>
  </si>
  <si>
    <t xml:space="preserve">565 CMP, swing, no target at the call</t>
  </si>
  <si>
    <t xml:space="preserve">565.35 (to_entry)</t>
  </si>
  <si>
    <t xml:space="preserve">2026-07-27 09:17:52</t>
  </si>
  <si>
    <t xml:space="preserve">A swing long on BNB from 565 with a 540 stop, de-risked to breakeven as soon as it moved.</t>
  </si>
  <si>
    <t xml:space="preserve">He called BNB long (swing) at 565 CMP with SL 540 and no target. A day later, with the position +87.66% on the card (entry 565.35, mark 571.95), he moved the stop to breakeven - 'de risking'. The next morning he took profit: 'TPed on BNB @ 577.3', his cropped card showing entry 565.46 and an average close of 577.32. A minute later he posted the Blofin card for the same idea, closed at 576.08 for +142.34%, and a minute after that gave a follow-on target for anyone still holding: 'Next TP can be 580.'</t>
  </si>
  <si>
    <t xml:space="preserve">Same idea run on two accounts - the quoted 577.3 exit and the Blofin card's 576.08 close differ slightly (different averages/accounts), recorded as one position per convention. The 580 second target was guidance for members who stayed in, not his own order.</t>
  </si>
  <si>
    <t xml:space="preserve">#771, #778, #785, #786, #787</t>
  </si>
  <si>
    <t xml:space="preserve">https://discord.com/channels/1042855255089623100/1501271173588193290/1530498749082636298</t>
  </si>
  <si>
    <t xml:space="preserve">2026-07-25 13:36:06</t>
  </si>
  <si>
    <t xml:space="preserve">EDUUSDT</t>
  </si>
  <si>
    <t xml:space="preserve">0.035</t>
  </si>
  <si>
    <t xml:space="preserve">Don't go heavy - he used half risk himself because the stop was tight</t>
  </si>
  <si>
    <t xml:space="preserve">2026-07-25 15:15:03</t>
  </si>
  <si>
    <t xml:space="preserve">EDU was breaking out, so he tried a long with a deliberately tight stop.</t>
  </si>
  <si>
    <t xml:space="preserve">He took the long at 0.0337 CMP on the breakout with a tight 0.03192 stop and a 0.035 target, telling the group not to go heavy since he was using half risk himself. Under two hours later he was out - 'almost at 1R I'm out' - with the card showing the 49x long from 0.03375 closed at 0.03504 for +187.28%.</t>
  </si>
  <si>
    <t xml:space="preserve">He describes the exit as 'almost 1R' without giving a number, so r_multiple is null. His realised fill of 0.03504 is fractionally above the 0.035 target he published, but he framed the exit as a manual close short of 1R rather than a target fill.</t>
  </si>
  <si>
    <t xml:space="preserve">#772, #773, #774</t>
  </si>
  <si>
    <t xml:space="preserve">https://discord.com/channels/1042855255089623100/1501271173588193290/1530524038697586718</t>
  </si>
  <si>
    <t xml:space="preserve">2026-07-27 11:50:11</t>
  </si>
  <si>
    <t xml:space="preserve">65.2k CMP or a 65.3k limit</t>
  </si>
  <si>
    <t xml:space="preserve">65800</t>
  </si>
  <si>
    <t xml:space="preserve">64500</t>
  </si>
  <si>
    <t xml:space="preserve">Stop defined two ways - a 4h close above 66.2k or a hard SL at 66.5k; the DCA at 65.8-66k was optional, and he called the setup risky once price bounced against him</t>
  </si>
  <si>
    <t xml:space="preserve">2026-07-27 18:43:56</t>
  </si>
  <si>
    <t xml:space="preserve">A short-term counter-trend scalp from 65.2k down to 64.5k, taken while he was publicly calling BTC to 66k+ and telling members not to short blindly.</t>
  </si>
  <si>
    <t xml:space="preserve">He posted the scalp short at 65.2k CMP (or a 65.3k limit) for an exit around 64.5k, with the stop framed as a 4h close above 66.2k or a hard 66.5k and an optional DCA if price ran to 65.8-66k. Within the hour BTC bounced off the EMA 20 against him and he warned 'we will need a DCA. Risky setup' - but the DCA level never printed and his average stayed at the posted entry, 65,213.3. Price rolled over that evening and the target filled cleanly: 'BTC TP hit @ 64.5k'. A share card posted 30 seconds later documents the closed 150x short from 65,213.3 to 64,551.1, +152.31%, closed at the same time as his ZEC position.</t>
  </si>
  <si>
    <t xml:space="preserve">EMA 20</t>
  </si>
  <si>
    <t xml:space="preserve">BTC had tagged 65,555 that morning exactly where he called it; he expected 66.5k next but played the intraday dip</t>
  </si>
  <si>
    <t xml:space="preserve">Clean trade with no conflicts. The DCA he said would be needed never filled - the card's average matches the original entry. No R stated.</t>
  </si>
  <si>
    <t xml:space="preserve">#790, #791, #795, #797</t>
  </si>
  <si>
    <t xml:space="preserve">https://discord.com/channels/1042855255089623100/1501271173588193290/1531222161308778667</t>
  </si>
  <si>
    <t xml:space="preserve">2026-07-27 12:39:35</t>
  </si>
  <si>
    <t xml:space="preserve">502 CMP, no target published</t>
  </si>
  <si>
    <t xml:space="preserve">Half risk is recommended on this</t>
  </si>
  <si>
    <t xml:space="preserve">A half-risk short on ZEC at 502 with a 525.5 stop and no published target, closed by hand alongside his BTC short.</t>
  </si>
  <si>
    <t xml:space="preserve">He called the short at 502 CMP with a 525.5 stop and a recommendation to use half risk. Six hours later he closed it at the same time as his BTC short, saying ZEC was also out at 483, and posted the card without comment: the 75x short from 501.92 closed at 482.14 for +295.56%.</t>
  </si>
  <si>
    <t xml:space="preserve">The card fill (482.14) is slightly better than the 483 he quoted in text; the card figure is used. No target had been published, so the exit is discretionary rather than a TP fill.</t>
  </si>
  <si>
    <t xml:space="preserve">#792, #795, #796</t>
  </si>
  <si>
    <t xml:space="preserve">https://discord.com/channels/1042855255089623100/1501271173588193290/1531234589157228675</t>
  </si>
  <si>
    <t xml:space="preserve">2026-07-27 13:22:01</t>
  </si>
  <si>
    <t xml:space="preserve">BTWUSDT</t>
  </si>
  <si>
    <t xml:space="preserve">spot buy at 0.095; a leveraged long was possible with a 0.07 stop but he framed it as a spot-focused setup</t>
  </si>
  <si>
    <t xml:space="preserve">shitcoin so investing a very small amount</t>
  </si>
  <si>
    <t xml:space="preserve">Spot buy of a shitcoin at 0.095 in very small size, with 0.07 as the level that would invalidate it for anyone using leverage.</t>
  </si>
  <si>
    <t xml:space="preserve">He bought BTW in spot at 0.095 with deliberately small size, noting that a leveraged long with a 0.07 stop was possible but that this was a spot-focused setup. Five hours later he reported it had moved about 30% while he was away and hoped people took something - he took nothing himself. The next evening he said it looked good for another 20-30% pump. No sale is ever posted.</t>
  </si>
  <si>
    <t xml:space="preserve">Spot bag, no target and no exit anywhere in the log; the last word on it is bullish, so it is recorded as still open. The ~30% move is his observation, not a booked result, so roi_pct is null.</t>
  </si>
  <si>
    <t xml:space="preserve">#794, #798, #813</t>
  </si>
  <si>
    <t xml:space="preserve">https://discord.com/channels/1042855255089623100/1501271173588193290/1531245269230813315</t>
  </si>
  <si>
    <t xml:space="preserve">2026-07-28 05:08:21</t>
  </si>
  <si>
    <t xml:space="preserve">63.1k as a CMP (market) order, not a limit - he stressed the distinction and said price was still only ~$50 away; 30% of size saved for a DCA whose level was never given</t>
  </si>
  <si>
    <t xml:space="preserve">War news, so caution; he noted 61.7k would improve his R but deliberately kept the wider 61.5k stop to play safe</t>
  </si>
  <si>
    <t xml:space="preserve">64200 -&gt; 64250/65000 -&gt; 64900/65000</t>
  </si>
  <si>
    <t xml:space="preserve">70% at 63939.0</t>
  </si>
  <si>
    <t xml:space="preserve">2026-07-29 13:12:16</t>
  </si>
  <si>
    <t xml:space="preserve">The 63.5-64k bounce long he had been waiting for since the war-news selloff, taken slightly lower at 63.1k with a 61.5k stop and held into the FOMC pump he expected.</t>
  </si>
  <si>
    <t xml:space="preserve">He had flagged the plan the night before - long the 63.5-64.3k bounce, but careful because of war news - and took it at 63.1k the next morning with a 61.5k stop and 30% held back for a DCA, refusing a tighter 61.7k stop that would have improved his R. Targets came later: 64.2k+ during the day, then 64,250 as the first TP that evening with 65k for anyone swinging it, as the FOMC pump he had called began. At 20:06 he took 70% off at what he called 64k - the card shows 63,939.0 from an average 63,182.1, +179.69% - leaving 30% for 65k, and gave members the choice of trimming half without moving the stop or exiting and re-entering the same setup at 63.1k. Next morning he was still holding the runner for 64.9-65k, but at 13:12 he cut it: 'Exiting my last BTC position fully here, you can hold till 64.9k if you want', with the card marked at 64,652.4.</t>
  </si>
  <si>
    <t xml:space="preserve">news, FOMC, support/resistance</t>
  </si>
  <si>
    <t xml:space="preserve">War headlines had knocked BTC down; he wanted the 63.5-64.3k bounce zone and expected a pump around FOMC, with 64.1-64.2k acting as the wall to reclaim</t>
  </si>
  <si>
    <t xml:space="preserve">The 30% saved for a DCA never had a level published and no DCA fill is reported - his average (63,182.1) matches the posted entry. The final 30% was closed below his own 64.9-65k plan and no ROI was posted for it, so the +179.69% figure covers the 70% partial only. Around this trade he claimed 'Not a single BTC SL this month out of 10+ trades' (MSG 815).</t>
  </si>
  <si>
    <t xml:space="preserve">#803, #804, #805, #806, #807, #810, #814, #816, #822</t>
  </si>
  <si>
    <t xml:space="preserve">https://discord.com/channels/1042855255089623100/1501271173588193290/1531336336861171893</t>
  </si>
  <si>
    <t xml:space="preserve">2026-07-28 14:40:46</t>
  </si>
  <si>
    <t xml:space="preserve">73.18, confirmed as CMP twenty seconds later</t>
  </si>
  <si>
    <t xml:space="preserve">'Pure gamble trade' opened right before FOMC - either half risk or skip, but he was in.</t>
  </si>
  <si>
    <t xml:space="preserve">73.19 (to_entry)</t>
  </si>
  <si>
    <t xml:space="preserve">An openly admitted gamble - a SOL long taken minutes before FOMC with markets looking weak.</t>
  </si>
  <si>
    <t xml:space="preserve">He called SOL long at 73.18 with SL 69.4 and did not dress it up: 'this is a pure gamble trade because I'm opening it right before FOMC and markets looking weak, either half risk or skip but I'm in', clarifying seconds later that the entry was at market. Four and a half hours on, with the card at 74.10 (+156.83% on 125x), he set the stop to breakeven at his 73.19 entry. Nothing further about this position is ever posted.</t>
  </si>
  <si>
    <t xml:space="preserve">Right before FOMC, markets looking weak.</t>
  </si>
  <si>
    <t xml:space="preserve">No close was ever reported. The last action was a stop at breakeven, so a flat stop-out is the likeliest end, but nothing in the log says so - outcome unknown, exit_time null. He called a fresh SOL long on 16 August, and this one is never referenced again, so it was not still running at the end.</t>
  </si>
  <si>
    <t xml:space="preserve">#808, #809, #812</t>
  </si>
  <si>
    <t xml:space="preserve">https://discord.com/channels/1042855255089623100/1501271173588193290/1531627476588040224</t>
  </si>
  <si>
    <t xml:space="preserve">2026-07-29 10:42:18</t>
  </si>
  <si>
    <t xml:space="preserve">Limit order at 64,160 (nudged slightly lower from the original post); he said outright the entry was not good and that 63.7-63.9k was better, or a 40% entry / 60% DCA split</t>
  </si>
  <si>
    <t xml:space="preserve">63460</t>
  </si>
  <si>
    <t xml:space="preserve">'As much as I'm confident we pump you can never be right 100% control risk today'</t>
  </si>
  <si>
    <t xml:space="preserve">Wanted one more long on the books before FOMC while he was still confident BTC pumps, but insisted on a limit below market rather than chasing.</t>
  </si>
  <si>
    <t xml:space="preserve">He posted the limit long at 64,160 with a 63,460 DCA and a 62,550 stop, saying he would rather have entered 63.7-63.9k but doubted price would return there, and stressing risk control. Minutes later he undercut his own setup - 'As mentioned the entry isn't good. Better entry is at 63.7-63.9k, you can enter there. Or 40% entry, 60% DCA' - and then watched price run away from the order: 'We getting front run'. It never filled. At 13:12, in the same message where he closed the remainder of his 28 July long, he cancelled it: 'Cancel the BTC order given a while ago'. Just over three hours later (outside this window) he re-opened the idea at market at 64.1k, explicitly labelled 'GAMBLE ENTER AT YOUR OWN RISK'.</t>
  </si>
  <si>
    <t xml:space="preserve">Pre-FOMC, BTC grinding up through 64k; he had just been trimming the previous long and expected 66k+ and most likely 67k by the weekend</t>
  </si>
  <si>
    <t xml:space="preserve">No entry ever happened, so exit_time here is the moment he cancelled the order, not a trade exit, and duration is null. No target was ever posted for it. The follow-on market entry at MSG 824 (2026-07-29 16:27) is a separate position that starts after this window.</t>
  </si>
  <si>
    <t xml:space="preserve">#815, #817, #818, #819, #820, #822</t>
  </si>
  <si>
    <t xml:space="preserve">https://discord.com/channels/1042855255089623100/1501271173588193290/1531710503498551527</t>
  </si>
  <si>
    <t xml:space="preserve">2026-07-29 16:26:06</t>
  </si>
  <si>
    <t xml:space="preserve">64.1k CMP, taken after his 64160 limit order was front-run and cancelled; he said 63.7k was an equally good single entry with no DCA needed and that he took the higher fill only to play safe</t>
  </si>
  <si>
    <t xml:space="preserve">63440</t>
  </si>
  <si>
    <t xml:space="preserve">GAMBLE ENTER AT YOUR OWN RISK; told anyone not already in to keep the DCA small (25-30%), and told DCA entrants to widen or manually manage their stop to survive wicks</t>
  </si>
  <si>
    <t xml:space="preserve">63440 (DCA filled at the called level; blended entry became 63,812.5, implying roughly 56% initial / 44% DCA)</t>
  </si>
  <si>
    <t xml:space="preserve">64300 -&gt; 64600</t>
  </si>
  <si>
    <t xml:space="preserve">50% at 64578.7</t>
  </si>
  <si>
    <t xml:space="preserve">2026-07-29 16:27:22</t>
  </si>
  <si>
    <t xml:space="preserve">2026-07-30 14:56:43</t>
  </si>
  <si>
    <t xml:space="preserve">Re-opened the BTC long at market immediately after his unfilled 64160 limit was cancelled, explicitly as a gamble: he was confident BTC keeps pumping toward 65k and did not want to miss it waiting for a better fill.</t>
  </si>
  <si>
    <t xml:space="preserve">He polled the channel a minute beforehand ('So should we gamble a long on BTC or no?') and then took the long at 64.1k CMP with the DCA at 63440 and stop at 62550, telling followers 63.7k was fine as a single entry and that he only took the higher fill to play safe. Overnight the 63440 DCA filled at the lows, blending his entry to 63,812.5, and he praised the members who had waited for the DCA level while telling them to widen or manually manage their stops. With the DCA in he pulled his exit from 65k in to 64.6k because 'profits look too good to ignore', booked 50% at 64,578.7 for +180.10% on a 150x card, and offered followers the alternative of simply exiting fully whenever he did. Two hours later he closed the remainder at 64,800 for +232.12% with 'Fully TPed, told ya 65k is coming'.</t>
  </si>
  <si>
    <t xml:space="preserve">Post-FOMC continuation; he had just exited the runner of the previous long and had been front-run on his limit order</t>
  </si>
  <si>
    <t xml:space="preserve">Fully documented from call to close. MSG 828's 'I'll exit at 63.4k+' is carried into tp_changes as stated but is almost certainly a typo for 64.4k+ — the position was already in profit above 64.3k and 63.4k sits below his own DCA. MSG 823 (the 'should we gamble' poll, one minute before the call) is treated as the position's first appearance.</t>
  </si>
  <si>
    <t xml:space="preserve">#823, #824, #825, #826, #827, #828, #829, #830, #831, #833</t>
  </si>
  <si>
    <t xml:space="preserve">https://discord.com/channels/1042855255089623100/1501271173588193290/1532016371905466499</t>
  </si>
  <si>
    <t xml:space="preserve">2026-07-30 16:58:50</t>
  </si>
  <si>
    <t xml:space="preserve">called as a 65.2k limit with 50% held back for a DCA; six minutes later he revised it to a 65k market entry</t>
  </si>
  <si>
    <t xml:space="preserve">65400</t>
  </si>
  <si>
    <t xml:space="preserve">50% of size held back for a DCA; followers told a 66k stop would improve their R while he used 66.5k himself</t>
  </si>
  <si>
    <t xml:space="preserve">66500 (tightened)</t>
  </si>
  <si>
    <t xml:space="preserve">2026-07-30 17:04:20</t>
  </si>
  <si>
    <t xml:space="preserve">2026-07-31 08:17:01</t>
  </si>
  <si>
    <t xml:space="preserve">Flipped short minutes after fully taking profit on the long, fading the push into 65k for a scalp back toward 64.25k.</t>
  </si>
  <si>
    <t xml:space="preserve">He called the short as a 65.2k limit with half the size kept back for a DCA and a 66.6k stop, then six minutes later revised it: entry taken at market at 65k, DCA at 65.4k, stop tightened to 66.5k. He told followers they could use 66k as a stop to improve their R but stated he was personally using 66.5k. Because he expected to be away for a couple of hours he left a resting TP at 64250 rather than trailing the stop. It filled overnight and he reported it as 'The given TP on BTC was hit @ 64.2k' for +188.47%; the 65.4k DCA was never touched, so his average stayed at the 65k CMP fill.</t>
  </si>
  <si>
    <t xml:space="preserve">BTC pressing into 65k after the pump he had called</t>
  </si>
  <si>
    <t xml:space="preserve">He quotes the fill at 64.2k although the resting order was set at 64250 — exit_price uses his stated 64.2k. Leverage is left null because no card was posted with this close.</t>
  </si>
  <si>
    <t xml:space="preserve">#834, #835, #836, #837, #839</t>
  </si>
  <si>
    <t xml:space="preserve">https://discord.com/channels/1042855255089623100/1501271173588193290/1532386995912048730</t>
  </si>
  <si>
    <t xml:space="preserve">2026-07-30 17:13:27</t>
  </si>
  <si>
    <t xml:space="preserve">no entry level given - he was away from his desk and missed the move</t>
  </si>
  <si>
    <t xml:space="preserve">Wanted to short ETH with 1950 as the stop but was outside and got there too late to place it.</t>
  </si>
  <si>
    <t xml:space="preserve">He flagged that he had wanted to short ETH with a 1950 stop but was outside and it had got too late to take, so the idea was published and never acted on. No entry price or target was given. Two days later he did start an ETH short, but from 1840 and with no stop at all, so it is recorded separately.</t>
  </si>
  <si>
    <t xml:space="preserve">he was away from his desk</t>
  </si>
  <si>
    <t xml:space="preserve">Idea only - never entered, and the only number attached is the 1950 stop. Included for completeness as a not-taken call.</t>
  </si>
  <si>
    <t xml:space="preserve">#838</t>
  </si>
  <si>
    <t xml:space="preserve">https://discord.com/channels/1042855255089623100/1501271173588193290/1532390676157829292</t>
  </si>
  <si>
    <t xml:space="preserve">2026-07-31 10:23:26</t>
  </si>
  <si>
    <t xml:space="preserve">63,969 CMP, taken immediately after the short's TP filled; he flagged it as a slightly risky setup at the call</t>
  </si>
  <si>
    <t xml:space="preserve">slightly risky setup because of the monthly close; he told members to go half risk while the trade sat at breakeven</t>
  </si>
  <si>
    <t xml:space="preserve">2026-07-31 17:08:19</t>
  </si>
  <si>
    <t xml:space="preserve">Flipped straight back long at market right after the short's target filled, still expecting continuation to 65k, while acknowledging the monthly close made it a risky setup.</t>
  </si>
  <si>
    <t xml:space="preserve">He longed at 63,969 CMP within minutes of the short closing, with a 65k target and a 62.7k stop, calling it a slightly risky setup at the moment he gave it. An hour later he reminded members that the monthly close that day could pump or dump fast, said the position was sitting at breakeven and told them to go half risk. It never worked: at 17:08 he announced he had been stopped out, noting it was his first BTC stop in a month and a risk he had taken on himself. He immediately said he would look to long again around 62.2k, and shortly after that he would wait for some stability first, expecting 63.5-64.1k over the weekend before a move down.</t>
  </si>
  <si>
    <t xml:space="preserve">monthly close</t>
  </si>
  <si>
    <t xml:space="preserve">Monthly close day — he warned it can pump or dump real fast</t>
  </si>
  <si>
    <t xml:space="preserve">exit_price 62700 is carried over from the stop level in his own call (MSG 840) — he announced the stop-out but never restated the fill, and no PnL card was posted. Only the outcome, not the exact fill, is certain.</t>
  </si>
  <si>
    <t xml:space="preserve">#840, #841, #844</t>
  </si>
  <si>
    <t xml:space="preserve">https://discord.com/channels/1042855255089623100/1501271173588193290/1532649878084259901</t>
  </si>
  <si>
    <t xml:space="preserve">2026-07-31 14:04:14</t>
  </si>
  <si>
    <t xml:space="preserve">Limit order at 586.6 - he had said he would only long if he got the 582-586 zone</t>
  </si>
  <si>
    <t xml:space="preserve">600</t>
  </si>
  <si>
    <t xml:space="preserve">2026-08-02 18:58:34</t>
  </si>
  <si>
    <t xml:space="preserve">BNB looked set for 600-603 by the weekend, and he would only take it on a pullback into 582-586.</t>
  </si>
  <si>
    <t xml:space="preserve">He flagged BNB as looking very good for a long toward 600-603 by the weekend, but only if he could get 582-586. Three hours later he placed the limit: entry 586.6, TP 600, SL 570. By the next morning it had filled and both his open positions - this long and the UNI hedge short - were 'running in decent profits'. Then BNB turned: on 2 August he said 'luckily we survived BNB, almost at BE, can exit around BE', and that evening he took it off - 'Officially closing BNB slightly above BE @ 587'. Three days later he had to admit the exit was wrong: BNB never hit the stop and went on to hit the target, last trading at 599.41 with a 605.50 high - 'hard luck', though he still had 9 TPs in under 9 days.</t>
  </si>
  <si>
    <t xml:space="preserve">He expected the move to complete by the weekend; BNB instead sold off and recovered.</t>
  </si>
  <si>
    <t xml:space="preserve">The 586.6 limit filled at a time he never stated - it was already running by the 1 August 09:35 check-in - so entry_time and duration are null. Closed at 587, forty cents above the limit entry, and he described it himself as slightly above breakeven; treated as breakeven rather than a win.</t>
  </si>
  <si>
    <t xml:space="preserve">#842, #845, #850, #857, #859, #890</t>
  </si>
  <si>
    <t xml:space="preserve">https://discord.com/channels/1042855255089623100/1501271173588193290/1532705445523755038</t>
  </si>
  <si>
    <t xml:space="preserve">2026-07-31 16:37:44</t>
  </si>
  <si>
    <t xml:space="preserve">ARKMUSDT</t>
  </si>
  <si>
    <t xml:space="preserve">'long from CMP' - no entry price was published; his own fill turns out to be 0.096</t>
  </si>
  <si>
    <t xml:space="preserve">not an official setup - he had had 40+ setups that month and was chilling</t>
  </si>
  <si>
    <t xml:space="preserve">2026-07-31 18:38:00</t>
  </si>
  <si>
    <t xml:space="preserve">An off-the-books scalp long on ARKM from market with the daily low, 0.093, as the stop - explicitly not an official setup because he had already posted 40+ that month.</t>
  </si>
  <si>
    <t xml:space="preserve">He mentioned ARKM looked nice and that anyone who wanted could long from CMP using the daily low, 0.093, as a stop - explicitly not an official setup. Two hours later he was out: it had moved 0.5R from 0.096 and he had taken profit because he only wanted a scalp, with the 50x card at +67.07%. In the same message he told anyone still in to move their stop to entry at 0.096 and set a target at 0.1.</t>
  </si>
  <si>
    <t xml:space="preserve">He never quotes an exit price - only that it moved 0.5R from 0.096 - so exit_price is null rather than computed from the stop distance. The stop-to-entry move and the 0.1 target in his exit message are advice for followers still in the trade; he was already out, so neither is recorded as his own action.</t>
  </si>
  <si>
    <t xml:space="preserve">#843, #847</t>
  </si>
  <si>
    <t xml:space="preserve">https://discord.com/channels/1042855255089623100/1501271173588193290/1532744074216603749</t>
  </si>
  <si>
    <t xml:space="preserve">2026-07-31 18:30:38</t>
  </si>
  <si>
    <t xml:space="preserve">4.25 CMP, opened as a hedge against his long</t>
  </si>
  <si>
    <t xml:space="preserve">'I risk 2% on ALTs, 3-5% on BTC'. Stop defined as a 4h close above 4.44.</t>
  </si>
  <si>
    <t xml:space="preserve">2026-08-01 09:35:00</t>
  </si>
  <si>
    <t xml:space="preserve">A UNI short taken to hedge the long side of his book, stopped only on a 4h close above 4.44.</t>
  </si>
  <si>
    <t xml:space="preserve">He opened a UNI short at 4.25 CMP explicitly to hedge his long, with the stop set on a 4h close above 4.44 and a reminder of his sizing rules - 2% on alts, 3-5% on BTC. The next morning both sides of the book were in decent profit, and he took the short off: 'I have TPed UNI here', with the card at 4.088 (+267.66% on 75x, entry 4.24). For anyone still in he suggested a different plan from his own: take 50% there and TP fully at 3.99.</t>
  </si>
  <si>
    <t xml:space="preserve">Run alongside his BNB long as the hedge in a long/short pair.</t>
  </si>
  <si>
    <t xml:space="preserve">He said he had TPed 'here' but the share card he posted still shows the position open at a 4.088 mark, so the exit price is read from that mark. The 50%-now / 3.99-full plan was follower guidance; he closed in full.</t>
  </si>
  <si>
    <t xml:space="preserve">#846, #850</t>
  </si>
  <si>
    <t xml:space="preserve">https://discord.com/channels/1042855255089623100/1501271173588193290/1532772487429885982</t>
  </si>
  <si>
    <t xml:space="preserve">2026-08-01 11:27:43</t>
  </si>
  <si>
    <t xml:space="preserve">52.4 CMP or a limit at 52.05</t>
  </si>
  <si>
    <t xml:space="preserve">50</t>
  </si>
  <si>
    <t xml:space="preserve">only 25% of funds kept for the optional DCA at 50</t>
  </si>
  <si>
    <t xml:space="preserve">54 -&gt; 54/55 -&gt; 55/56</t>
  </si>
  <si>
    <t xml:space="preserve">100% at 53.5</t>
  </si>
  <si>
    <t xml:space="preserve">2026-08-01 11:50:34</t>
  </si>
  <si>
    <t xml:space="preserve">2026-08-03 17:44:38</t>
  </si>
  <si>
    <t xml:space="preserve">He thought it was do or die for HYPE and wanted the long right there.</t>
  </si>
  <si>
    <t xml:space="preserve">He said he was more interested in HYPE than anything else - a do or die moment - and twenty minutes later posted the long: 52.4 CMP or a limit at 52.05, an optional DCA at 50 for which he kept 25% of funds, stop 48.6. He held it through the next day, reported it green, and before going to sleep set the take profit at 54, saying he would move it to 55 if he woke up and saw strength. On the afternoon of 3 August he took profit at 53.5 because HYPE was moving slower than expected, telling members they could take a small one there and a bigger one at 54-55. Thirty-eight minutes later the 54 target hit and he confirmed he was out, adding that anyone still in could carry on to 55-56 but should take at least half.</t>
  </si>
  <si>
    <t xml:space="preserve">Two closes are reported 38 minutes apart - a 100% close at 53.5 (+109.69%) in msg 871 and 'HYPE TP hit @ 54, I'm out' in msg 873 - and they cannot both be his full exit. The 54 exit is treated as final and the 53.5 close is recorded as a partial. He never states his own fill or an average, and the 50 DCA is never reported as filled.</t>
  </si>
  <si>
    <t xml:space="preserve">#851, #852, #859, #865, #866, #867, #871, #873</t>
  </si>
  <si>
    <t xml:space="preserve">https://discord.com/channels/1042855255089623100/1501271173588193290/1533028445934583909</t>
  </si>
  <si>
    <t xml:space="preserve">published only as an option — 'a swing on BTC can be taken from CMP (63k)' — not as one of his own calls; his actual fill was disclosed a day later as 62.5k (card 62,512.3)</t>
  </si>
  <si>
    <t xml:space="preserve">he said he would not rush it because he was already risking on BNB and HYPE; offered followers a 61.4k wide stop or a 62k tight stop</t>
  </si>
  <si>
    <t xml:space="preserve">64000 -&gt; 64500 -&gt; 64400/64600</t>
  </si>
  <si>
    <t xml:space="preserve">50% at 63500</t>
  </si>
  <si>
    <t xml:space="preserve">2026-08-05 15:38:28</t>
  </si>
  <si>
    <t xml:space="preserve">A swing/scalp long into the 62-65k August range he had publicly called, bought on the dip below the 63k he first published rather than at his own stated level.</t>
  </si>
  <si>
    <t xml:space="preserve">He first offered this as an option rather than a call — 'a swing on BTC can be taken from CMP (63k) with an SL of 61.4k' — and that evening described the same idea as a scalp with either a 61.4k wide or 62k tight stop, saying he would not rush it because he was already risking on BNB and HYPE. He never announced his own fill; the next morning he disclosed that his entry had been 62.5k, took 50% off at 63.5k and told followers they were up 2R with a 62k stop or almost 1R with the 61.4k stop, planning to be fully out by 64k. He held the rest instead: on 3 Aug he posted his own open 500x card from 62,512.3 and said he 'should have given BTC long too' because he had been waiting for 61.8k, and over the next day he kept publishing 64.5k and then 64.4-64.6k as the target. On 5 Aug that target was hit at 64.5k and he closed with 'BTC target hit as well @64.5, some of you longed with ETH'.</t>
  </si>
  <si>
    <t xml:space="preserve">BTC chopping in the 62-65k range he had called for August; he was already carrying risk on BNB and HYPE</t>
  </si>
  <si>
    <t xml:space="preserve">The most inferred record in this file. (1) The 63k CMP swing published on 1 Aug and his own 62.5k fill are treated as one position; MSG 855 that evening ('not gonna rush') implies he had not taken the 63k call yet, so the actual entry time is unknown and duration_hours is null. (2) The 3 Aug 500x card from 62,512.3 is read as this same position still open rather than a fresh long, on the strength of the identical price — if it was a new 3 Aug entry then this record merges two trades. (3) The exit is inferred from MSG 887's tp_hit at the 64.5k target he had been publishing; he never explicitly said 'closing my long'. (4) The 2R / almost-1R figures are for followers using the 62k and 61.4k stops — he never said which stop he used himself, so r_multiple is null. (5) MSG 878 and 880 (4 Aug) read as though he were flat and hunting a new long, which argues against him still holding this one.</t>
  </si>
  <si>
    <t xml:space="preserve">#851, #855, #856, #870, #878, #880, #883, #887</t>
  </si>
  <si>
    <t xml:space="preserve">2026-08-01 21:42:13</t>
  </si>
  <si>
    <t xml:space="preserve">started the short from 1840 with no stop loss at all - 'maybe 2k?'</t>
  </si>
  <si>
    <t xml:space="preserve">2000</t>
  </si>
  <si>
    <t xml:space="preserve">1700, 1750</t>
  </si>
  <si>
    <t xml:space="preserve">1% margin with max leverage (later stated as 1% at 100x); held deliberately without a SL, which he does not recommend to others - anyone using a SL should not add</t>
  </si>
  <si>
    <t xml:space="preserve">Shorted ETH into the spike after Saylor's sell news dumped BTC, held on 1% margin with no stop and a plan to add higher.</t>
  </si>
  <si>
    <t xml:space="preserve">He started the short from 1840 on 1% margin at max leverage, openly without a stop loss and floating 2k as the level he might use, inviting anyone who wanted to join. Forty minutes later he said he would add another 1% around 2k if it got there, but that anyone running a stop should not add. Through 2 August he kept flagging it as the ETH short without a SL and said he was not planning to close before 1700-1750 at least, restating entry 1840 at 1% and 100x. On 3 August he noted the Monday pump had not come but the short was in green - and after that the position simply disappears from the log.</t>
  </si>
  <si>
    <t xml:space="preserve">Saylor's sell news, BTC dumped</t>
  </si>
  <si>
    <t xml:space="preserve">No exit was ever posted. He opens separate ETH shorts at 1920 on 5 and 7 August, each with its own stop and both closed out, so this stop-less 1840 short either ran alongside them unmentioned, was folded into them, or was closed silently. Fate and result unknown; the 2k add was never reported as filled.</t>
  </si>
  <si>
    <t xml:space="preserve">#853, #854, #859, #860, #867</t>
  </si>
  <si>
    <t xml:space="preserve">https://discord.com/channels/1042855255089623100/1501271173588193290/1533183087180255364</t>
  </si>
  <si>
    <t xml:space="preserve">2026-08-02 14:07:13</t>
  </si>
  <si>
    <t xml:space="preserve">473.5 CMP, with a 25% DCA leg at 460 - half the size of the first entry</t>
  </si>
  <si>
    <t xml:space="preserve">460</t>
  </si>
  <si>
    <t xml:space="preserve">487</t>
  </si>
  <si>
    <t xml:space="preserve">Half risk trade - weekend plus longs seem shaky</t>
  </si>
  <si>
    <t xml:space="preserve">510</t>
  </si>
  <si>
    <t xml:space="preserve">2026-08-02 23:36:35</t>
  </si>
  <si>
    <t xml:space="preserve">A half-risk ZEC long from 473.5 into the weekend with a 25% DCA leg below, sized down because longs were looking shaky.</t>
  </si>
  <si>
    <t xml:space="preserve">He called it at 473.5 CMP with a 25% DCA at 460, a first target at 487 and a 450 stop, at half risk because it was the weekend and longs looked shaky. In the evening he confirmed he was still holding it alongside HYPE, and just before midnight took profit at 490 - better than his own target - for +168.99%. Minutes later, answering a member who asked whether he takes full TPs, he confirmed that he does, and said the next target on ZEC could be 510.</t>
  </si>
  <si>
    <t xml:space="preserve">weekend, and longs looking shaky</t>
  </si>
  <si>
    <t xml:space="preserve">No entry fill or DCA fill was ever posted, so avg_entry is unknown; the 490 exit and the +168.99% are his own figures with no closing card quoted. The 510 'next TP' is for anyone still in - he was already out.</t>
  </si>
  <si>
    <t xml:space="preserve">#858, #859, #862, #863</t>
  </si>
  <si>
    <t xml:space="preserve">https://discord.com/channels/1042855255089623100/1501271173588193290/1533430971158761562</t>
  </si>
  <si>
    <t xml:space="preserve">2026-08-02 20:03:22</t>
  </si>
  <si>
    <t xml:space="preserve">1862 CMP</t>
  </si>
  <si>
    <t xml:space="preserve">1892, 1900</t>
  </si>
  <si>
    <t xml:space="preserve">Half risk long</t>
  </si>
  <si>
    <t xml:space="preserve">2026-08-03 00:49:38</t>
  </si>
  <si>
    <t xml:space="preserve">Expected ETH to give 1900 on a Sunday-Monday pump before heading lower, so he took a half-risk long from 1862 for 1892-1900.</t>
  </si>
  <si>
    <t xml:space="preserve">He called the half-risk long at 1862 CMP for 1892-1900, with the stop as a 4H close under 1842 or a hard 1832, saying ETH would probably give 1900 on the Sunday-Monday pump and then head lower. Under five hours later the target filled - 'here you go guys, ETH TP hit as well', +329.17% on the card, straight after the same result on ZEC. He never posted the fill price. The next morning he framed it as the longs being closed in profit while his separate ETH short went green.</t>
  </si>
  <si>
    <t xml:space="preserve">4H close</t>
  </si>
  <si>
    <t xml:space="preserve">expected a Sunday-Monday pump then lower prices</t>
  </si>
  <si>
    <t xml:space="preserve">No exit price was posted, only the ROI figure, so exit_price is null against a 1892-1900 target zone. The hard stop 1832 is recorded; the primary stop condition was a 4H close under 1842.</t>
  </si>
  <si>
    <t xml:space="preserve">#861, #864</t>
  </si>
  <si>
    <t xml:space="preserve">https://discord.com/channels/1042855255089623100/1501271173588193290/1533520601480691875</t>
  </si>
  <si>
    <t xml:space="preserve">2026-08-03 15:32:50</t>
  </si>
  <si>
    <t xml:space="preserve">482 CMP, in the 480-482 zone he had flagged an hour earlier; 25% held back for a DCA</t>
  </si>
  <si>
    <t xml:space="preserve">495, 510</t>
  </si>
  <si>
    <t xml:space="preserve">25% held back for DCA</t>
  </si>
  <si>
    <t xml:space="preserve">482 (to_entry)</t>
  </si>
  <si>
    <t xml:space="preserve">2026-08-03 16:35:02</t>
  </si>
  <si>
    <t xml:space="preserve">2026-08-05 16:04:08</t>
  </si>
  <si>
    <t xml:space="preserve">He had flagged ZEC as ready for higher and wanted the 480-482 zone; he got it at 482 and targeted 495-510.</t>
  </si>
  <si>
    <t xml:space="preserve">An hour after saying ZEC looked ready for higher and that he would try to long 480-482, he took it at 482 CMP with a 460 stop, 495-510 targets and 25% held back for a DCA. Half an hour later it missed his target by a dollar, and rather than close he moved the stop to entry at 482 with the card showing +91.49%. Two days later that decision cost him: it missed the target by about half a dollar, came back and hit the breakeven stop - and then went on to hit both targets without him. The chart he posted shows the 495 line against a 494.48 high, with the EMA-200 at 478.</t>
  </si>
  <si>
    <t xml:space="preserve">EMA</t>
  </si>
  <si>
    <t xml:space="preserve">Both 'missed TP by' messages (by $1 on 3 Aug, by ~$0.50 on 5 Aug) refer to the same 495 target. The exit price is his stop level, 482 - no fill was quoted. first_seen is the plan message an hour before the call, since it names the same 480-482 zone.</t>
  </si>
  <si>
    <t xml:space="preserve">#868, #869, #872, #889</t>
  </si>
  <si>
    <t xml:space="preserve">https://discord.com/channels/1042855255089623100/1501271173588193290/1533814905503748196</t>
  </si>
  <si>
    <t xml:space="preserve">2026-08-03 17:49:14</t>
  </si>
  <si>
    <t xml:space="preserve">the call was posted on his X account, not in the server - no plan levels appear in this log</t>
  </si>
  <si>
    <t xml:space="preserve">115 | 20% at 126.67</t>
  </si>
  <si>
    <t xml:space="preserve">A long he had called publicly on X rather than in the server, held through a 20% pump and into earnings.</t>
  </si>
  <si>
    <t xml:space="preserve">This position surfaces sideways: a recap card on 3 August reveals an open SPCX long from 107.82, +89.38% with price at 112.01, that had never been called in the server. Late that night he took profit at 115 for anyone who had followed the call from his X account, while continuing to hold himself. The next evening SPCX was up 15% from the X call and he said he was excited for earnings and just hoped they would not kick him out at breakeven; a few hours later he took another 20% off after a 20% pump, still holding the remainder. Nothing more is ever said about SPCX.</t>
  </si>
  <si>
    <t xml:space="preserve">earnings</t>
  </si>
  <si>
    <t xml:space="preserve">earnings coming up</t>
  </si>
  <si>
    <t xml:space="preserve">The entry (107.82) comes only from share cards; there is no call, stop or target in this file and the entry time is unknown, so duration cannot be given. Recorded as a win because he banked profit on at least two partials, but the final exit is never reported - he was still holding at his last mention on 4 August and the file then goes quiet on SPCX for the remaining 17 days. [AUDIT] Audit: reconstructed entirely from share cards — no call, stop, target or exit exists. His last word (MSG 882) is that he took another 20% and was still holding; SPCX never reappears. Marked still open.</t>
  </si>
  <si>
    <t xml:space="preserve">#874, #876, #881, #882</t>
  </si>
  <si>
    <t xml:space="preserve">https://discord.com/channels/1042855255089623100/1501271173588193290/1533849230681309194</t>
  </si>
  <si>
    <t xml:space="preserve">2026-08-04 17:35:14</t>
  </si>
  <si>
    <t xml:space="preserve">1867 CMP with 25% held back for the 1846 DCA</t>
  </si>
  <si>
    <t xml:space="preserve">1846</t>
  </si>
  <si>
    <t xml:space="preserve">1892, 1898</t>
  </si>
  <si>
    <t xml:space="preserve">DCA 25%</t>
  </si>
  <si>
    <t xml:space="preserve">2026-08-05 15:33:19</t>
  </si>
  <si>
    <t xml:space="preserve">Long ETH from 1867 for 1892-1898 with a 25% DCA at 1846 and a 1806 stop.</t>
  </si>
  <si>
    <t xml:space="preserve">He called the long at 1867 CMP with a 25% DCA at 1846, targets 1892-1898 and a 1806 stop, restating the target zone five minutes later. Overnight it stalled: BTC rejected from the daily EMA and resistance while ETH barely moved, and with the position back at breakeven he offered followers the exit while saying he would take the risk himself and DCA - quoting the level as 1946, almost certainly a typo for 1846. The next afternoon he closed the whole thing at 1882 for +114.52% rather than wait for 1892, telling anyone who wanted to keep holding to move their stop to entry (1867) and take profit at 1892.</t>
  </si>
  <si>
    <t xml:space="preserve">EMA, resistance</t>
  </si>
  <si>
    <t xml:space="preserve">BTC rejected from the daily EMA and resistance while ETH barely moved</t>
  </si>
  <si>
    <t xml:space="preserve">The DCA level in MSG 883 is written as 1946 - above the entry - and is treated as a typo for the 1846 DCA from the call; no DCA fill was ever confirmed, so dca_fills is empty. The stop-to-entry and 1892 TP in the closing message are instructions for followers who kept holding, not his own actions.</t>
  </si>
  <si>
    <t xml:space="preserve">#879, #880, #883, #886</t>
  </si>
  <si>
    <t xml:space="preserve">https://discord.com/channels/1042855255089623100/1501271173588193290/1534208098007515209</t>
  </si>
  <si>
    <t xml:space="preserve">2026-08-05 13:24:45</t>
  </si>
  <si>
    <t xml:space="preserve">Shorted from 4162 with 30% of size held back for a DCA</t>
  </si>
  <si>
    <t xml:space="preserve">'Wide SL so manage risk' - 107 points from entry, with 30% reserved for a DCA.</t>
  </si>
  <si>
    <t xml:space="preserve">4209 (added the reserved 30%)</t>
  </si>
  <si>
    <t xml:space="preserve">4280 (widened)</t>
  </si>
  <si>
    <t xml:space="preserve">2026-08-06 02:39:43</t>
  </si>
  <si>
    <t xml:space="preserve">A gold short from 4162 with a deliberately wide stop and a third of the size kept back to average up.</t>
  </si>
  <si>
    <t xml:space="preserve">He shorted gold from 4162, holding 30% back for a DCA and warning that the 4269 stop was wide so members should manage risk. Ninety minutes later gold had gone against him and he added the reserved 30% at 4209, widening the stop to 4280; by mid-afternoon his average was 4182. It never worked: 'Sorry guys, GOLD stopped, came near BE after DCA but thought we would get some green' - it had come back close to breakeven after the average-up and he held for green instead of taking the escape. In the same message he set out where he wanted to be next: gold under 4k again, but only after 4350-4400.</t>
  </si>
  <si>
    <t xml:space="preserve">He still expected gold under 4k, but only after a push to 4350-4400.</t>
  </si>
  <si>
    <t xml:space="preserve">No target was ever published and no exit price was stated at the stop - the effective stop at the time was the widened 4280 (planned_stop holds the original 4269). r_multiple is null: he never gave an R for the loss.</t>
  </si>
  <si>
    <t xml:space="preserve">#884, #885, #888, #897</t>
  </si>
  <si>
    <t xml:space="preserve">https://discord.com/channels/1042855255089623100/1501271173588193290/1534507447534751764</t>
  </si>
  <si>
    <t xml:space="preserve">2026-08-05 15:43:37</t>
  </si>
  <si>
    <t xml:space="preserve">he wanted 58.5-59 rather than the 57.3 on offer; the order he actually left was at 58 (msg 901)</t>
  </si>
  <si>
    <t xml:space="preserve">He wanted to short HYPE but not at 57.3 - he thought 58.5-59 was gettable and waited for it.</t>
  </si>
  <si>
    <t xml:space="preserve">He said he wanted to enter a HYPE short at the then-current 57.3 but believed 58.5-59 was gettable, so he waited and left a limit order at 58. It never filled: the next day he reported that his 58 short order was still sitting there and price had reversed from 53.999 without ever tagging it. No position was opened.</t>
  </si>
  <si>
    <t xml:space="preserve">A resting limit that never filled, so exit_type is never_filled and the outcome is recorded as not_taken (no position ran). The zone he first named (58.5-59) and the order he actually left (58) differ slightly; no stop or target was ever published. [AUDIT] Audit: planned_entry 58.5 was the zone he wanted; the order he actually left was at 58 (MSG 901).</t>
  </si>
  <si>
    <t xml:space="preserve">#888, #901</t>
  </si>
  <si>
    <t xml:space="preserve">https://discord.com/channels/1042855255089623100/1501271173588193290/1534542395121729617</t>
  </si>
  <si>
    <t xml:space="preserve">2026-08-05 16:51:42</t>
  </si>
  <si>
    <t xml:space="preserve">1870 CMP with 30% left for a DCA</t>
  </si>
  <si>
    <t xml:space="preserve">Leave 30% for DCA</t>
  </si>
  <si>
    <t xml:space="preserve">2026-08-05 19:22:58</t>
  </si>
  <si>
    <t xml:space="preserve">Re-entered ETH long at 1870 an hour after closing the previous one, expecting the 4h 200 EMA to bounce price.</t>
  </si>
  <si>
    <t xml:space="preserve">An hour and a half after closing his last ETH long he called a new one at 1870 CMP with a 1830 stop and 30% held back for a DCA, giving no target. Forty minutes in he pointed out ETH could not even reach the last daily high and named a DCA at 1852, expecting the 4h 200 EMA to bounce price - then two minutes later said 1852 was a typo, without ever giving the corrected level. It bounced anyway: at 19:22 he closed the lot at 1890.27 from 1871.53 for +200.26%.</t>
  </si>
  <si>
    <t xml:space="preserve">EMA, daily high</t>
  </si>
  <si>
    <t xml:space="preserve">ETH could not reach the previous daily high</t>
  </si>
  <si>
    <t xml:space="preserve">The DCA level is unusable - posted as 1852, then retracted as a typo with no replacement - so planned_dca is empty and no fill is recorded. Entry 1871.53 on the card is slightly above the 1870 CMP call.</t>
  </si>
  <si>
    <t xml:space="preserve">#891, #892, #893, #894</t>
  </si>
  <si>
    <t xml:space="preserve">https://discord.com/channels/1042855255089623100/1501271173588193290/1534559527834222623</t>
  </si>
  <si>
    <t xml:space="preserve">2026-08-05 21:23:48</t>
  </si>
  <si>
    <t xml:space="preserve">1920 CMP</t>
  </si>
  <si>
    <t xml:space="preserve">Half risk trade since the SL is manual, use small margin; not tagged because he did not think the trade was important enough</t>
  </si>
  <si>
    <t xml:space="preserve">2026-08-06 16:25:06</t>
  </si>
  <si>
    <t xml:space="preserve">Short ETH from 1920 with the stop as a 4h close above 1950 - a low-conviction scalp he did not even tag.</t>
  </si>
  <si>
    <t xml:space="preserve">He shorted at 1920 CMP with a manual stop (4h close above 1950), half risk and small margin, saying the trade was not important enough to tag. Through the next morning he was still in it and admitted it had gone nearly 1R without him booking anything. At 16:25 he closed it at 1892 for a clean 1R, +235.1% at 300x, and told followers they could keep 50% and let it run down to 1885.</t>
  </si>
  <si>
    <t xml:space="preserve">r_multiple 1 is his own statement ('1R done'), not computed. The 50%-to-1885 instruction is follower guidance issued as he closed in full.</t>
  </si>
  <si>
    <t xml:space="preserve">#896, #898, #899</t>
  </si>
  <si>
    <t xml:space="preserve">https://discord.com/channels/1042855255089623100/1501271173588193290/1534628007229132902</t>
  </si>
  <si>
    <t xml:space="preserve">2026-08-06 12:27:31</t>
  </si>
  <si>
    <t xml:space="preserve">taken the night of 5-6 Aug alongside the ETH short and only disclosed at midday on 6 Aug; his card showed the fill at 64,823 and he restated the setup that evening as entry 64.8k</t>
  </si>
  <si>
    <t xml:space="preserve">65390</t>
  </si>
  <si>
    <t xml:space="preserve">63900</t>
  </si>
  <si>
    <t xml:space="preserve">kept some size back for a DCA; the published stop was a 4h close above 66k or a hard 66.3k</t>
  </si>
  <si>
    <t xml:space="preserve">65390 (DCA filled at the called level after four days of the trade going against him; blended entry 65,024.1, implying roughly 65% initial / 35% DCA)</t>
  </si>
  <si>
    <t xml:space="preserve">66300 (widened) -&gt; 66300 (reaffirmed)</t>
  </si>
  <si>
    <t xml:space="preserve">63800/63900 -&gt; 63300 -&gt; 64400/64500 -&gt; 63990</t>
  </si>
  <si>
    <t xml:space="preserve">75% at 64504.5</t>
  </si>
  <si>
    <t xml:space="preserve">2026-08-10 19:21:18</t>
  </si>
  <si>
    <t xml:space="preserve">Faded the push above 64k he had been waiting for since 3 Aug, shorting alongside ETH with the plan to cover in the 63.8-63.9k area.</t>
  </si>
  <si>
    <t xml:space="preserve">He had said on 3 Aug that he would short BTC on a break of 64k or a rejection from 63.9k and would mention it if he took it; he took it the night of 5 Aug alongside ETH and only disclosed it at midday on 6 Aug with a card showing entry 64,823 and a 66k stop. That evening he restated the full setup — entry 64.8k, DCA 65390, TP 63900, 4h close above 66k or hard SL 66.3k — added 63.3k as a second target, and the next day published a wider alternative for followers (two 25% DCAs at 65.4k and 65.8k with a 67.8k stop) to survive a pumpy weekend, while saying he himself was holding at 66.3k and would just short again if stopped. It went against him for days: he told followers they could exit in small profits and re-enter at 65.3-65.8k (telling those who did to move their stop to entry, book 50% and target 64.6k), reported the position around breakeven with the TP missed by $200, told anyone who wanted out to exit or halve risk, and kept holding 'since Thursday'. On 10 Aug the 65390 DCA finally filled for a blended 65,024.1, he pulled the target in to 64.4-64.5k, booked 75% at 64,504.5 for +119.86%, tightened the runner to 63990 and closed the last 25% at 64,060.</t>
  </si>
  <si>
    <t xml:space="preserve">EMA 200 (15m)</t>
  </si>
  <si>
    <t xml:space="preserve">He had said he would short a 64k break or a 63.9 rejection; the weekend looked pumpy at 66-67k and BTC kept bouncing off the 15m EMA 200</t>
  </si>
  <si>
    <t xml:space="preserve">entry_time is unknown — he shorted 'last night' and disclosed it the following midday — so duration_hours is null; in practice the trade was held roughly five days (night of 5-6 Aug to the evening of 10 Aug). The 65.3-65.8k re-entry guidance (MSG 907, 910, 914) and the wider two-DCA alternative setup (MSG 908) are follower instructions, not his own actions — he stated throughout that he was still holding the original — so they appear in the story rather than in partials/stop_moves. Leverage on the disclosure card is not stated (+14.93% on a 48-point move implies roughly 200x), so only the stated 150x from the 10 Aug card is recorded. His pre-trade plans to short a 64k break (MSG 866, 875 on 3 Aug) are the origin of the idea but are not counted as this position's start.</t>
  </si>
  <si>
    <t xml:space="preserve">#898, #900, #902, #903, #907, #908, #910, #913, #914, #915, #916, #918, #921, #924, #926</t>
  </si>
  <si>
    <t xml:space="preserve">https://discord.com/channels/1042855255089623100/1501271173588193290/1534855435092230227</t>
  </si>
  <si>
    <t xml:space="preserve">2026-08-06 16:49:55</t>
  </si>
  <si>
    <t xml:space="preserve">Wanted to short from 4350 - price never got there</t>
  </si>
  <si>
    <t xml:space="preserve">After being stopped on the 4162 short he still wanted the trade, but only from 4350-4400 - the level he thought gold had to reach before breaking under 4k.</t>
  </si>
  <si>
    <t xml:space="preserve">Hours after being stopped out of the 4162 short he restated the plan he had voiced that morning - gold under 4k again, but only after 4350-4400 - as a trade he had wanted to take: 'Gold wanted to short from 4350 reversed earlier'. Price turned before reaching his level, so no order was ever placed and no entry, stop or target was published.</t>
  </si>
  <si>
    <t xml:space="preserve">Follows his stop-out that morning; he expected gold under 4k again after a push to 4350-4400.</t>
  </si>
  <si>
    <t xml:space="preserve">Mentioned retrospectively rather than posted as a call - no stop or target, and it is not fully clear whether he had a resting order or simply an intention, so it is recorded as not_taken rather than never_filled. The seed of the idea is the 4350-4400 forecast in msg 897, which belongs to the stopped-out 5 August short.</t>
  </si>
  <si>
    <t xml:space="preserve">#901</t>
  </si>
  <si>
    <t xml:space="preserve">https://discord.com/channels/1042855255089623100/1501271173588193290/1534921466557239359</t>
  </si>
  <si>
    <t xml:space="preserve">2026-08-06 23:32:13</t>
  </si>
  <si>
    <t xml:space="preserve">TRADOORUSDT</t>
  </si>
  <si>
    <t xml:space="preserve">0.72 CMP; after an instant 1-minute pump he told late entrants to take a small entry at 0.73 with a DCA at 0.7</t>
  </si>
  <si>
    <t xml:space="preserve">0.7</t>
  </si>
  <si>
    <t xml:space="preserve">0.81, 0.92</t>
  </si>
  <si>
    <t xml:space="preserve">'Gambe trade... Risky, shitcoin, please go low or half!' - and keep any late entry low.</t>
  </si>
  <si>
    <t xml:space="preserve">2026-08-07 12:10:07</t>
  </si>
  <si>
    <t xml:space="preserve">An openly labelled gamble on a shitcoin - long TRADOOR at 0.72 with a wide stop and targets at 0.81-0.92, sized down.</t>
  </si>
  <si>
    <t xml:space="preserve">He posted TRADOOR long at 0.72 CMP as a gamble trade - TPs 0.81-0.92, SL 0.605, 'Risky, shitcoin, please go low or half!'. A minute later, after an instant 1-minute pump, he told anyone entering late to take a small entry at 0.73 with a DCA at 0.7 and keep it low. It showed strength briefly and then rolled over: 'TRADOOR stopped after showing good strength at the beginning, shitcoins. Was a gamble anyway.'</t>
  </si>
  <si>
    <t xml:space="preserve">The 0.73 entry and 0.7 DCA in msg 905 are guidance for late entrants after the pump, not a change to his own 0.72 fill. No exit price was given at the stop; the published 0.605 stop is in planned_stop.</t>
  </si>
  <si>
    <t xml:space="preserve">#904, #905, #906</t>
  </si>
  <si>
    <t xml:space="preserve">https://discord.com/channels/1042855255089623100/1501271173588193290/1535022708989886575</t>
  </si>
  <si>
    <t xml:space="preserve">2026-08-07 16:18:24</t>
  </si>
  <si>
    <t xml:space="preserve">THETAUSDT</t>
  </si>
  <si>
    <t xml:space="preserve">0.1322, 0.1311</t>
  </si>
  <si>
    <t xml:space="preserve">Half risk trade; stop set at the daily high on your own exchange</t>
  </si>
  <si>
    <t xml:space="preserve">Short THETA from market with the daily high as the stop, taken on half risk.</t>
  </si>
  <si>
    <t xml:space="preserve">He shorted THETA at 0.134 CMP on half risk, targeting 0.1322-0.1311 with the daily high on your own exchange (0.1375) as the stop. Two days later it was sitting around breakeven: it had missed the target by 0.0002 and reversed, as BTC and ETH had done too. He told members they could exit there or reduce risk to half, and said he was holding everything himself while calling that decision stupid. THETA is never mentioned again.</t>
  </si>
  <si>
    <t xml:space="preserve">market looks pumpy</t>
  </si>
  <si>
    <t xml:space="preserve">No close, stop or target fill is ever reported - the last word is that it was around breakeven on 9 August with him still holding, and the file is then silent for the remaining twelve days, so the outcome is unknown.</t>
  </si>
  <si>
    <t xml:space="preserve">#909, #915</t>
  </si>
  <si>
    <t xml:space="preserve">https://discord.com/channels/1042855255089623100/1501271173588193290/1535275923308412928</t>
  </si>
  <si>
    <t xml:space="preserve">2026-08-07 19:26:33</t>
  </si>
  <si>
    <t xml:space="preserve">1920 CMP, but it dumped to 1913 while he was typing so he told people to take 50% there and DCA the rest at 1930</t>
  </si>
  <si>
    <t xml:space="preserve">1930</t>
  </si>
  <si>
    <t xml:space="preserve">1900, 1880</t>
  </si>
  <si>
    <t xml:space="preserve">Keep 30% for DCA (revised a minute later to entering 50% and DCAing 50%); on 9 Aug he told anyone uncomfortable to exit or halve their risk</t>
  </si>
  <si>
    <t xml:space="preserve">1930 (DCA reported filled alongside the BTC one at 65390)</t>
  </si>
  <si>
    <t xml:space="preserve">1900/1905</t>
  </si>
  <si>
    <t xml:space="preserve">2026-08-10 16:09:39</t>
  </si>
  <si>
    <t xml:space="preserve">Second short from the same 1920 area, targeting 1900-1880 with a 1950 stop and a third of the size kept back to add higher.</t>
  </si>
  <si>
    <t xml:space="preserve">He shorted 1920 CMP for 1900-1880 with a 1950 stop and 30% held for a DCA, then a minute later - after it dumped to 1913 while he typed - revised it to entering half and DCAing the other half at 1930. That evening the target was missed by three dollars as ETH bounced off the 15m EMA 200; on 9 August, with it in small profit and the market looking pumpy, he told anyone who wanted out to leave or halve their risk while he kept holding since Thursday. On 10 August the 1930 DCA filled and he tightened the exit zone to 1900-1905 because price kept bouncing, then closed everything five minutes later at 1907.31 from an average of 1922.78 for +241.45% at 300x. Two hours after that the setup ran to its full 1880 target, and he noted he had exited early at 1905 because he only scalps.</t>
  </si>
  <si>
    <t xml:space="preserve">frustrating price action - BTC and ETH kept bouncing off the 15m EMA 200; the weekend looked pumpy</t>
  </si>
  <si>
    <t xml:space="preserve">The average entry of 1922.78 sits above the 1920 call because the 1930 DCA filled. MSG 925 confirms the full 1880 target printed after he was out.</t>
  </si>
  <si>
    <t xml:space="preserve">#911, #912, #913, #915, #916, #918, #919, #925</t>
  </si>
  <si>
    <t xml:space="preserve">https://discord.com/channels/1042855255089623100/1501271173588193290/1535323273842130994</t>
  </si>
  <si>
    <t xml:space="preserve">2026-08-10 16:34:31</t>
  </si>
  <si>
    <t xml:space="preserve">GRTUSDT</t>
  </si>
  <si>
    <t xml:space="preserve">0.0146 CMP, no target at the call</t>
  </si>
  <si>
    <t xml:space="preserve">'Half risk on shitcoins'. Soft stop was a 4h close above 0.0148, hard stop 0.0149.</t>
  </si>
  <si>
    <t xml:space="preserve">2026-08-10 18:02:51</t>
  </si>
  <si>
    <t xml:space="preserve">A half-size short on GRT from 0.0146 with a two-tier stop - a 4h close above 0.0148, or a hard 0.0149.</t>
  </si>
  <si>
    <t xml:space="preserve">He shorted GRT at 0.0146 CMP with the stop defined two ways - a 4h close above 0.0148 or a hard 0.0149 - and told members to use half risk on shitcoins. No target was published. Ninety minutes later he took it: 'TP taken for a 0.7R, 1R with soft SL', the card showing entry 0.01457 and exit 0.01443 for +48.04%.</t>
  </si>
  <si>
    <t xml:space="preserve">The R depends on which stop you measure against - 0.7R on the hard 0.0149 stop, 1R on the soft 4h-close stop; his 0.7R figure is recorded. planned_stop holds the hard stop.</t>
  </si>
  <si>
    <t xml:space="preserve">#920, #922</t>
  </si>
  <si>
    <t xml:space="preserve">https://discord.com/channels/1042855255089623100/1501271173588193290/1536367146005700639</t>
  </si>
  <si>
    <t xml:space="preserve">2026-08-10 19:23:17</t>
  </si>
  <si>
    <t xml:space="preserve">63,960 CMP taken two minutes after covering the short; he told followers to go a bit lower because he suspected a push to 61.5k first</t>
  </si>
  <si>
    <t xml:space="preserve">63523</t>
  </si>
  <si>
    <t xml:space="preserve">half margin recommended across his two open longs (BTC and ETH); the 63523 DCA was optional at 25%; he noted he usually targets 0.5R on scalps</t>
  </si>
  <si>
    <t xml:space="preserve">63523 (the optional 25% DCA filled; he gave the blended entry as 'around 63.8k' (63.9k without the DCA) and the closing card shows 63,797.1. Fill price is the level from his call — he never restated it)</t>
  </si>
  <si>
    <t xml:space="preserve">62500 (hard_to_manual)</t>
  </si>
  <si>
    <t xml:space="preserve">64500/64600 -&gt; 64000/64200</t>
  </si>
  <si>
    <t xml:space="preserve">2026-08-17 18:49:04</t>
  </si>
  <si>
    <t xml:space="preserve">Flipped long the moment he covered the short, buying the 63.9k area with a wide 62.5k stop and an optional DCA, on the view that any flush toward 61.5k would be an HTF bounce zone worth 500-700 dollars.</t>
  </si>
  <si>
    <t xml:space="preserve">He longed at 63,960 CMP two minutes after covering the short, with a 62.5k stop and no target, telling followers to go a bit lower or keep the stop manual on 4h closes because he suspected price might be sent to 61.5k first, and adding an optional 25% DCA at 63523; he also recommended half margin across his BTC and ETH longs. The optional DCA filled and on 12 Aug he gave the blended entry as roughly 63.8k (63.9k without the DCA), targeting 64.5-64.6k and telling anyone uncomfortable that they could exit before CPI. He then missed twice in two days — TP at 64.6k with a reversal from 64,550, TP at 64.5k with a reversal from 64,450 — and on 14 Aug he dropped the hard stop for a manual one, refusing to accept anything but a 4h close below 62.5k because 62.6k was good support and he expected a weekend bounce. It survived, came back to his 63.8k breakeven, and on 17 Aug he cut the target to 64-64.2k and closed at 64,144.9 for +109.01%, summing it up as 'from almost an SL to a decent TP with a DCA in'.</t>
  </si>
  <si>
    <t xml:space="preserve">HTF bounce zone, CPI, 62.6k support</t>
  </si>
  <si>
    <t xml:space="preserve">CPI week; he expected a possible push to 61.5k before higher, and 62.6k held as support through the drawdown</t>
  </si>
  <si>
    <t xml:space="preserve">exit_type is recorded as manual_close because he framed it as wanting out of the trade ('just wanna get out of this one'), although the 64,144.9 fill did land inside the 64-64.2k exit zone he had published 90 minutes earlier. Leverage is not stated on the closing card. The 0.5R in MSG 929 is his general habit on scalps, not a target for this trade, so planned_r is null.</t>
  </si>
  <si>
    <t xml:space="preserve">#927, #928, #929, #931, #937, #938, #944, #954, #957, #958, #959</t>
  </si>
  <si>
    <t xml:space="preserve">https://discord.com/channels/1042855255089623100/1501271173588193290/1536409614344523969</t>
  </si>
  <si>
    <t xml:space="preserve">2026-08-10 22:00:57</t>
  </si>
  <si>
    <t xml:space="preserve">1871 CMP with a DCA at 1856</t>
  </si>
  <si>
    <t xml:space="preserve">1856</t>
  </si>
  <si>
    <t xml:space="preserve">1890, 1910</t>
  </si>
  <si>
    <t xml:space="preserve">Recommended margin for both open trades is half</t>
  </si>
  <si>
    <t xml:space="preserve">2026-08-11 14:05:41</t>
  </si>
  <si>
    <t xml:space="preserve">Flipped long at 1871 within hours of closing the ETH short, targeting 1890-1910 with a 1842 stop.</t>
  </si>
  <si>
    <t xml:space="preserve">Six hours after closing his ETH short he called the long at 1871 CMP with a 1856 DCA, targets 1890-1910 and a 1842 stop, recommending half margin on it and the BTC long. It filled the first target the next afternoon: entry 1872.74, exit 1890.16, +186.03%, position closed. The 1856 DCA was never needed.</t>
  </si>
  <si>
    <t xml:space="preserve">Closed at the first target; the 1910 upper target was not taken.</t>
  </si>
  <si>
    <t xml:space="preserve">#930, #931, #932</t>
  </si>
  <si>
    <t xml:space="preserve">https://discord.com/channels/1042855255089623100/1501271173588193290/1536449292066226326</t>
  </si>
  <si>
    <t xml:space="preserve">2026-08-11 18:07:19</t>
  </si>
  <si>
    <t xml:space="preserve">Never called in the channel - surfaced only as a closed card in a linked X post</t>
  </si>
  <si>
    <t xml:space="preserve">A SOL short he ran outside the channel; the only thing published is the finished card.</t>
  </si>
  <si>
    <t xml:space="preserve">He posted a bare X link whose share card shows a closed SOL short - 100x, entry 77.23, close 75.23, +262.87%. The trade was never called in the channel: no entry, stop, target, timing or management was ever posted here, only the finished result.</t>
  </si>
  <si>
    <t xml:space="preserve">Evidence is a single linked share card with no accompanying text, so entry and exit times are unknown and duration is null. Included as a position because the card documents a completed trade, but nothing about how it was run is recoverable from this log.</t>
  </si>
  <si>
    <t xml:space="preserve">#933</t>
  </si>
  <si>
    <t xml:space="preserve">https://discord.com/channels/1042855255089623100/1501271173588193290/1536752885218541688</t>
  </si>
  <si>
    <t xml:space="preserve">2026-08-11 23:24:28</t>
  </si>
  <si>
    <t xml:space="preserve">no published entry level — this is an open-ended public spot accumulation plan rather than a levelled trade; the launch card showed an average buy of 63,500 at +0%</t>
  </si>
  <si>
    <t xml:space="preserve">spot, unleveraged, explicitly NFA and explicitly not an attempt to buy the exact bottom — offered as a guide for members who want to accumulate for the bull run</t>
  </si>
  <si>
    <t xml:space="preserve">He believes the cycle bottom is near or sooner than Oct-Nov, so he started buying spot BTC publicly as a guide for members who want to accumulate for the bull run rather than trade it.</t>
  </si>
  <si>
    <t xml:space="preserve">This one is spot, not a leveraged trade: on 11 Aug he announced a public accumulation plan on X for people who keep asking when to buy BTC for the bull run, with the share card showing an average buy of 63,500 at +0%, and he stressed he was not trying to call the exact bottom. He referred back to it repeatedly as BTC ran — almost 5% up on 19 Aug, corrected minutes later to almost 10% (+9.43%) 'bought right before the pump', then +20.95% on 21 Aug from what he described as buying big at 63k, using it as proof of his bullish August thesis against the bearish consensus. On 20 Aug he also posted his six-month bull-run allocation donut, in which BTC is 29.27% of the book. The log ends with the accumulation still open and BTC at 75k+, with his last reference putting BTC and HYPE up 30-50%.</t>
  </si>
  <si>
    <t xml:space="preserve">Pre-bull-run accumulation; he had publicly called August bullish (62-65k chop, then 67-70k) against a bearish consensus</t>
  </si>
  <si>
    <t xml:space="preserve">Included as a position because it is a directional BTC exposure with a stated entry and running PnL, but it is spot accumulation, not one of his futures trades — do not read its ROI alongside the leveraged card figures. Entry is inconsistent: the 11 Aug card shows an average buy of 63,500 while he twice later says he bought at 63k (MSG 978, 998). Outcome is 'unknown' because it never closed, though it was clearly in large unrealised profit at the end of the log. MSG 995 also implies part of the spot stack predates this plan by up to six months, so 'avg_entry 63,500' may describe only the publicly announced tranche.</t>
  </si>
  <si>
    <t xml:space="preserve">#934, #973, #975, #978, #995, #998, #999</t>
  </si>
  <si>
    <t xml:space="preserve">https://discord.com/channels/1042855255089623100/1501271173588193290/1536832698843271221</t>
  </si>
  <si>
    <t xml:space="preserve">2026-08-12 02:00:25</t>
  </si>
  <si>
    <t xml:space="preserve">HOLOUSDT</t>
  </si>
  <si>
    <t xml:space="preserve">his spot buy was at 0.084 earlier; he said it was still buyable at 0.088 CMP</t>
  </si>
  <si>
    <t xml:space="preserve">Spot buy of HOLO at 0.084, shared while it was still buyable at 0.088, with no stop and no fixed target.</t>
  </si>
  <si>
    <t xml:space="preserve">He posted that he had bought spot HOLO at 0.084 earlier and that it was still worth buying at 0.088 CMP. Four and a half hours later he reported it had pumped 25% and told people to take profit wherever they were happy, since he had no fixed target for it. Whether he sold his own bag is never stated.</t>
  </si>
  <si>
    <t xml:space="preserve">Spot position with no stop and no target. The +25% is a move he reports, not a booked exit, and no sale appears anywhere later in the log.</t>
  </si>
  <si>
    <t xml:space="preserve">#935, #936</t>
  </si>
  <si>
    <t xml:space="preserve">https://discord.com/channels/1042855255089623100/1501271173588193290/1536871947139547297</t>
  </si>
  <si>
    <t xml:space="preserve">2026-08-13 18:29:53</t>
  </si>
  <si>
    <t xml:space="preserve">CMP, with 59.11 as the DCA - he later said the DCA level was really the recommended entry and that he was in 50-50 at CMP like anyone who followed</t>
  </si>
  <si>
    <t xml:space="preserve">59.11</t>
  </si>
  <si>
    <t xml:space="preserve">soft stop was a 4h close above 60, hard stop 60.5</t>
  </si>
  <si>
    <t xml:space="preserve">56.5</t>
  </si>
  <si>
    <t xml:space="preserve">2026-08-14 11:40:00</t>
  </si>
  <si>
    <t xml:space="preserve">Short HYPE at market with a DCA above the entry, stopping out only on a 4h close above 60.</t>
  </si>
  <si>
    <t xml:space="preserve">He shorted HYPE at 58.36 CMP with a DCA at 59.11, a soft stop on a 4h close above 60 and a hard stop at 60.5, no target given. It dumped instantly, so he told people to either leave an order at the entry or take CMP. He then clarified that the 59.11 DCA was really the recommended entry and that he, like anyone who entered at CMP, was in 50-50 and already in profit. The next morning he set the target at 56.5 and it filled two hours later: the card shows entry 58.35, exit 56.503, +158.26%.</t>
  </si>
  <si>
    <t xml:space="preserve">Whether the 59.11 DCA tranche actually filled is never stated; the closing card shows an entry of 58.35, which matches the CMP half. No R figure was given.</t>
  </si>
  <si>
    <t xml:space="preserve">#939, #940, #941, #942, #943</t>
  </si>
  <si>
    <t xml:space="preserve">https://discord.com/channels/1042855255089623100/1501271173588193290/1537483339768922272</t>
  </si>
  <si>
    <t xml:space="preserve">2026-08-14 19:08:35</t>
  </si>
  <si>
    <t xml:space="preserve">486 CMP with 30% kept back for a DCA</t>
  </si>
  <si>
    <t xml:space="preserve">499</t>
  </si>
  <si>
    <t xml:space="preserve">Keep 30% for DCA</t>
  </si>
  <si>
    <t xml:space="preserve">2026-08-15 04:42:38</t>
  </si>
  <si>
    <t xml:space="preserve">A ZEC long at 486 for a quick run to 499, with 30% held back for a DCA that was never needed.</t>
  </si>
  <si>
    <t xml:space="preserve">He called it at 486 CMP with a 499 target, a 465 stop and 30% held back for a DCA. Nine and a half hours later the target hit and the position closed at +103.90% - though he clarified a minute afterwards that while 499 printed on most exchanges, on Yubit it did not quite get there and he booked manually at 498. Later that day he called it a great exit, his chart marking the sell at 498.44 with price dipping to about 486 before bouncing, and said the same setup looked valid for a round two which he was not taking. Two days later he confirmed that round two had gone to full TP without him - he simply does not like taking the same setup twice.</t>
  </si>
  <si>
    <t xml:space="preserve">Two exit numbers coexist: the 499 target filled on most exchanges but his own manual fill was 498 on Yubit, with 498.44 marked on his chart; 498 is used. Msgs 949 and 954 concern a 'round 2' of the same setup that he explicitly did not take - kept inside this position rather than made a separate not-taken one, because he never published levels for it. It went to full TP without him.</t>
  </si>
  <si>
    <t xml:space="preserve">#945, #947, #948, #949, #954</t>
  </si>
  <si>
    <t xml:space="preserve">https://discord.com/channels/1042855255089623100/1501271173588193290/1537855468993646664</t>
  </si>
  <si>
    <t xml:space="preserve">2026-08-14 19:21:01</t>
  </si>
  <si>
    <t xml:space="preserve">4.036 CMP - he was already in it when he shared it</t>
  </si>
  <si>
    <t xml:space="preserve">Slow and risky trade so your choice if you want to take it - he is only risking 1%</t>
  </si>
  <si>
    <t xml:space="preserve">Already in an ENS long at 4.036 with a tight 3.91 stop and shared it as an optional, slow, risky trade taken at 1% risk.</t>
  </si>
  <si>
    <t xml:space="preserve">He announced he was already in another trade - long ENS at 4.036 CMP with a 3.91 stop - and framed it as slow and risky, so joining was optional and he was only risking 1%. No target was given. Nothing further about ENS appears before the log ends six days later.</t>
  </si>
  <si>
    <t xml:space="preserve">No target, no update and no exit; the log simply ends with it open.</t>
  </si>
  <si>
    <t xml:space="preserve">#946</t>
  </si>
  <si>
    <t xml:space="preserve">https://discord.com/channels/1042855255089623100/1501271173588193290/1537858598791680070</t>
  </si>
  <si>
    <t xml:space="preserve">2026-08-16 04:38:20</t>
  </si>
  <si>
    <t xml:space="preserve">75.3 CMP with a DCA at 74.7; no target given</t>
  </si>
  <si>
    <t xml:space="preserve">74.7</t>
  </si>
  <si>
    <t xml:space="preserve">'WEEKEND SIZE, recommended half risk.'</t>
  </si>
  <si>
    <t xml:space="preserve">74.7 (he reported the DCA had filled; level carried from the call, fill time unknown - this is when he mentioned it)</t>
  </si>
  <si>
    <t xml:space="preserve">2026-08-17 13:36:07</t>
  </si>
  <si>
    <t xml:space="preserve">A deliberately small weekend long on SOL from 75.3 with a DCA at 74.7 and a 73 stop.</t>
  </si>
  <si>
    <t xml:space="preserve">He called SOL long at 75.3 CMP with a DCA at 74.7 and SL 73, stressing weekend size and recommending half risk, and gave no target. SOL dipped into the DCA and came back: a day and a half later he reported 'SOL DCA filled and in some profits, closing here @ 75.6 for now', the card showing +123.88%.</t>
  </si>
  <si>
    <t xml:space="preserve">Weekend trading - he sized it down for it.</t>
  </si>
  <si>
    <t xml:space="preserve">The DCA fill price is the 74.7 from the call - he confirmed it filled without restating the level or the time. No average entry was ever posted, so avg_entry is null even though the true average sits between 75.3 and 74.7.</t>
  </si>
  <si>
    <t xml:space="preserve">#952, #953</t>
  </si>
  <si>
    <t xml:space="preserve">https://discord.com/channels/1042855255089623100/1501271173588193290/1538361237363228682</t>
  </si>
  <si>
    <t xml:space="preserve">2026-08-17 17:12:17</t>
  </si>
  <si>
    <t xml:space="preserve">GPSUSDT</t>
  </si>
  <si>
    <t xml:space="preserve">The level he was tempted to short from - never taken</t>
  </si>
  <si>
    <t xml:space="preserve">Passed because he was not in the mood for a gamble.</t>
  </si>
  <si>
    <t xml:space="preserve">He had a strong urge to short GPS from 0.155 but judged it a gamble he did not want.</t>
  </si>
  <si>
    <t xml:space="preserve">He posted that he had 'a strong urge to short GPS from here .155' and in the same breath talked himself out of it - 'but I'm no mood for a gamble'. No stop or target was given and GPS never appears again.</t>
  </si>
  <si>
    <t xml:space="preserve">Explicitly declined; the 0.155 is the price he was watching, not an order.</t>
  </si>
  <si>
    <t xml:space="preserve">#955</t>
  </si>
  <si>
    <t xml:space="preserve">https://discord.com/channels/1042855255089623100/1501271173588193290/1538913362757292073</t>
  </si>
  <si>
    <t xml:space="preserve">2026-08-17 17:18:33</t>
  </si>
  <si>
    <t xml:space="preserve">explicitly a quick scalp - not planning to hold for long</t>
  </si>
  <si>
    <t xml:space="preserve">2026-08-17 22:52:29</t>
  </si>
  <si>
    <t xml:space="preserve">A quick scalp short on WLD - he said up front he was only looking for a fast take profit and would not hold it.</t>
  </si>
  <si>
    <t xml:space="preserve">He posted the short from 0.355 with a 0.372 stop, saying he was just looking for a quick TP and not planning to hold for long. Five and a half hours later he closed it in profit exactly as advertised: the card shows entry 0.3552, exit 0.3493, +83.05%. In his words, just scalping and winning.</t>
  </si>
  <si>
    <t xml:space="preserve">No target was ever published and no R figure given, so the result is only the card's +83.05%.</t>
  </si>
  <si>
    <t xml:space="preserve">#956, #963</t>
  </si>
  <si>
    <t xml:space="preserve">https://discord.com/channels/1042855255089623100/1501271173588193290/1538914942189707346</t>
  </si>
  <si>
    <t xml:space="preserve">2026-08-17 18:56:16</t>
  </si>
  <si>
    <t xml:space="preserve">64.2k CMP, taken seven minutes after closing the long</t>
  </si>
  <si>
    <t xml:space="preserve">64546</t>
  </si>
  <si>
    <t xml:space="preserve">half risk, stated twice, explicitly because he was bullish on BTC while taking this short; 30% of size held back for the DCA</t>
  </si>
  <si>
    <t xml:space="preserve">64546 (the 30% DCA filled; he gave the new average as 64.3k and said the position was in decent profit)</t>
  </si>
  <si>
    <t xml:space="preserve">65200 (hard_removed_to_manual) -&gt; 65800 (hard_reinstated)</t>
  </si>
  <si>
    <t xml:space="preserve">63869 -&gt; 63860/63700 -&gt; 63800</t>
  </si>
  <si>
    <t xml:space="preserve">A half-risk counter-trend short from 64.2k while openly bullish on BTC — a fade of the bounce off the 4h 200 EMA that he sized down precisely because it fought his own directional view.</t>
  </si>
  <si>
    <t xml:space="preserve">He shorted at 64.2k CMP within seven minutes of closing the long, keeping 30% back for a DCA at 64546 with a 65.2k stop, and told members twice to use half risk because he was actually bullish on BTC. The DCA filled the next day for a 64.3k average and he set the target at 63869, restated it as 63860 (with 63700 if 63900 broke), then corrected his own typo to 63.8k. Price would not break down: the 4h 200 EMA kept bouncing it — he used that as a teaching point — and he then removed his hard stop entirely, saying that if he got stopped he would just short again so he refused to accept the stop, before reinstating a hard 65.8k on 19 Aug alongside the soft 4h-close-above-65.2k rule. After the target was missed by $100 twice he admitted he 'got cooked', apologised for refusing to close while saying he was bullish, and then simply stopped mentioning the trade: BTC pumped through 69k on 20 Aug and on to 75k, and his later references to 'another stop' and to having five SLs make clear this one was a loser.</t>
  </si>
  <si>
    <t xml:space="preserve">4h 200 EMA</t>
  </si>
  <si>
    <t xml:space="preserve">He was publicly bullish (rest of August bullish, BTC 67-70k on X) while shorting, and the 4h 200 EMA kept bouncing price</t>
  </si>
  <si>
    <t xml:space="preserve">The biggest gap in this window: no exit was ever announced. It is recorded as a stop-out because his last stated stop was a hard 65.8k plus a 4h close above 65.2k, BTC traded through 69k on 20 Aug and 75k on 21 Aug, and he refers to 'another stop' on 20 Aug (MSG 993) and to already having five SLs on 21 Aug (MSG 1005). exit_time and exit_price are left null because he never gave either — the loss is certain, its size and timing are not. He never posted leverage or a card for this trade. [AUDIT] Audit: the loss is confirmed by MSG 997 ("both the times I shorted BTC dropped... had 5 SLs"), not by MSG 993 — that "another stop" belongs to the separate 20 Aug 72.4k short. MSG 977 (19 Aug 18:41, "Another SL... I'm getting fked in shorts") is the likeliest stop-out moment.</t>
  </si>
  <si>
    <t xml:space="preserve">#960, #961, #962, #965, #966, #967, #968, #969, #970, #971, #972, #973, #977, #978, #993, #997</t>
  </si>
  <si>
    <t xml:space="preserve">https://discord.com/channels/1042855255089623100/1501271173588193290/1538939531741499603</t>
  </si>
  <si>
    <t xml:space="preserve">2026-08-18 16:32:08</t>
  </si>
  <si>
    <t xml:space="preserve">505.2 CMP</t>
  </si>
  <si>
    <t xml:space="preserve">499, 492</t>
  </si>
  <si>
    <t xml:space="preserve">A short on ZEC at 505.2 for a drop into the 499-492 band.</t>
  </si>
  <si>
    <t xml:space="preserve">He called the short at 505.2 CMP with targets 499-492 and a 517.5 stop. Just over an hour later he reported the target had been missed by a dollar - the same afternoon BTC's was missed by $100. The next day he said he had been cooked hard: ZEC had almost missed its target twice and then pumped hard against him. That is the last mention of it. No stop-out, no exit and no result is ever posted, and the position was underwater when the log ends.</t>
  </si>
  <si>
    <t xml:space="preserve">a hard pump against him</t>
  </si>
  <si>
    <t xml:space="preserve">The log ends without resolution: it was against him and near - but not confirmed at - the 517.5 stop, and it may well have stopped out without a post. No fill card exists for the entry either, so nothing about this trade is documented beyond the call and two complaints.</t>
  </si>
  <si>
    <t xml:space="preserve">#964, #970, #971</t>
  </si>
  <si>
    <t xml:space="preserve">https://discord.com/channels/1042855255089623100/1501271173588193290/1539265649090633738</t>
  </si>
  <si>
    <t xml:space="preserve">2026-08-19 18:05:47</t>
  </si>
  <si>
    <t xml:space="preserve">CMP, with 30% of size held back for a DCA - no DCA level was published at the call</t>
  </si>
  <si>
    <t xml:space="preserve">soft stop was a 4h close above 61, hard stop 61.5; 30% reserved for the DCA</t>
  </si>
  <si>
    <t xml:space="preserve">60.5 (added the reserved 30% at CMP half an hour after the call, as price ran against him)</t>
  </si>
  <si>
    <t xml:space="preserve">Another HYPE short at market after the previous one paid, with a soft 4h-close stop above 61 and a hard stop at 61.5.</t>
  </si>
  <si>
    <t xml:space="preserve">He shorted HYPE again at 59.82 CMP, keeping 30% back for a DCA, with a soft stop on a 4h close above 61 and a hard stop at 61.5. Half an hour later he added that reserved 30% at 60.5 as price pushed against him. Nothing more is ever posted about this short - no target, no stop-out, no close - and the log ends two days later.</t>
  </si>
  <si>
    <t xml:space="preserve">Marked still open because no exit is ever reported, but that is almost certainly not what happened: on 21 August (msg 1003) he says HYPE printed a new all-time high with his spot bag up 40% from a 56.23 average, i.e. around 79 - far above the 61.5 hard stop. The short was very likely stopped out; he simply never says so. No blended average is given for the 59.82 and 60.5 entries.</t>
  </si>
  <si>
    <t xml:space="preserve">#974, #976</t>
  </si>
  <si>
    <t xml:space="preserve">https://discord.com/channels/1042855255089623100/1501271173588193290/1539651602707644528</t>
  </si>
  <si>
    <t xml:space="preserve">2026-08-20 04:34:21</t>
  </si>
  <si>
    <t xml:space="preserve">69,280 CMP, with 68.7-68.9k offered as an alternative entry or DCA zone</t>
  </si>
  <si>
    <t xml:space="preserve">68700</t>
  </si>
  <si>
    <t xml:space="preserve">70200</t>
  </si>
  <si>
    <t xml:space="preserve">HALF RISK recommended because the long was being opened after quite a pump</t>
  </si>
  <si>
    <t xml:space="preserve">68420 (tightened) -&gt; 67500 (widened)</t>
  </si>
  <si>
    <t xml:space="preserve"> -&gt; 71000/71200</t>
  </si>
  <si>
    <t xml:space="preserve">69907.6</t>
  </si>
  <si>
    <t xml:space="preserve">2026-08-20 11:18:35</t>
  </si>
  <si>
    <t xml:space="preserve">Bought the continuation of the breakout at market, expecting 71-71.5k by the next day at the latest and no return to the low 60s before 73-75k — sized at half risk because he was buying after a large pump.</t>
  </si>
  <si>
    <t xml:space="preserve">He longed at 69,280 CMP with a 70.2k target, a 68,369 stop and an explicit half-risk instruction because the entry came after a big pump, offering 68.7-68.9k as an alternative entry or DCA. Half an hour later he raised the stop to 68,420 and said the target could be extended to make the trade 1R, adding that he might close around 70k before going to sleep. Forty minutes after that he published a second variant for the move he expected: stop moved down to 67.5k with the target pushed out to 71-71.2k. He ran both — closing the main 150x scalp at 69,907.6 for +172.83% mid-morning ('snipe entry if you entered from 68.9k') and the extended-target card an hour later at 70,999.5, right at the 71k he had called.</t>
  </si>
  <si>
    <t xml:space="preserve">BTC in a strong impulsive run after the 08-19 pump; he expected 71-71.5k by the weekend</t>
  </si>
  <si>
    <t xml:space="preserve">Two cards, one idea: the main 150x scalp (entry 69,111.2, closed 69,907.6) and the 'extended TP' variant (entry 69,220.4, closed 70,999.5) that he published as a wider-stop / 71-71.2k-target version of the same call. They are kept as one position under the same-idea-across-accounts rule; avg_entry uses the main card and the second entry is recorded here. If you would rather read them as two trades, split at MSG 986/987. No R was realised or stated — the '1R' in MSG 984 was guidance on where to extend the target.</t>
  </si>
  <si>
    <t xml:space="preserve">#982, #983, #984, #985, #986, #987</t>
  </si>
  <si>
    <t xml:space="preserve">https://discord.com/channels/1042855255089623100/1501271173588193290/1539809786038845481</t>
  </si>
  <si>
    <t xml:space="preserve">2026-08-20 13:19:46</t>
  </si>
  <si>
    <t xml:space="preserve">72.4k CMP, with an optional 73.1k DCA — he said followers could also just go fully at CMP</t>
  </si>
  <si>
    <t xml:space="preserve">73100</t>
  </si>
  <si>
    <t xml:space="preserve">'GO LOW GO LOW, SMALL MARGIN' — he insisted on small size because he still expected BTC to trade 73-75k; later told holders to use half risk</t>
  </si>
  <si>
    <t xml:space="preserve">72400 (to_entry)</t>
  </si>
  <si>
    <t xml:space="preserve">71200 -&gt; 71000</t>
  </si>
  <si>
    <t xml:space="preserve">2026-08-20 20:06:11</t>
  </si>
  <si>
    <t xml:space="preserve">A small-margin counter-trend fade of a vertical move, taken while he still expected BTC to reach 73-75k — hence the repeated instruction to keep size tiny.</t>
  </si>
  <si>
    <t xml:space="preserve">With BTC at 72.4k he faded the move at market with an optional 73.1k DCA and a 74.1k stop, hammering the point that this needed small margin because he still expected 73-75k. After a $1,000 drop he moved his stop to entry and said he would take 50% off at 71.2k, telling anyone not filled in full to wait for his own take-profit around 70.9-71k instead. Thirteen minutes later he reversed that plan and said he would hold the whole short until either the stop or 71k, with half risk for followers who wanted to hold with him. It missed 71k by $100, reversed, and at 20:06 he reported it stopped — 'another stop but keeping risk low' — noting it had been in great profit, without saying at what level he was taken out.</t>
  </si>
  <si>
    <t xml:space="preserve">Shorting into a run he himself expected to continue to 73-75k</t>
  </si>
  <si>
    <t xml:space="preserve">exit_price is null: he announced the stop without restating a level, and the two candidates conflict — the call's 74.1k hard stop versus the move-to-entry at 72.4k from MSG 989. That also leaves the size of the loss uncertain; a fill at 72.4k would be close to breakeven, but he counted it as a stop-loss ('another stop', and five SLs by the next day), so outcome is recorded as a loss. avg_entry is the called 72.4k CMP — the optional 73.1k DCA was never confirmed as filled.</t>
  </si>
  <si>
    <t xml:space="preserve">#988, #989, #990, #992, #993</t>
  </si>
  <si>
    <t xml:space="preserve">https://discord.com/channels/1042855255089623100/1501271173588193290/1539942014278434847</t>
  </si>
  <si>
    <t xml:space="preserve">2026-08-20 18:09:34</t>
  </si>
  <si>
    <t xml:space="preserve">ARBUSDT</t>
  </si>
  <si>
    <t xml:space="preserve">0.0889 CMP</t>
  </si>
  <si>
    <t xml:space="preserve">0.0869, 0.0856</t>
  </si>
  <si>
    <t xml:space="preserve">HALF RISK</t>
  </si>
  <si>
    <t xml:space="preserve">Short ARB at market for 0.0869-0.0856 with a 0.09106 stop, at half risk; no reasoning published.</t>
  </si>
  <si>
    <t xml:space="preserve">He called the short at 0.0889 CMP with two targets at 0.0869 and 0.0856, a 0.09106 stop and half risk. The log ends less than two hours later, with no update, partial or exit.</t>
  </si>
  <si>
    <t xml:space="preserve">Last trade call in the log - open at the end by construction, not by any statement of his.</t>
  </si>
  <si>
    <t xml:space="preserve">#991</t>
  </si>
  <si>
    <t xml:space="preserve">https://discord.com/channels/1042855255089623100/1501271173588193290/1540014943586226306</t>
  </si>
  <si>
    <t xml:space="preserve">2026-08-20 20:07:05</t>
  </si>
  <si>
    <t xml:space="preserve">spot buy at CMP; mid-term targets were promised but never posted</t>
  </si>
  <si>
    <t xml:space="preserve">A spot buy of SUI at 0.74 for the bull market - part of a portfolio he says he has been accumulating for six months, not a leveraged setup.</t>
  </si>
  <si>
    <t xml:space="preserve">On 20 August he bought AVAX and SUI in spot at market for the bull market, SUI at 0.74, promising mid-term targets that never arrive in this log. A minute later he posted his bull-run holdings donut, in which SUI is 2.21% of the allocation, saying he had been accumulating for six months. The next day he noted the market was speed-running his predictions and that SUI, AVAX, LINK and SOL were all moving. It is still held when the log ends.</t>
  </si>
  <si>
    <t xml:space="preserve">buying for the bull market</t>
  </si>
  <si>
    <t xml:space="preserve">A spot hold rather than a trade setup - no stop, no target and no result, and the promised mid-term targets never appear. The 30-50% gains he mentions on 21 August are for BTC and HYPE, not SUI; SUI is only described as 'moving as well'.</t>
  </si>
  <si>
    <t xml:space="preserve">#994, #995, #999</t>
  </si>
  <si>
    <t xml:space="preserve">https://discord.com/channels/1042855255089623100/1501271173588193290/1540044515748880416</t>
  </si>
  <si>
    <t xml:space="preserve">Bought at CMP - spot, not a leveraged trade</t>
  </si>
  <si>
    <t xml:space="preserve">Spot bull-market buy; no stop and no leverage.</t>
  </si>
  <si>
    <t xml:space="preserve">A spot buy of AVAX for the bull market, bought at market alongside SUI, with mid-term targets promised later.</t>
  </si>
  <si>
    <t xml:space="preserve">He bought AVAX spot at 7.2 CMP together with SUI at 0.74 'for the bull market', saying he would give mid-term targets later. Fifty seconds afterwards he posted the allocation donut for the bull-run portfolio he had been accumulating for six months, with AVAX at 3.84% of it. The next day he noted AVAX moving along with SUI, LINK and SOL while BTC and HYPE were up 30-50%. No targets were ever posted and the position is still held when the log ends.</t>
  </si>
  <si>
    <t xml:space="preserve">Part of the spot bull-run book he had been accumulating for six months.</t>
  </si>
  <si>
    <t xml:space="preserve">Spot, unleveraged, and open at the end of the log - no stop, no target and no exit. The promised mid-term targets never appear.</t>
  </si>
  <si>
    <t xml:space="preserve">2026-08-20 20:07:56</t>
  </si>
  <si>
    <t xml:space="preserve">spot allocation accumulated over six months - no entry price or date is given</t>
  </si>
  <si>
    <t xml:space="preserve">Part of the spot bull-run portfolio he has been accumulating for six months - LINK is 7.33% of the allocation.</t>
  </si>
  <si>
    <t xml:space="preserve">LINK appears only as a slice of his spot bull-run portfolio: the allocation donut he posted on 20 August puts it at 7.33% of holdings he says he has been accumulating over the last six months. The following day he noted that BTC and HYPE were up 30-50% and that SUI, AVAX, LINK and SOL were moving as well, without giving a figure for LINK. No entry price, stop, target or exit is ever given, and he is still holding at the end of the log.</t>
  </si>
  <si>
    <t xml:space="preserve">alt bull run; he says his price predictions are being speed-run</t>
  </si>
  <si>
    <t xml:space="preserve">A spot allocation disclosure rather than a trade: no entry price, no entry date beyond 'accumulating since the last 6 months', no stop and no exit, so entry_time and duration are unknown. Distinct from the conditional LINK long idea he floated in May (msg 130).</t>
  </si>
  <si>
    <t xml:space="preserve">#995, #999</t>
  </si>
  <si>
    <t xml:space="preserve">https://discord.com/channels/1042855255089623100/1501271173588193290/1540044731822641243</t>
  </si>
  <si>
    <t xml:space="preserve">2026-08-21 13:51:59</t>
  </si>
  <si>
    <t xml:space="preserve">BERAUSDT</t>
  </si>
  <si>
    <t xml:space="preserve">spot buy at 0.19; a leveraged version was allowed at your own risk, but spot was the recommendation</t>
  </si>
  <si>
    <t xml:space="preserve">invest limited in shitcoins; the leveraged version is at your own risk, recommended is spot</t>
  </si>
  <si>
    <t xml:space="preserve">A small spot punt on BERA at 0.19 expecting a 20-30% move, with an explicit warning to keep shitcoin exposure limited.</t>
  </si>
  <si>
    <t xml:space="preserve">He bought BERA in spot at 0.19 on 21 August, expecting a 20-39% move - almost certainly a typo for 20-30% - and told members to keep their exposure to shitcoins limited. Fifteen minutes later he added that it could be traded long with 0.1946 as the stop, at your own risk, but that spot was the recommendation. Nothing further: the log ends the same day with the position open.</t>
  </si>
  <si>
    <t xml:space="preserve">The 0.1946 stop sits above his 0.19 spot entry, so it is either measured from a higher market price at the time or a typo (0.1746 would be the symmetric read) - recorded exactly as posted. The '20-39%' expectation is likewise almost certainly meant as 20-30%. The log ends hours later with no result.</t>
  </si>
  <si>
    <t xml:space="preserve">#1000, #1001</t>
  </si>
  <si>
    <t xml:space="preserve">https://discord.com/channels/1042855255089623100/1501271173588193290/1540312509255393402</t>
  </si>
  <si>
    <t xml:space="preserve">2026-08-21 17:58:07</t>
  </si>
  <si>
    <t xml:space="preserve">77.3k CMP, explicitly framed as 'trying' a long</t>
  </si>
  <si>
    <t xml:space="preserve">half risk, explicitly because the market was too pumped</t>
  </si>
  <si>
    <t xml:space="preserve">2026-08-21 18:55:59</t>
  </si>
  <si>
    <t xml:space="preserve">A half-risk continuation long at 77.3k into his 79k target, taken cautiously because the market was already extremely extended after the run from 63k.</t>
  </si>
  <si>
    <t xml:space="preserve">He took a half-risk long at 77.3k CMP with a 79k target and a 75.5k stop, explicitly halving risk because the market was too pumped. Less than an hour later he closed it flat, saying it was getting risky and that with five stop-losses already he was going to play safe — 'this is for our own good, hope y'all understand'. No fill price was given for the exit, only that it was at breakeven, and this is the last BTC trade in the log.</t>
  </si>
  <si>
    <t xml:space="preserve">BTC at 77k+ after a run he had called (73-75k, then 80k next); he described the market as too pumped</t>
  </si>
  <si>
    <t xml:space="preserve">exit_price is null — he said only that he closed at breakeven and gave no fill; his entry was 77.3k CMP, so the exit was around that level. The symbol on the closing message is inferred (it was the only open long call at the time), which is the reason for medium rather than high confidence.</t>
  </si>
  <si>
    <t xml:space="preserve">#1004, #1005</t>
  </si>
  <si>
    <t xml:space="preserve">https://discord.com/channels/1042855255089623100/1501271173588193290/1540374451043041371</t>
  </si>
  <si>
    <t xml:space="preserve">Msg</t>
  </si>
  <si>
    <t xml:space="preserve">Timestamp</t>
  </si>
  <si>
    <t xml:space="preserve">Event</t>
  </si>
  <si>
    <t xml:space="preserve">Entry</t>
  </si>
  <si>
    <t xml:space="preserve">DCA</t>
  </si>
  <si>
    <t xml:space="preserve">Targets</t>
  </si>
  <si>
    <t xml:space="preserve">Stop</t>
  </si>
  <si>
    <t xml:space="preserve">Portion %</t>
  </si>
  <si>
    <t xml:space="preserve">ROI %</t>
  </si>
  <si>
    <t xml:space="preserve">Price referenced</t>
  </si>
  <si>
    <t xml:space="preserve">Why he did it</t>
  </si>
  <si>
    <t xml:space="preserve">What he wrote</t>
  </si>
  <si>
    <t xml:space="preserve">Link</t>
  </si>
  <si>
    <t xml:space="preserve">2026-05-06 23:44:07</t>
  </si>
  <si>
    <t xml:space="preserve">chat</t>
  </si>
  <si>
    <t xml:space="preserve">introduction post thanking God, Chento and john.scx for the place in the server</t>
  </si>
  <si>
    <t xml:space="preserve">Hello everyone, 
First I would like to thank God for everything then @Chento (Won’t DM first)  who has given me a place in his space, also @john.scx who had been very kind and patient with me!</t>
  </si>
  <si>
    <t xml:space="preserve">https://discord.com/channels/1042855255089623100/1501271173588193290/1501686019504865280</t>
  </si>
  <si>
    <t xml:space="preserve">education</t>
  </si>
  <si>
    <t xml:space="preserve">never ever let go of risk management, hold onto risk management if you want to hold on your money long term</t>
  </si>
  <si>
    <t xml:space="preserve">explains he posts both High R / low win-rate and high win-rate / low R trades and will label the type so followers can match their own strategy; only request is that they keep risk management</t>
  </si>
  <si>
    <t xml:space="preserve">I do all sorts of trades High R Low Wins and High Win rate and Low R trades, I'll try to write what kind of trade it is so whatever your strategy is you can go with it, my only request from you guys would be never ever let go of risk management, hold onto risk management if you want to hold on your money long term.</t>
  </si>
  <si>
    <t xml:space="preserve">2026-05-06 23:47:41</t>
  </si>
  <si>
    <t xml:space="preserve">recap</t>
  </si>
  <si>
    <t xml:space="preserve">one month of journal trading: 25 trades, 22 wins, 3 BE, 0 losses; screenshot lists the tickers (ASTER, AXS, IRYS, BTC x many, ETH, HYPE, PEPE, SOL, ALGO)</t>
  </si>
  <si>
    <t xml:space="preserve">I have been trading for the past month in journals and here's my progress so far
**25** trades
**22** Wins
**3** BE 
**0** loss</t>
  </si>
  <si>
    <t xml:space="preserve">https://discord.com/channels/1042855255089623100/1501271173588193290/1501686917828448277</t>
  </si>
  <si>
    <t xml:space="preserve">2026-05-07 02:33:26</t>
  </si>
  <si>
    <t xml:space="preserve">plan</t>
  </si>
  <si>
    <t xml:space="preserve">flags the two upcoming trades as risky</t>
  </si>
  <si>
    <t xml:space="preserve">announces he is about to take 2 risky trades; wanted a safe start but could not resist</t>
  </si>
  <si>
    <t xml:space="preserve">Guys I'm out taking 2 risky trades here, I wanted a safe start but I can't resist.</t>
  </si>
  <si>
    <t xml:space="preserve">https://discord.com/channels/1042855255089623100/1501271173588193290/1501728631683027075</t>
  </si>
  <si>
    <t xml:space="preserve">call</t>
  </si>
  <si>
    <t xml:space="preserve">long at current market price; he takes TPs manually but followers can set the order</t>
  </si>
  <si>
    <t xml:space="preserve">Long UNI
Entry: 3.46 CMP 
TP1: 3.669
(I take manual TPs but you can set in case)
SL: 3.28</t>
  </si>
  <si>
    <t xml:space="preserve">long at CMP; TP taken manually so he may close before or later than 2420</t>
  </si>
  <si>
    <t xml:space="preserve">Long ETH
Entry: 2348 CMP 
TP: 2420 
(Again I take manual might close before or later)
SL: 2292</t>
  </si>
  <si>
    <t xml:space="preserve">2026-05-07 02:36:23</t>
  </si>
  <si>
    <t xml:space="preserve">view</t>
  </si>
  <si>
    <t xml:space="preserve">labels the UNI and ETH longs risky</t>
  </si>
  <si>
    <t xml:space="preserve">the UNI and ETH longs are risky because BTC could retrace further, but he expects the 80k region (80s) to hold and at least a visit to 82k+, which would give a scalp on both</t>
  </si>
  <si>
    <t xml:space="preserve">BTC could retrace more; expects 80s to hold and 82k+ visit</t>
  </si>
  <si>
    <t xml:space="preserve">Risky trades because BTC could retrace more but I'm expecting 80s to hold, at least visit 82k+ should give us a scalp opportunity on both!</t>
  </si>
  <si>
    <t xml:space="preserve">https://discord.com/channels/1042855255089623100/1501271173588193290/1501729374641197106</t>
  </si>
  <si>
    <t xml:space="preserve">if he does not update, trim 20-25% at the first TP</t>
  </si>
  <si>
    <t xml:space="preserve">scalp long with a DCA level at 80.8k; manual TP but instructs trimming 20-25% at 82.5k if he goes quiet</t>
  </si>
  <si>
    <t xml:space="preserve">Long BTC (scalp)
Entry: 81.5k
DCA: 80.8k
First TP @ 82.5k
(Can take manual TP earlier or later but if I don't update trim 20-25% at 82.5k)
SL: 79600</t>
  </si>
  <si>
    <t xml:space="preserve">2026-05-07 11:07:30</t>
  </si>
  <si>
    <t xml:space="preserve">dca</t>
  </si>
  <si>
    <t xml:space="preserve">Entry: 50% / DCA: 50%</t>
  </si>
  <si>
    <t xml:space="preserve">sizing split for the BTC scalp - half the intended size at entry, half held back for the 80.8k DCA</t>
  </si>
  <si>
    <t xml:space="preserve">Entry: 50%
DCA: 50%</t>
  </si>
  <si>
    <t xml:space="preserve">https://discord.com/channels/1042855255089623100/1501271173588193290/1501858001068228840</t>
  </si>
  <si>
    <t xml:space="preserve">2026-05-07 12:57:30</t>
  </si>
  <si>
    <t xml:space="preserve">filled the DCA manually at 80.9k because price missed his 80.8k DCA order by about $10</t>
  </si>
  <si>
    <t xml:space="preserve">DCAed manually at 80.9k because missed by 10$</t>
  </si>
  <si>
    <t xml:space="preserve">https://discord.com/channels/1042855255089623100/1501271173588193290/1501885683806240808</t>
  </si>
  <si>
    <t xml:space="preserve">long at CMP; manual TP but if he goes quiet take profit around 1.5523; says this is the last new position before something exits</t>
  </si>
  <si>
    <t xml:space="preserve">Long ZRO
Entry: 1.48 CMP 
Keep 50-30% funds for DCA but optional you can go all in here I'm not saving for DCA personally 
TP: Manual, IF I don't give TP in a while just TP it around 1.5523
SL: 1.36</t>
  </si>
  <si>
    <t xml:space="preserve">2026-05-07 15:35:12</t>
  </si>
  <si>
    <t xml:space="preserve">entry</t>
  </si>
  <si>
    <t xml:space="preserve">corrects the ZRO entry - CMP was actually 1.486 because price moved fast after the call</t>
  </si>
  <si>
    <t xml:space="preserve">1.486 was CMP, moved fast</t>
  </si>
  <si>
    <t xml:space="preserve">https://discord.com/channels/1042855255089623100/1501271173588193290/1501925370071355604</t>
  </si>
  <si>
    <t xml:space="preserve">enter 50% here, and 50% 1.45, your choice if you want to enter fully here</t>
  </si>
  <si>
    <t xml:space="preserve">gives a split entry for ZRO after the fast move - half at market, half at 1.45</t>
  </si>
  <si>
    <t xml:space="preserve">I advise enter 50% here, and 50% 1.45, your choice if you want to enter fully here</t>
  </si>
  <si>
    <t xml:space="preserve">2026-05-07 15:35:55</t>
  </si>
  <si>
    <t xml:space="preserve">update</t>
  </si>
  <si>
    <t xml:space="preserve">reiterates the ZRO fallback TP level in case he does not post a manual TP; no change to the target</t>
  </si>
  <si>
    <t xml:space="preserve">IF I don't give TP in a while just TP it around 1.5523</t>
  </si>
  <si>
    <t xml:space="preserve">https://discord.com/channels/1042855255089623100/1501271173588193290/1501925550992654406</t>
  </si>
  <si>
    <t xml:space="preserve">declines the setup because he already has too many positions</t>
  </si>
  <si>
    <t xml:space="preserve">gold looks longable but he is not taking it - too many positions open</t>
  </si>
  <si>
    <t xml:space="preserve">Gold looks Longable but too many positions for now!</t>
  </si>
  <si>
    <t xml:space="preserve">stopped_out</t>
  </si>
  <si>
    <t xml:space="preserve">the BTC scalp is about to be stopped and may already have been on some exchanges; had gone to BE before the drop</t>
  </si>
  <si>
    <t xml:space="preserve">unexpected drop</t>
  </si>
  <si>
    <t xml:space="preserve">ETH stopped, BTC about to get stopped (on some exchanges maybe it already did)
Both went BE but didn't expect a drop so stopped.</t>
  </si>
  <si>
    <t xml:space="preserve">https://discord.com/channels/1042855255089623100/1501271173588193290/1501989056202936340</t>
  </si>
  <si>
    <t xml:space="preserve">ETH stopped; it had gone to BE first but the unexpected drop took it out - calls it a rough start and apologises</t>
  </si>
  <si>
    <t xml:space="preserve">long at CMP with a conditional stop - 1h close under 79k, otherwise the hard stop at 78.5k</t>
  </si>
  <si>
    <t xml:space="preserve">Long BTC 
Entry: 79.7k CMP 
TP: 80.5k
SL: 1h close under 79k or hard SL @ 78.5k</t>
  </si>
  <si>
    <t xml:space="preserve">2026-05-08 04:08:16</t>
  </si>
  <si>
    <t xml:space="preserve">equal DCA (same size as the initial entry)</t>
  </si>
  <si>
    <t xml:space="preserve">places an equal-sized DCA at 79469; position is sitting at breakeven right now so followers can adjust</t>
  </si>
  <si>
    <t xml:space="preserve">Putting an equal DCA @ 79469 
At BE rn so you can adjust accordingly</t>
  </si>
  <si>
    <t xml:space="preserve">https://discord.com/channels/1042855255089623100/1501271173588193290/1502114884362702878</t>
  </si>
  <si>
    <t xml:space="preserve">2026-05-08 06:24:00</t>
  </si>
  <si>
    <t xml:space="preserve">the 79469 DCA filled; blended position now sits at breakeven at 79590</t>
  </si>
  <si>
    <t xml:space="preserve">DCA filled and at BE (79590)</t>
  </si>
  <si>
    <t xml:space="preserve">https://discord.com/channels/1042855255089623100/1501271173588193290/1502149041889218672</t>
  </si>
  <si>
    <t xml:space="preserve">partial_close</t>
  </si>
  <si>
    <t xml:space="preserve">take out your DCA value here</t>
  </si>
  <si>
    <t xml:space="preserve">instructs taking the DCA portion back off at breakeven so it can be re-placed lower (clarified in msg 21 as 50%)</t>
  </si>
  <si>
    <t xml:space="preserve">Kindly take out your DCA value here.</t>
  </si>
  <si>
    <t xml:space="preserve">equal DCA</t>
  </si>
  <si>
    <t xml:space="preserve">re-places the equal DCA lower at 78.6k after taking the filled DCA off at BE; TP to be taken manually; confident the trade exits green</t>
  </si>
  <si>
    <t xml:space="preserve">Putting equal DCA @ 78.6k
SL @ 77.6k
TP MANUALLY!
I know it's sound messy but I'm confident we will exit this one in green!</t>
  </si>
  <si>
    <t xml:space="preserve">sl_move</t>
  </si>
  <si>
    <t xml:space="preserve">stop widened from 78.5k to 77.6k to sit below the new 78.6k DCA level</t>
  </si>
  <si>
    <t xml:space="preserve">SL @ 77.6k</t>
  </si>
  <si>
    <t xml:space="preserve">2026-05-08 06:24:33</t>
  </si>
  <si>
    <t xml:space="preserve">clarifies msg 19 - take 50% (the filled DCA half) off here and re-place it as a limit at 78.6k</t>
  </si>
  <si>
    <t xml:space="preserve">Basically take out 50% DCA here and put it at 78.6k</t>
  </si>
  <si>
    <t xml:space="preserve">https://discord.com/channels/1042855255089623100/1501271173588193290/1502149183405293568</t>
  </si>
  <si>
    <t xml:space="preserve">long at CMP with two targets</t>
  </si>
  <si>
    <t xml:space="preserve">Long AVNT
Entry: 0.158 CMP 
TP: 
0.1746
0.2023
SL: 0.1411</t>
  </si>
  <si>
    <t xml:space="preserve">2026-05-08 06:43:37</t>
  </si>
  <si>
    <t xml:space="preserve">Manage risk.</t>
  </si>
  <si>
    <t xml:space="preserve">position roll call - UNI, ZRO, BTC and AVNT all running</t>
  </si>
  <si>
    <t xml:space="preserve">We have 4 positions running
UNI
ZRO
BTC
AVNT
Manage risk.</t>
  </si>
  <si>
    <t xml:space="preserve">https://discord.com/channels/1042855255089623100/1501271173588193290/1502153981391012050</t>
  </si>
  <si>
    <t xml:space="preserve">I risk 2% on normal traders and 1% on risky ones</t>
  </si>
  <si>
    <t xml:space="preserve">states his own position sizing rule - 2% risk on normal trades, 1% on the ones he flags as risky</t>
  </si>
  <si>
    <t xml:space="preserve">I risk 2% on normal traders and 1% on risky ones!</t>
  </si>
  <si>
    <t xml:space="preserve">2026-05-08 07:21:04</t>
  </si>
  <si>
    <t xml:space="preserve">caps himself at 4 open positions</t>
  </si>
  <si>
    <t xml:space="preserve">likes SLP and KERNEL as longs too but is holding at four positions until the current TPs come in</t>
  </si>
  <si>
    <t xml:space="preserve">I like SLP and KERNEL too but I think 4 are enough for now, let's get these TPs first</t>
  </si>
  <si>
    <t xml:space="preserve">https://discord.com/channels/1042855255089623100/1501271173588193290/1502163404553715722</t>
  </si>
  <si>
    <t xml:space="preserve">2026-05-08 13:48:41</t>
  </si>
  <si>
    <t xml:space="preserve">BTC started moving - optional 20% trim at 80.5k; he will post when he closes. Screenshot shows his entry price 79,564.80</t>
  </si>
  <si>
    <t xml:space="preserve">BTC started moving, you can take 20% @ 80.5k if you want, I'll update whenever I close!</t>
  </si>
  <si>
    <t xml:space="preserve">https://discord.com/channels/1042855255089623100/1501271173588193290/1502260952098279615</t>
  </si>
  <si>
    <t xml:space="preserve">2026-05-08 18:44:20</t>
  </si>
  <si>
    <t xml:space="preserve">treats UNI as the channel's first win and books half the position at a 0.7R move; PnL card shows the 50x UNI long closed at +101.21% ROI</t>
  </si>
  <si>
    <t xml:space="preserve">Okay let's treat as our first win 
Closing 50% UNI for 0.7 R move</t>
  </si>
  <si>
    <t xml:space="preserve">https://discord.com/channels/1042855255089623100/1501271173588193290/1502335355628687451</t>
  </si>
  <si>
    <t xml:space="preserve">tp_move</t>
  </si>
  <si>
    <t xml:space="preserve">3.7, 4</t>
  </si>
  <si>
    <t xml:space="preserve">target lifted from the original 3.669 - he will fully take profit at 3.7 while followers can hold for 4</t>
  </si>
  <si>
    <t xml:space="preserve">I'll take personally  fully TP @ 3.7
You can hold till 4</t>
  </si>
  <si>
    <t xml:space="preserve">stop moved to breakeven at the 3.46 entry after taking the 50% partial</t>
  </si>
  <si>
    <t xml:space="preserve">SL @ BE 3.46</t>
  </si>
  <si>
    <t xml:space="preserve">high win rate / low R trade; manual TP targeting ~0.066 first, stop is a 4h close under the level or the hard stop. NOTE: he wrote the stops as 0.59 and 0.581, which are recorded verbatim but are almost certainly typos for 0.059 / 0.0581 given the 0.064 entry</t>
  </si>
  <si>
    <t xml:space="preserve">Long KERNEL 
Entry: 0.064
TP: Manually, targeting first around 0.066
SL: 4h under 0.59 or hard SLs  at 0.581
High Win rate Low R trade</t>
  </si>
  <si>
    <t xml:space="preserve">2026-05-08 18:48:07</t>
  </si>
  <si>
    <t xml:space="preserve">clarifies that the 0.064 KERNEL entry is at current market price</t>
  </si>
  <si>
    <t xml:space="preserve">CMP ^</t>
  </si>
  <si>
    <t xml:space="preserve">https://discord.com/channels/1042855255089623100/1501271173588193290/1502336308406911027</t>
  </si>
  <si>
    <t xml:space="preserve">close</t>
  </si>
  <si>
    <t xml:space="preserve">3.7</t>
  </si>
  <si>
    <t xml:space="preserve">UNI broke out ('blew up') and he exited the remainder at his 3.7 target for about 1.4R; chart shows UNIUSDT +7.52% with a parabolic breakout to 3.698</t>
  </si>
  <si>
    <t xml:space="preserve">Well UNI blew up, I'm fully out here @ 3.7 for around 1.4 R</t>
  </si>
  <si>
    <t xml:space="preserve">https://discord.com/channels/1042855255089623100/1501271173588193290/1502349669571891250</t>
  </si>
  <si>
    <t xml:space="preserve">expects UNI to reach $4 by the coming weekend or week even though he is out</t>
  </si>
  <si>
    <t xml:space="preserve">Think we see 4$ by coming weekend/week</t>
  </si>
  <si>
    <t xml:space="preserve">2026-05-08 19:41:59</t>
  </si>
  <si>
    <t xml:space="preserve">clarifies the Demo Trading watermark on his screenshots - he trades a CFT funded account on Bybit, not demo</t>
  </si>
  <si>
    <t xml:space="preserve">Btw not trading demo it's CFT funded account on Bybit just clarifying</t>
  </si>
  <si>
    <t xml:space="preserve">https://discord.com/channels/1042855255089623100/1501271173588193290/1502349863180828906</t>
  </si>
  <si>
    <t xml:space="preserve">DCA is 50% of size; TP1 closes 50% of the position</t>
  </si>
  <si>
    <t xml:space="preserve">long at CMP with a 50% DCA at 0.334; first target 0.39 is 1R and takes half off, second target to be given later</t>
  </si>
  <si>
    <t xml:space="preserve">Long SNX
Entry: 0.354 CMP 
DCA: 0.334 (50%)
TP: 0.39 (1R) (50%)
TP2 later 
SL: 0.31</t>
  </si>
  <si>
    <t xml:space="preserve">2026-05-08 19:54:13</t>
  </si>
  <si>
    <t xml:space="preserve">please manage risk 1-2% per trade</t>
  </si>
  <si>
    <t xml:space="preserve">position roll call - BTC, KERNEL, ZRO, AVNT and SNX running</t>
  </si>
  <si>
    <t xml:space="preserve">Running
BTC 
KERNEL 
ZRO
AVNT
SNX</t>
  </si>
  <si>
    <t xml:space="preserve">https://discord.com/channels/1042855255089623100/1501271173588193290/1502352942743818250</t>
  </si>
  <si>
    <t xml:space="preserve">will not add them - five positions are enough</t>
  </si>
  <si>
    <t xml:space="preserve">sees ASTER, NEAR and SOL as ready for a weekend pump but is not taking them</t>
  </si>
  <si>
    <t xml:space="preserve">expects a weekend alt pump</t>
  </si>
  <si>
    <t xml:space="preserve">I like many more ALTs that look ready for a weekend PUMP ASTER, NEAR, SOL but these are enough, please manage risk 1-2% per trade.</t>
  </si>
  <si>
    <t xml:space="preserve">2026-05-08 21:22:35</t>
  </si>
  <si>
    <t xml:space="preserve">81000, 82000</t>
  </si>
  <si>
    <t xml:space="preserve">expects a hard BTC pump over the weekend to the previous daily high; a 4h close above 80.5k would put 81-82k in play, where he intends to close the long he holds from 79.5k</t>
  </si>
  <si>
    <t xml:space="preserve">4h close, previous daily high</t>
  </si>
  <si>
    <t xml:space="preserve">I have a feeling we will pump hard on BTC this weekend, can visit previous daily high.
4h close above 80.5k and I would expect 81-82k, where I'll be looking to close my long from 79.5k</t>
  </si>
  <si>
    <t xml:space="preserve">https://discord.com/channels/1042855255089623100/1501271173588193290/1502375178162933760</t>
  </si>
  <si>
    <t xml:space="preserve">2026-05-09 02:01:21</t>
  </si>
  <si>
    <t xml:space="preserve">limits the number of calls because followers ignore risk management and go all in</t>
  </si>
  <si>
    <t xml:space="preserve">the alts he named (SOL, NEAR, PUMPFUN, ASTER charts attached) all popped off; explains he caps his own calls because followers do not manage risk, and tells them to do their own analysis on any coin he mentions</t>
  </si>
  <si>
    <t xml:space="preserve">alt market moving up</t>
  </si>
  <si>
    <t xml:space="preserve">Look at them go, every ALT I mentioned here just popping off even ASTER started moving
Usually I'm already in too many trades and have to limit myself for giving positions because I feel like people don't care about risk management and jump in all in.
But if I ever mention a coin and you can do some analysis, check them out!</t>
  </si>
  <si>
    <t xml:space="preserve">https://discord.com/channels/1042855255089623100/1501271173588193290/1502445332355878943</t>
  </si>
  <si>
    <t xml:space="preserve">2026-05-09 04:45:42</t>
  </si>
  <si>
    <t xml:space="preserve">tp_hit</t>
  </si>
  <si>
    <t xml:space="preserve">KERNEL reached the first target; share card shows the 20x long still open, entry 0.06454, mark 0.06615, +49.35% ROI</t>
  </si>
  <si>
    <t xml:space="preserve">KERNEL TP1 here, next TP @ 0.0673</t>
  </si>
  <si>
    <t xml:space="preserve">https://discord.com/channels/1042855255089623100/1501271173588193290/1502486692232298586</t>
  </si>
  <si>
    <t xml:space="preserve">tp_set</t>
  </si>
  <si>
    <t xml:space="preserve">sets the second KERNEL target at 0.0673 after TP1</t>
  </si>
  <si>
    <t xml:space="preserve">next TP @ 0.0673</t>
  </si>
  <si>
    <t xml:space="preserve">2026-05-09 04:48:32</t>
  </si>
  <si>
    <t xml:space="preserve">running-trade card in the batch update - AVNT 50x long open at +265.55% (entry 0.15851, mark 0.16787)</t>
  </si>
  <si>
    <t xml:space="preserve">All trades running in good profits, take TP whenever you want, don't let them round trip. 
I'll update when I close.</t>
  </si>
  <si>
    <t xml:space="preserve">https://discord.com/channels/1042855255089623100/1501271173588193290/1502487407654862971</t>
  </si>
  <si>
    <t xml:space="preserve">running-trade card in the batch update - BTC 100x long open at +67.25% (entry 79,764.40, mark 80,333.90)</t>
  </si>
  <si>
    <t xml:space="preserve">running-trade card in the batch update - KERNEL 20x long open at +49.35%; tells followers to take TP whenever they want and not let winners round trip</t>
  </si>
  <si>
    <t xml:space="preserve">running-trade card in the batch update - SNX 25x long open at +118.67% (entry 0.3545, mark 0.3727)</t>
  </si>
  <si>
    <t xml:space="preserve">re-posted closed card inside the batch - UNI 50x long, entry 3.458, exit 3.528, +101.21%, documenting the earlier partial close</t>
  </si>
  <si>
    <t xml:space="preserve">running-trade card in the batch update - ZRO 50x long open at +34.43% (entry 1.4744, mark 1.4849)</t>
  </si>
  <si>
    <t xml:space="preserve">closes an older Journals trade out of impatience after holding it 10 days, despite believing it will blow up; 25x long exited 0.26013 for +67.61%</t>
  </si>
  <si>
    <t xml:space="preserve">Also closing this trade from Journals, 100% this is gonna blow up but I have been holding for 10 days, its getting annoying.</t>
  </si>
  <si>
    <t xml:space="preserve">2026-05-09 04:54:13</t>
  </si>
  <si>
    <t xml:space="preserve">SL to Entry after TP1</t>
  </si>
  <si>
    <t xml:space="preserve">general rule reminder - move the stop to entry once TP1 is taken; posted as a reply to the KERNEL TP1 message</t>
  </si>
  <si>
    <t xml:space="preserve">Common knowledge but a reminder, SL to Entry after TP1</t>
  </si>
  <si>
    <t xml:space="preserve">https://discord.com/channels/1042855255089623100/1501271173588193290/1502488837132259390</t>
  </si>
  <si>
    <t xml:space="preserve">posted as a reply to the KERNEL TP1 message, so it implies moving the KERNEL stop to entry; he did not restate the entry level so no stop price is recorded</t>
  </si>
  <si>
    <t xml:space="preserve">closes the BTC long at 80.4k; card shows the 100x long exited at 80,341.20 from 79,764.40 for +72.31%</t>
  </si>
  <si>
    <t xml:space="preserve">Closing BTC @ 80.4k</t>
  </si>
  <si>
    <t xml:space="preserve">https://discord.com/channels/1042855255089623100/1501271173588193290/1502507137337786561</t>
  </si>
  <si>
    <t xml:space="preserve">2026-05-09 06:54:44</t>
  </si>
  <si>
    <t xml:space="preserve">clarifies the BTC entry - original entry was 79.5k, the card shows 79.7k because he added margin</t>
  </si>
  <si>
    <t xml:space="preserve">BTW 79.5k was the original entry I added more margin so it shows 79.7k</t>
  </si>
  <si>
    <t xml:space="preserve">https://discord.com/channels/1042855255089623100/1501271173588193290/1502519166286954537</t>
  </si>
  <si>
    <t xml:space="preserve">2026-05-09 07:10:34</t>
  </si>
  <si>
    <t xml:space="preserve">wants to re-long BTC because he still believes it pumps hard and makes a new daily high or at least visits the previous high, but would rather wait for a ~80.3k entry than take CMP</t>
  </si>
  <si>
    <t xml:space="preserve">previous daily high</t>
  </si>
  <si>
    <t xml:space="preserve">Kinda wanna long BTC again from CMP with SL 79k because as I said earlier I believe BTC will pump hard and might make a new daily High or at least visit previous High but will wait if I can get an entry around 80.3k</t>
  </si>
  <si>
    <t xml:space="preserve">https://discord.com/channels/1042855255089623100/1501271173588193290/1502523149831634995</t>
  </si>
  <si>
    <t xml:space="preserve">2026-05-09 09:53:50</t>
  </si>
  <si>
    <t xml:space="preserve">don't place any limits, wait for his entry confirmation</t>
  </si>
  <si>
    <t xml:space="preserve">lower timeframes look bearish so he waits; plans to re-use the previous setup (79k entry, 78k DCA, 77k SL) and will call the entry live rather than have followers leave limit orders</t>
  </si>
  <si>
    <t xml:space="preserve">LTF</t>
  </si>
  <si>
    <t xml:space="preserve">LTF looks bearish</t>
  </si>
  <si>
    <t xml:space="preserve">LTF looks bearish so waiting for entry, I would like to use the same setup as before, 79k entry, 78k DCA, 77k SL but don't place any limits I'll let you know when I enter. 
Looking to long in 79k region!</t>
  </si>
  <si>
    <t xml:space="preserve">https://discord.com/channels/1042855255089623100/1501271173588193290/1502564237762101269</t>
  </si>
  <si>
    <t xml:space="preserve">swing long at CMP that will take time; intraday/scalp traders should wait for the BTC scalp instead</t>
  </si>
  <si>
    <t xml:space="preserve">Long STABLE (Swing)
Entry: 0.0346 CMP 
TP: 0.04
SL: 0.03
Will take some time, if you like intradays/scalps wait for BTC scalp!</t>
  </si>
  <si>
    <t xml:space="preserve">long at CMP with a 50% DCA at 2290; no target given in this message</t>
  </si>
  <si>
    <t xml:space="preserve">Long ETH 
Entry: 2310 CMP
DCA: 2290 (50%)
SL: 2260</t>
  </si>
  <si>
    <t xml:space="preserve">2026-05-09 14:00:58</t>
  </si>
  <si>
    <t xml:space="preserve">gives the ETH target - 2350+, closed manually</t>
  </si>
  <si>
    <t xml:space="preserve">Will close manually but targeting 2350+</t>
  </si>
  <si>
    <t xml:space="preserve">https://discord.com/channels/1042855255089623100/1501271173588193290/1502626428687220946</t>
  </si>
  <si>
    <t xml:space="preserve">2026-05-09 14:01:21</t>
  </si>
  <si>
    <t xml:space="preserve">position roll call - ZRO, AVNT, STABLE, SNX and ETH running</t>
  </si>
  <si>
    <t xml:space="preserve">Trades running
ZRO
AVNT
STABLE
SNX
ETH</t>
  </si>
  <si>
    <t xml:space="preserve">https://discord.com/channels/1042855255089623100/1501271173588193290/1502626528754925680</t>
  </si>
  <si>
    <t xml:space="preserve">wants at least 2 positions closed before opening new ones</t>
  </si>
  <si>
    <t xml:space="preserve">TAKE looks good for a long but he is at position capacity</t>
  </si>
  <si>
    <t xml:space="preserve">TAKE looking good for long but too many positions running at the moment I want at least 2 out for new trades, see you at TPs</t>
  </si>
  <si>
    <t xml:space="preserve">closes the ETH long calling it good enough for a weekend scalp; 100x long exited 2340.53 from 2311.73 for +124.58%</t>
  </si>
  <si>
    <t xml:space="preserve">Alright guys good enough for a weekend scalp, closing it here!</t>
  </si>
  <si>
    <t xml:space="preserve">https://discord.com/channels/1042855255089623100/1501271173588193290/1503060481118568578</t>
  </si>
  <si>
    <t xml:space="preserve">2026-05-10 18:47:56</t>
  </si>
  <si>
    <t xml:space="preserve">the 2350 ETH target printed moments after he closed and posted the screenshot</t>
  </si>
  <si>
    <t xml:space="preserve">2350 was my target, already hit while I was sending the screenshot.</t>
  </si>
  <si>
    <t xml:space="preserve">https://discord.com/channels/1042855255089623100/1501271173588193290/1503061037740458126</t>
  </si>
  <si>
    <t xml:space="preserve">2026-05-10 18:50:39</t>
  </si>
  <si>
    <t xml:space="preserve">STABLE has not moved - still trading around his entry</t>
  </si>
  <si>
    <t xml:space="preserve">STABLE has been really STABLE still around entry</t>
  </si>
  <si>
    <t xml:space="preserve">https://discord.com/channels/1042855255089623100/1501271173588193290/1503061718493036725</t>
  </si>
  <si>
    <t xml:space="preserve">2026-05-10 21:01:23</t>
  </si>
  <si>
    <t xml:space="preserve">takes TP1 on AVNT at the current 0.16709 with the 50x long still open at +246.69%; portion not specified</t>
  </si>
  <si>
    <t xml:space="preserve">AVNT TP1 here, fully close @ 0.1746</t>
  </si>
  <si>
    <t xml:space="preserve">https://discord.com/channels/1042855255089623100/1501271173588193290/1503094618345181387</t>
  </si>
  <si>
    <t xml:space="preserve">the rest of AVNT now comes off at 0.1746 rather than being held for the original second target at 0.2023</t>
  </si>
  <si>
    <t xml:space="preserve">2026-05-10 21:02:37</t>
  </si>
  <si>
    <t xml:space="preserve">close to closing SNX on gut feel with no technical reason given</t>
  </si>
  <si>
    <t xml:space="preserve">I'm this close to closing SNX idk why but I just want to close</t>
  </si>
  <si>
    <t xml:space="preserve">https://discord.com/channels/1042855255089623100/1501271173588193290/1503094928329412670</t>
  </si>
  <si>
    <t xml:space="preserve">ZRO has been rejecting from the 1.5523 TP for three days; advises taking profit early if a drop appears</t>
  </si>
  <si>
    <t xml:space="preserve">ZRO is edging me off keeps coming back from TP @ 1.5523 since 3 days, take TP early if you see a drop.</t>
  </si>
  <si>
    <t xml:space="preserve">2026-05-10 22:10:30</t>
  </si>
  <si>
    <t xml:space="preserve">books 25% of ZRO at 1.53 (+178.94% on the 50x) and plans the full exit around 1.55+, will update if he sees weakness</t>
  </si>
  <si>
    <t xml:space="preserve">25% here, fully exit around 1.55+ 
Will update if I see weakness</t>
  </si>
  <si>
    <t xml:space="preserve">https://discord.com/channels/1042855255089623100/1501271173588193290/1503112014283673735</t>
  </si>
  <si>
    <t xml:space="preserve">2026-05-10 22:13:10</t>
  </si>
  <si>
    <t xml:space="preserve">claims eight consecutive wins since the rough start</t>
  </si>
  <si>
    <t xml:space="preserve">That's 8 wins in a row!</t>
  </si>
  <si>
    <t xml:space="preserve">https://discord.com/channels/1042855255089623100/1501271173588193290/1503112683346726943</t>
  </si>
  <si>
    <t xml:space="preserve">closes SNX in profit because he expects a pullback; plans to re-open after Monday. Card: 25x long entry 0.3545, mark 0.3626, +55.80%</t>
  </si>
  <si>
    <t xml:space="preserve">expects a market pullback</t>
  </si>
  <si>
    <t xml:space="preserve">Closing SNX in some profits, we're gonna have a pullback will open again after Monday</t>
  </si>
  <si>
    <t xml:space="preserve">https://discord.com/channels/1042855255089623100/1501271173588193290/1503132904983756810</t>
  </si>
  <si>
    <t xml:space="preserve">the remaining ZRO was stopped at breakeven after TP1 had already been taken</t>
  </si>
  <si>
    <t xml:space="preserve">ZRO stopped out  on BE after TP1</t>
  </si>
  <si>
    <t xml:space="preserve">immediately re-enters the ZRO long after the BE stop, with a lower DCA at 1.42 and the same 1.55 target</t>
  </si>
  <si>
    <t xml:space="preserve">Entered long again
Entry: 1.486
DCA: 1.42
TP1: 1.55
SL: 1.37</t>
  </si>
  <si>
    <t xml:space="preserve">2026-05-11 01:30:22</t>
  </si>
  <si>
    <t xml:space="preserve">bullish - expects BTC at 84-85k in the coming week</t>
  </si>
  <si>
    <t xml:space="preserve">expects 84-85k next week</t>
  </si>
  <si>
    <t xml:space="preserve">Expecting 84-85k coming week, I'm bullish.</t>
  </si>
  <si>
    <t xml:space="preserve">https://discord.com/channels/1042855255089623100/1501271173588193290/1503162313224749176</t>
  </si>
  <si>
    <t xml:space="preserve">counter-trend short at CMP with a DCA higher at 83k; no target in this message</t>
  </si>
  <si>
    <t xml:space="preserve">Short BTC 
Entry: 82.3k CMP 
DCA: 83k 
SL: 83650</t>
  </si>
  <si>
    <t xml:space="preserve">2026-05-11 02:31:01</t>
  </si>
  <si>
    <t xml:space="preserve">target zone for the BTC short - looking to cover in the 80-81k region</t>
  </si>
  <si>
    <t xml:space="preserve">Looking to scalp it around 80-81</t>
  </si>
  <si>
    <t xml:space="preserve">https://discord.com/channels/1042855255089623100/1501271173588193290/1503177573255872696</t>
  </si>
  <si>
    <t xml:space="preserve">takes profit on the quick top short; 100x short entry 82,202.80, exit 81,302.90, +109.47%</t>
  </si>
  <si>
    <t xml:space="preserve">TPed, fast top short, closed.</t>
  </si>
  <si>
    <t xml:space="preserve">https://discord.com/channels/1042855255089623100/1501271173588193290/1503199620715642910</t>
  </si>
  <si>
    <t xml:space="preserve">2026-05-11 03:59:09</t>
  </si>
  <si>
    <t xml:space="preserve">will flip long once price stabilises - the 80k region is where he wants the entry</t>
  </si>
  <si>
    <t xml:space="preserve">Will long waiting for it to stabilize, 80k region would be a nice place to long.</t>
  </si>
  <si>
    <t xml:space="preserve">2026-05-11 04:00:33</t>
  </si>
  <si>
    <t xml:space="preserve">the BTC short close makes it ten straight wins</t>
  </si>
  <si>
    <t xml:space="preserve">Guys that's a 10th streak win ^</t>
  </si>
  <si>
    <t xml:space="preserve">https://discord.com/channels/1042855255089623100/1501271173588193290/1503200106894069860</t>
  </si>
  <si>
    <t xml:space="preserve">2026-05-11 04:02:52</t>
  </si>
  <si>
    <t xml:space="preserve">lists the ten-win streak: UNI, SNX, BTC, ASTER, KERNEL, ZRO, AVNT, SYRUP, ETH, BTC (ASTER was never called in this channel)</t>
  </si>
  <si>
    <t xml:space="preserve">UNI
SNX 
BTC
ASTER
KERNEL
ZRO 
AVNT
SYRUP 
ETH
BTC 
**10/10**</t>
  </si>
  <si>
    <t xml:space="preserve">https://discord.com/channels/1042855255089623100/1501271173588193290/1503200688010952805</t>
  </si>
  <si>
    <t xml:space="preserve">2026-05-11 04:03:54</t>
  </si>
  <si>
    <t xml:space="preserve">asks followers who profited to post their PnLs in the profit-showcase channel</t>
  </si>
  <si>
    <r>
      <rPr>
        <sz val="10"/>
        <rFont val="Arial"/>
        <family val="0"/>
        <charset val="1"/>
      </rPr>
      <t xml:space="preserve">If you made anything with me so far I would really appreciate the PNLs #💲</t>
    </r>
    <r>
      <rPr>
        <sz val="10"/>
        <rFont val="Noto Sans CJK SC"/>
        <family val="2"/>
      </rPr>
      <t xml:space="preserve">｜</t>
    </r>
    <r>
      <rPr>
        <sz val="10"/>
        <rFont val="Arial"/>
        <family val="0"/>
        <charset val="1"/>
      </rPr>
      <t xml:space="preserve">profit-showcase 
Thankyou!</t>
    </r>
  </si>
  <si>
    <t xml:space="preserve">https://discord.com/channels/1042855255089623100/1501271173588193290/1503200948145619104</t>
  </si>
  <si>
    <t xml:space="preserve">2026-05-11 09:12:24</t>
  </si>
  <si>
    <t xml:space="preserve">books 20% of the re-entered ZRO long at 1.5369 (+189.93% on the 50x) and deliberately does NOT move the stop to entry, keeping the original stop</t>
  </si>
  <si>
    <t xml:space="preserve">And the streak continues, 20% here not moving SL to entry.</t>
  </si>
  <si>
    <t xml:space="preserve">https://discord.com/channels/1042855255089623100/1501271173588193290/1503278586050777149</t>
  </si>
  <si>
    <t xml:space="preserve">has started scaling into a BTC long from 80.6k with a 79.5k stop; will post the full setup once he is confident enough. Card shows a 150x long at +51.78%</t>
  </si>
  <si>
    <t xml:space="preserve">I have started to scale in BTC long as well will give out once I'm confident enough 
For an idea I'm long since 80.6k SL @ 79.5k</t>
  </si>
  <si>
    <t xml:space="preserve">https://discord.com/channels/1042855255089623100/1501271173588193290/1503278860400332892</t>
  </si>
  <si>
    <t xml:space="preserve">2026-05-11 09:13:50</t>
  </si>
  <si>
    <t xml:space="preserve">if the 80k region holds he expects BTC to run to 84k</t>
  </si>
  <si>
    <t xml:space="preserve">80s holding as support, 84k target</t>
  </si>
  <si>
    <t xml:space="preserve">80s hold, 84 we go this is what I see.</t>
  </si>
  <si>
    <t xml:space="preserve">https://discord.com/channels/1042855255089623100/1501271173588193290/1503278948795289610</t>
  </si>
  <si>
    <t xml:space="preserve">2026-05-11 09:23:32</t>
  </si>
  <si>
    <t xml:space="preserve">No DCA</t>
  </si>
  <si>
    <t xml:space="preserve">formal BTC long call at CMP after scaling in privately; no DCA level, stop under the 80k region</t>
  </si>
  <si>
    <t xml:space="preserve">Long BTC 
Entry: 80.9k CMP
No DCA 
SL: 79.5k</t>
  </si>
  <si>
    <t xml:space="preserve">https://discord.com/channels/1042855255089623100/1501271173588193290/1503281388659544117</t>
  </si>
  <si>
    <t xml:space="preserve">2026-05-11 09:24:11</t>
  </si>
  <si>
    <t xml:space="preserve">sl_set</t>
  </si>
  <si>
    <t xml:space="preserve">playing safe here, scalp</t>
  </si>
  <si>
    <t xml:space="preserve">offers an optional tighter SL at 79750 for the BTC long; he personally keeps the wider 79.5k stop because he is playing safe on this scalp</t>
  </si>
  <si>
    <t xml:space="preserve">If you want a tighter SL 79750 but I'm playing safe here, scalp ^</t>
  </si>
  <si>
    <t xml:space="preserve">https://discord.com/channels/1042855255089623100/1501271173588193290/1503281551335755869</t>
  </si>
  <si>
    <t xml:space="preserve">TP1 (1.55, from the re-entry call he replies to) reached on the ZRO long; share card shows entry 1.4772 at 1.5457 for +215.72% ROI</t>
  </si>
  <si>
    <t xml:space="preserve">ZRO TP hit</t>
  </si>
  <si>
    <t xml:space="preserve">https://discord.com/channels/1042855255089623100/1501271173588193290/1503329058543370330</t>
  </si>
  <si>
    <t xml:space="preserve">2026-05-11 12:33:09</t>
  </si>
  <si>
    <t xml:space="preserve">notes this is the second ZRO trade off the same idea - he has milked the setup twice</t>
  </si>
  <si>
    <t xml:space="preserve">2nd time, milked this one ^</t>
  </si>
  <si>
    <t xml:space="preserve">https://discord.com/channels/1042855255089623100/1501271173588193290/1503329108246138890</t>
  </si>
  <si>
    <t xml:space="preserve">2026-05-11 13:42:47</t>
  </si>
  <si>
    <t xml:space="preserve">will close the BTC long manually rather than with a resting order, targeting the 81.5-81.6k area</t>
  </si>
  <si>
    <t xml:space="preserve">Will close BTC manually but targeting around 81.5-81.6k</t>
  </si>
  <si>
    <t xml:space="preserve">https://discord.com/channels/1042855255089623100/1501271173588193290/1503346628277571636</t>
  </si>
  <si>
    <t xml:space="preserve">announces the BTC long is closed; exit price posted in the following share card</t>
  </si>
  <si>
    <t xml:space="preserve">BTC closed</t>
  </si>
  <si>
    <t xml:space="preserve">https://discord.com/channels/1042855255089623100/1501271173588193290/1503434545905795274</t>
  </si>
  <si>
    <t xml:space="preserve">2026-05-11 19:33:50</t>
  </si>
  <si>
    <t xml:space="preserve">proof card for the BTC long closed in MSG 75: entry 80914.2, exit 81798.7, +109.31% ROI at 100x; no text posted</t>
  </si>
  <si>
    <t xml:space="preserve">[IMAGE 026: pnl_share_card | BTCUSDT long 100x entry 80914.2 close 81798.7 ROI 109.31% (closed)]</t>
  </si>
  <si>
    <t xml:space="preserve">https://discord.com/channels/1042855255089623100/1501271173588193290/1503434974102163536</t>
  </si>
  <si>
    <t xml:space="preserve">2026-05-11 19:55:28</t>
  </si>
  <si>
    <t xml:space="preserve">claims a 12th consecutive winning trade</t>
  </si>
  <si>
    <t xml:space="preserve">12th streak.</t>
  </si>
  <si>
    <t xml:space="preserve">https://discord.com/channels/1042855255089623100/1501271173588193290/1503440419948728501</t>
  </si>
  <si>
    <t xml:space="preserve">2026-05-11 19:55:49</t>
  </si>
  <si>
    <t xml:space="preserve">running scoreboard: 14 trades, 12 wins (UNI, SNX, BTC, ASTER, KERNEL, ZRO, AVNT, SYRUP, ETH, BTC, ZRO, BTC), 2 losses (BTC, ETH)</t>
  </si>
  <si>
    <t xml:space="preserve">**14 Trades**
**12 Wins** 
(UNI, SNX. BTC. ASTER, KERNEL, ZRO, AVNT, SYRUP, ETH, BTC, ZRO, BTC)
**2 Losses**
(BTC, ETH)</t>
  </si>
  <si>
    <t xml:space="preserve">https://discord.com/channels/1042855255089623100/1501271173588193290/1503440507013959813</t>
  </si>
  <si>
    <t xml:space="preserve">Slightly risky you can go half risk or enter at DCA</t>
  </si>
  <si>
    <t xml:space="preserve">new BTC long with a DCA leg at 80.7k; he flags the setup as slightly risky so followers can halve risk or just wait for the DCA level</t>
  </si>
  <si>
    <t xml:space="preserve">Long BTC 
Entry: 81.3k
DCA: 80.7k
SL: 79.5k
Slightly risky you can go half risk or enter at DCA</t>
  </si>
  <si>
    <t xml:space="preserve">2026-05-12 04:50:49</t>
  </si>
  <si>
    <t xml:space="preserve">the 80.7k DCA leg filled, taking the average entry to 81k; position already in profit</t>
  </si>
  <si>
    <t xml:space="preserve">DCA filled avg 81k, in profits at the moment!</t>
  </si>
  <si>
    <t xml:space="preserve">https://discord.com/channels/1042855255089623100/1501271173588193290/1503575142628851752</t>
  </si>
  <si>
    <t xml:space="preserve">2026-05-12 04:51:23</t>
  </si>
  <si>
    <t xml:space="preserve">celebrates that the DCA level was a perfect fill - entering there was a snipe</t>
  </si>
  <si>
    <t xml:space="preserve">And if you entered at DCA you sniped, otherwise DCA was a snipe!</t>
  </si>
  <si>
    <t xml:space="preserve">https://discord.com/channels/1042855255089623100/1501271173588193290/1503575285868527676</t>
  </si>
  <si>
    <t xml:space="preserve">2026-05-12 06:19:25</t>
  </si>
  <si>
    <t xml:space="preserve">adds a first take-profit at 0.03737 on the STABLE swing long (original call had TP 0.04); position open at +144.12%</t>
  </si>
  <si>
    <t xml:space="preserve">TP1 @ 0.03737</t>
  </si>
  <si>
    <t xml:space="preserve">https://discord.com/channels/1042855255089623100/1501271173588193290/1503597441675558924</t>
  </si>
  <si>
    <t xml:space="preserve">2026-05-12 06:49:52</t>
  </si>
  <si>
    <t xml:space="preserve">closed his whole STABLE position by accident at TP1 0.03737 for +200.92%</t>
  </si>
  <si>
    <t xml:space="preserve">I accidentally closed 100% here</t>
  </si>
  <si>
    <t xml:space="preserve">https://discord.com/channels/1042855255089623100/1501271173588193290/1503605103997882428</t>
  </si>
  <si>
    <t xml:space="preserve">tells followers the 0.04 target is still valid but to take at least 50% there because it is resistance</t>
  </si>
  <si>
    <t xml:space="preserve">but 0.04 TP is valid, take at least 50% as this is resistance.</t>
  </si>
  <si>
    <t xml:space="preserve">2026-05-12 06:51:54</t>
  </si>
  <si>
    <t xml:space="preserve">posts the 1h chart of the STABLE spike to 0.037953 to show the pump he caught from the 0.03459 base</t>
  </si>
  <si>
    <t xml:space="preserve">What a pump caught!</t>
  </si>
  <si>
    <t xml:space="preserve">https://discord.com/channels/1042855255089623100/1501271173588193290/1503605617204531412</t>
  </si>
  <si>
    <t xml:space="preserve">new XRP long at current market price with two targets and a 1.4 stop; no reason given</t>
  </si>
  <si>
    <t xml:space="preserve">Long XRP
Entry: 1.448 CMP 
TPs:
1.5
1.525
SL: 1.4</t>
  </si>
  <si>
    <t xml:space="preserve">2026-05-12 15:11:23</t>
  </si>
  <si>
    <t xml:space="preserve">clarifies the 'DEMO' label on his earlier screenshot: it is a CFT funded account, and he trades real money on other exchanges</t>
  </si>
  <si>
    <t xml:space="preserve">Guys I would like to clarify something since I shared this screenshot it says DEMO, I got like 5 DMs saying I'm trading on DEMO 
It is CFT funded account so it shows demo, I trade on other exchanges with real money.</t>
  </si>
  <si>
    <t xml:space="preserve">https://discord.com/channels/1042855255089623100/1501271173588193290/1503731313855692950</t>
  </si>
  <si>
    <t xml:space="preserve">proof screenshots show he still holds a live STABLE long on MEXC (entry 0.03453, +248.34% ROI, +43.23 USDT) even though the Bybit copy was closed</t>
  </si>
  <si>
    <t xml:space="preserve">[IMAGE 031: pnl_share_card | STABLEUSDT long 20x entry 0.03453 mark 0.03886 ROI 248.34% (open)]</t>
  </si>
  <si>
    <t xml:space="preserve">2026-05-12 15:14:14</t>
  </si>
  <si>
    <t xml:space="preserve">claims 37 of 39 trades in the server hit TP with only 2 stop-outs; argues demo-vs-real is irrelevant if the calls hit targets</t>
  </si>
  <si>
    <t xml:space="preserve">Demo or real what matters is the trades are hitting TPs, in this server my 37/39 trades have hit TPs, only 2 SLs out of nearly 40 trades.</t>
  </si>
  <si>
    <t xml:space="preserve">https://discord.com/channels/1042855255089623100/1501271173588193290/1503732031119687780</t>
  </si>
  <si>
    <t xml:space="preserve">the full 0.04 target on the STABLE swing long was reached - a 20% unleveraged move, +231.02% ROI at 20x</t>
  </si>
  <si>
    <t xml:space="preserve">STABLE hit full TP of 0.04, 20% unleveraged move!</t>
  </si>
  <si>
    <t xml:space="preserve">https://discord.com/channels/1042855255089623100/1501271173588193290/1503958280999796848</t>
  </si>
  <si>
    <t xml:space="preserve">2026-05-13 06:14:46</t>
  </si>
  <si>
    <t xml:space="preserve">BTC long sitting around breakeven</t>
  </si>
  <si>
    <t xml:space="preserve">BTC and XRP both around BE.</t>
  </si>
  <si>
    <t xml:space="preserve">https://discord.com/channels/1042855255089623100/1501271173588193290/1503958657954484376</t>
  </si>
  <si>
    <t xml:space="preserve">needs a 4h close above 81.1k; if that happens he is confident BTC reaches ~82k, enough for a scalp TP</t>
  </si>
  <si>
    <t xml:space="preserve">Need a 4h closure above 81.1k and I'm confident we will get around 82k enough for a scalp TP</t>
  </si>
  <si>
    <t xml:space="preserve">XRP long sitting around breakeven</t>
  </si>
  <si>
    <t xml:space="preserve">ETH long at market with a 2245 stop; he calls it risky and says to take half size - 'I hate ETH'</t>
  </si>
  <si>
    <t xml:space="preserve">Long ETH
Entry: 2293 CMP 
SL: 2245
Risky trade go half. I hate ETH.</t>
  </si>
  <si>
    <t xml:space="preserve">2026-05-13 06:41:31</t>
  </si>
  <si>
    <t xml:space="preserve">the ETH call went out late; current market price is 2298 and the entry is still valid there</t>
  </si>
  <si>
    <t xml:space="preserve">Message went late CMP is 2298 now you can take it</t>
  </si>
  <si>
    <t xml:space="preserve">https://discord.com/channels/1042855255089623100/1501271173588193290/1503965391808893058</t>
  </si>
  <si>
    <t xml:space="preserve">thinks SOL is a much better long from CMP than the ETH trade he already called</t>
  </si>
  <si>
    <t xml:space="preserve">SOL looks alot better to long from CMP but we did ETH so be it.</t>
  </si>
  <si>
    <t xml:space="preserve">optional SOL long at market for anyone who wants it, following his view that SOL looked better than ETH</t>
  </si>
  <si>
    <t xml:space="preserve">If anyone's looking long for SOL
Entry: 95.5 CMP 
TP: 97 
SL: 93.5</t>
  </si>
  <si>
    <t xml:space="preserve">https://discord.com/channels/1042855255089623100/1501271173588193290/1503970565667553391</t>
  </si>
  <si>
    <t xml:space="preserve">2026-05-13 07:21:45</t>
  </si>
  <si>
    <t xml:space="preserve">gives the first target for the ETH long, which had been called without a TP; jokes he will take a break if ETH breaks his streak</t>
  </si>
  <si>
    <t xml:space="preserve">ETH first TP @ 2336</t>
  </si>
  <si>
    <t xml:space="preserve">https://discord.com/channels/1042855255089623100/1501271173588193290/1503975515483275366</t>
  </si>
  <si>
    <t xml:space="preserve">closes SOL early for a small win to stay on the safe side and protect his streak; says the other 3 longs are running well</t>
  </si>
  <si>
    <t xml:space="preserve">Closing SOL here personally, I want to be on the safe side and keep my streak.
We already have 3 longs and they are running good enough, expect TPs soon InshaAllah!</t>
  </si>
  <si>
    <t xml:space="preserve">https://discord.com/channels/1042855255089623100/1501271173588193290/1504048372351504406</t>
  </si>
  <si>
    <t xml:space="preserve">2026-05-13 12:11:34</t>
  </si>
  <si>
    <t xml:space="preserve">For anyone who can take risk</t>
  </si>
  <si>
    <t xml:space="preserve">the SOL setup is still valid, so risk-tolerant followers can keep the long running instead of closing with him</t>
  </si>
  <si>
    <t xml:space="preserve">For anyone who can take risk, valid setup you can keep it running.</t>
  </si>
  <si>
    <t xml:space="preserve">https://discord.com/channels/1042855255089623100/1501271173588193290/1504048450424016986</t>
  </si>
  <si>
    <t xml:space="preserve">2026-05-13 12:12:53</t>
  </si>
  <si>
    <t xml:space="preserve">sets the official BTC target at 82k</t>
  </si>
  <si>
    <t xml:space="preserve">BTC TP 82k</t>
  </si>
  <si>
    <t xml:space="preserve">https://discord.com/channels/1042855255089623100/1501271173588193290/1504048781639942176</t>
  </si>
  <si>
    <t xml:space="preserve">will probably exit ahead of the 82k target, around 81.5-81.6k, because he only scalps BTC</t>
  </si>
  <si>
    <t xml:space="preserve">But I'll most probably close early around 81.5-81.6k as I just scalp BTC</t>
  </si>
  <si>
    <t xml:space="preserve">lost on BTC: the trade sat in profit a long time but he never took TP - he wanted to trim first at 81.5k and price missed that by $150</t>
  </si>
  <si>
    <t xml:space="preserve">Sorry guys lost on BTC, stayed above profits for a long time but didn't TP, wanted to trim first @ 81.5k but missed by 150$</t>
  </si>
  <si>
    <t xml:space="preserve">https://discord.com/channels/1042855255089623100/1501271173588193290/1504139950222872757</t>
  </si>
  <si>
    <t xml:space="preserve">Save some for DCA around 25% half of what you're putting now</t>
  </si>
  <si>
    <t xml:space="preserve">immediate re-entry long on BTC after the loss, keeping 25% of size in reserve for a DCA (level given two messages later)</t>
  </si>
  <si>
    <t xml:space="preserve">Long BTC 
Entry: 79.4k
Save some for DCA around 25% half of what you're putting now
TP: 82k
SL: 77.9k</t>
  </si>
  <si>
    <t xml:space="preserve">2026-05-13 18:16:38</t>
  </si>
  <si>
    <t xml:space="preserve">clarifies the 79.4k BTC entry is at current market price, i.e. enter now</t>
  </si>
  <si>
    <t xml:space="preserve">CMP trade ^</t>
  </si>
  <si>
    <t xml:space="preserve">https://discord.com/channels/1042855255089623100/1501271173588193290/1504140324728082484</t>
  </si>
  <si>
    <t xml:space="preserve">2026-05-13 18:18:38</t>
  </si>
  <si>
    <t xml:space="preserve">gives the level for the 25% reserve announced in the call: DCA at 79k</t>
  </si>
  <si>
    <t xml:space="preserve">Put the 25% DCA @ 79k</t>
  </si>
  <si>
    <t xml:space="preserve">https://discord.com/channels/1042855255089623100/1501271173588193290/1504140824810618921</t>
  </si>
  <si>
    <t xml:space="preserve">new SOL long at market; stop is a 4h close under 88, with a hard stop at 87.5</t>
  </si>
  <si>
    <t xml:space="preserve">Long SOL
Entry: 91.25 CMP 
SL: 4h under 88 or hard SL @ 87.5</t>
  </si>
  <si>
    <t xml:space="preserve">risky half margin trade</t>
  </si>
  <si>
    <t xml:space="preserve">new BB long at market, flagged risky and to be taken on half margin; TP and SL are written as 0.39-0.41 and 0.3, which look like a dropped decimal for 0.039-0.041 and 0.03 given the 0.03535 entry (levels recorded as posted)</t>
  </si>
  <si>
    <t xml:space="preserve">Long BB (risky half margin trade)
Entry: 0.03535 CMP 
TP: 0.39-0.41
SL: 0.3</t>
  </si>
  <si>
    <t xml:space="preserve">2026-05-14 03:52:57</t>
  </si>
  <si>
    <t xml:space="preserve">drops the first BB target (0.039) and will take the full TP around 0.404 instead; symbol inferred from the BB call 30 minutes earlier, and the decimals are inconsistent with the 0.03535 entry as in that call</t>
  </si>
  <si>
    <t xml:space="preserve">Remove the first TP 0.039 will take full TP around 0.404</t>
  </si>
  <si>
    <t xml:space="preserve">https://discord.com/channels/1042855255089623100/1501271173588193290/1504285356105662576</t>
  </si>
  <si>
    <t xml:space="preserve">2026-05-14 03:53:31</t>
  </si>
  <si>
    <t xml:space="preserve">moved the SOL stop now that the trade is in profit; he does not state the new level, so no price recorded</t>
  </si>
  <si>
    <t xml:space="preserve">Also modified SOL SL, it's in profits rn so you can adjust</t>
  </si>
  <si>
    <t xml:space="preserve">https://discord.com/channels/1042855255089623100/1501271173588193290/1504285498737164389</t>
  </si>
  <si>
    <t xml:space="preserve">new ENS long at market; the stop is a 1h close under 6.3 rather than a hard level</t>
  </si>
  <si>
    <t xml:space="preserve">Long ENS
Entry: 6.89 CMP 
TP: 7.69
SL: 1h closing under 6.3</t>
  </si>
  <si>
    <t xml:space="preserve">BTC long still open with an average of 79.2k after the DCA filled, running in heavy profit</t>
  </si>
  <si>
    <t xml:space="preserve">BTC avg 79.2k with a DCA running in heavy profits</t>
  </si>
  <si>
    <t xml:space="preserve">https://discord.com/channels/1042855255089623100/1501271173588193290/1504491099048251594</t>
  </si>
  <si>
    <t xml:space="preserve">closes the SOL long in minor profit (91.05 to 91.46, +45.03% at 100x)</t>
  </si>
  <si>
    <t xml:space="preserve">Closing SOL and XRP in minor profits</t>
  </si>
  <si>
    <t xml:space="preserve">closes the XRP long in minor profit (1.4497 to 1.4531, +23.45% at 100x)</t>
  </si>
  <si>
    <t xml:space="preserve">2026-05-14 17:38:18</t>
  </si>
  <si>
    <t xml:space="preserve">holding the BTC long (entry 79284.35, price 80199.50, +108.28% at 100x) hoping for fat profits</t>
  </si>
  <si>
    <t xml:space="preserve">Holding onto these 🤘🏻
Let's pray we enjoy some fat profits on these!</t>
  </si>
  <si>
    <t xml:space="preserve">https://discord.com/channels/1042855255089623100/1501271173588193290/1504493064947761242</t>
  </si>
  <si>
    <t xml:space="preserve">holding the ENS long (entry 6.900, price 7.107, +141.91% at 50x) hoping for fat profits</t>
  </si>
  <si>
    <t xml:space="preserve">2026-05-14 17:47:29</t>
  </si>
  <si>
    <t xml:space="preserve">explains the early XRP exit: the setup was invalidated and price almost touched his SL, so discipline said get out around BE rather than take the full stop - then it broke out anyway and he still expects the target to hit</t>
  </si>
  <si>
    <t xml:space="preserve">As soon as I close XRP it booms, I'm pretty sure this will hit our target I exited early because it invalidated my setup, it almost touched my SL so better to be disciplined and get out around BE, much better than SL at least?</t>
  </si>
  <si>
    <t xml:space="preserve">https://discord.com/channels/1042855255089623100/1501271173588193290/1504495374503776269</t>
  </si>
  <si>
    <t xml:space="preserve">2026-05-14 17:50:31</t>
  </si>
  <si>
    <t xml:space="preserve">BTC is tracking the scenario he posted earlier - dip to 78.5k, bounce, 'clarity' news, pump to 81-82k, then a slow dump back</t>
  </si>
  <si>
    <t xml:space="preserve">clarity news catalyst</t>
  </si>
  <si>
    <t xml:space="preserve">Moving exactly like that isn't it? Higher</t>
  </si>
  <si>
    <t xml:space="preserve">https://discord.com/channels/1042855255089623100/1501271173588193290/1504496137313189919</t>
  </si>
  <si>
    <t xml:space="preserve">closes the BTC long at ~81k for +202.99% at 100x, which he says makes back the losses from both earlier stop-outs</t>
  </si>
  <si>
    <t xml:space="preserve">BTC closed at 81k guys, FATASS PROFITS!
Made profits back from both SLs</t>
  </si>
  <si>
    <t xml:space="preserve">https://discord.com/channels/1042855255089623100/1501271173588193290/1504499241316253918</t>
  </si>
  <si>
    <t xml:space="preserve">2026-05-14 18:03:36</t>
  </si>
  <si>
    <t xml:space="preserve">takes 50% off ENS at 7.171 (+190.71% at 50x) and tells followers they can close the position completely</t>
  </si>
  <si>
    <t xml:space="preserve">Took 50% from this too, you can close completely</t>
  </si>
  <si>
    <t xml:space="preserve">https://discord.com/channels/1042855255089623100/1501271173588193290/1504499432530509967</t>
  </si>
  <si>
    <t xml:space="preserve">2026-05-14 18:04:03</t>
  </si>
  <si>
    <t xml:space="preserve">day recap: 4 wins from 4 trades - small on XRP and SOL, decent on ENS, major on BTC</t>
  </si>
  <si>
    <t xml:space="preserve">4/4 today
2 small wins XRP/SOL
1 decent win ENS
1 MAJOR win BTC</t>
  </si>
  <si>
    <t xml:space="preserve">https://discord.com/channels/1042855255089623100/1501271173588193290/1504499543163797625</t>
  </si>
  <si>
    <t xml:space="preserve">2026-05-14 18:13:38</t>
  </si>
  <si>
    <t xml:space="preserve">posts a second exchange's card for the same BTC long (BloFin 30x, entry 79313.4, exit 80926.4, +61%), pleased that he both survived the dump and called the plan exactly</t>
  </si>
  <si>
    <t xml:space="preserve">Man I'm happy not did I survived the dump but mentioned the plan on point!</t>
  </si>
  <si>
    <t xml:space="preserve">https://discord.com/channels/1042855255089623100/1501271173588193290/1504501955467153569</t>
  </si>
  <si>
    <t xml:space="preserve">2026-05-14 18:13:42</t>
  </si>
  <si>
    <t xml:space="preserve">another closed-PnL card for the same BTC long, this one at 250x for +448.51% ROI; posted with no text</t>
  </si>
  <si>
    <t xml:space="preserve">[IMAGE 043: pnl_share_card | BTCUSDT long 250x ROI 448.51% (closed)]</t>
  </si>
  <si>
    <t xml:space="preserve">https://discord.com/channels/1042855255089623100/1501271173588193290/1504501973599387790</t>
  </si>
  <si>
    <t xml:space="preserve">2026-05-14 18:14:04</t>
  </si>
  <si>
    <t xml:space="preserve">asks members to post their PnLs in the profit-showcase channel</t>
  </si>
  <si>
    <r>
      <rPr>
        <sz val="10"/>
        <rFont val="Arial"/>
        <family val="0"/>
        <charset val="1"/>
      </rPr>
      <t xml:space="preserve">Can I get some PNLs #💲</t>
    </r>
    <r>
      <rPr>
        <sz val="10"/>
        <rFont val="Noto Sans CJK SC"/>
        <family val="2"/>
      </rPr>
      <t xml:space="preserve">｜</t>
    </r>
    <r>
      <rPr>
        <sz val="10"/>
        <rFont val="Arial"/>
        <family val="0"/>
        <charset val="1"/>
      </rPr>
      <t xml:space="preserve">profit-showcase 👉🏻👈🏻</t>
    </r>
  </si>
  <si>
    <t xml:space="preserve">https://discord.com/channels/1042855255089623100/1501271173588193290/1504502065450193088</t>
  </si>
  <si>
    <t xml:space="preserve">2026-05-14 19:03:51</t>
  </si>
  <si>
    <t xml:space="preserve">thanks the community and posts a screen recording scrolling the profit-showcase channel full of member PnL cards (BB, BTC, XRP, ENS, INTC); these are members' results, not his own positions</t>
  </si>
  <si>
    <t xml:space="preserve">Thankyou guys!</t>
  </si>
  <si>
    <t xml:space="preserve">https://discord.com/channels/1042855255089623100/1501271173588193290/1504514593899413596</t>
  </si>
  <si>
    <t xml:space="preserve">2026-05-14 19:04:49</t>
  </si>
  <si>
    <t xml:space="preserve">updated scoreboard: 20 trades, 16 wins (adds SOL, XRP, BTC, ENS), 4 losses (BTC, ETH, BTC, ETH)</t>
  </si>
  <si>
    <t xml:space="preserve">**20 Trades**
**16 Wins** 
(UNI, SNX. BTC. ASTER, KERNEL, ZRO, AVNT, SYRUP, ETH, BTC, ZRO, BTC, SOL, XRP, BTC, ENS)
**4 Losses**
(BTC, ETH, BTC, ETH)</t>
  </si>
  <si>
    <t xml:space="preserve">https://discord.com/channels/1042855255089623100/1501271173588193290/1504514835390529616</t>
  </si>
  <si>
    <t xml:space="preserve">fully out of ENS at 7.135 (+161.15%) after taking the first 50% around 7.2</t>
  </si>
  <si>
    <t xml:space="preserve">Completely out here after taking 50% earlier around 7.2</t>
  </si>
  <si>
    <t xml:space="preserve">https://discord.com/channels/1042855255089623100/1501271173588193290/1504518622083551303</t>
  </si>
  <si>
    <t xml:space="preserve">2026-05-14 20:12:39</t>
  </si>
  <si>
    <t xml:space="preserve">his BTC scenario played out exactly: bounce around 78.5k, then the clarity act pushed price to 82k, the target he called from 79k</t>
  </si>
  <si>
    <t xml:space="preserve">clarity act news pushed BTC to 82k</t>
  </si>
  <si>
    <t xml:space="preserve">Exactly as I mentioned, bounced around 78.5 and clarity act helped us push to 82k, told you at 79k, 82k is coming!</t>
  </si>
  <si>
    <t xml:space="preserve">https://discord.com/channels/1042855255089623100/1501271173588193290/1504531907482882189</t>
  </si>
  <si>
    <t xml:space="preserve">HALF MARGIN TRADE gambling here. Don't lose today's profits on it, go low!</t>
  </si>
  <si>
    <t xml:space="preserve">self-described gamble long on BTC at market, targeting the daily high around 83k or 84k if he sees strength; the 79.5k level is written as 'Sleep: 79.5k' (his wording for the stop)</t>
  </si>
  <si>
    <t xml:space="preserve">Gambled long BTC 
Entry: 81.3k
DCA: 80.8k
Targeting daily high around 83k or maybe 84k if I see strength 
Sleep: 79.5k
HALF MARGIN TRADE gambling here. Don't lose today's profits on it, go low!</t>
  </si>
  <si>
    <t xml:space="preserve">2026-05-14 20:27:21</t>
  </si>
  <si>
    <t xml:space="preserve">clarifies the 81.3k gamble-long entry is at current market price</t>
  </si>
  <si>
    <t xml:space="preserve">https://discord.com/channels/1042855255089623100/1501271173588193290/1504535605772550346</t>
  </si>
  <si>
    <t xml:space="preserve">2026-05-14 21:54:01</t>
  </si>
  <si>
    <t xml:space="preserve">XRP ran to its full target (chart shows the rally to 1.5431) after he had already closed early - he fumbled the trade but says the idea was right</t>
  </si>
  <si>
    <t xml:space="preserve">Fumbled XRP, hit full TP, was a great setup closed early but at least the idea was right!</t>
  </si>
  <si>
    <t xml:space="preserve">https://discord.com/channels/1042855255089623100/1501271173588193290/1504557414853115985</t>
  </si>
  <si>
    <t xml:space="preserve">new HBAR long at market with a 0.1-0.105 target zone and a 0.089 stop</t>
  </si>
  <si>
    <t xml:space="preserve">Long HBAR
Entry: 0.0948 CMP 
TPs: 0.1-0.105
SL: 0.089</t>
  </si>
  <si>
    <t xml:space="preserve">2026-05-15 03:02:54</t>
  </si>
  <si>
    <t xml:space="preserve">Manage your risk as BTC can retrace further</t>
  </si>
  <si>
    <t xml:space="preserve">risk warning attached to the fresh HBAR long: BTC can retrace further, but he expects a slow grind then a weekend Sunday pump that delivers the target</t>
  </si>
  <si>
    <t xml:space="preserve">BTC can retrace further; expects slow grind then a Sunday weekend pump</t>
  </si>
  <si>
    <t xml:space="preserve">Manage your risk as BTC can retrace further though I think we slow grind then weekend Sunday pump and will get the TP</t>
  </si>
  <si>
    <t xml:space="preserve">https://discord.com/channels/1042855255089623100/1501271173588193290/1504635150229700690</t>
  </si>
  <si>
    <t xml:space="preserve">had forgotten about the BB long, closes it early at 0.0371 for +116.46% at 25x rather than waiting for the full target</t>
  </si>
  <si>
    <t xml:space="preserve">Totally forgot about this one, closing early for decent profits</t>
  </si>
  <si>
    <t xml:space="preserve">https://discord.com/channels/1042855255089623100/1501271173588193290/1504639581050638448</t>
  </si>
  <si>
    <t xml:space="preserve">BTC gamble long still open after the BB close</t>
  </si>
  <si>
    <t xml:space="preserve">HBAR and BTC holding now.</t>
  </si>
  <si>
    <t xml:space="preserve">HBAR long still open after the BB close</t>
  </si>
  <si>
    <t xml:space="preserve">The good part was I mentioned use less margin on this</t>
  </si>
  <si>
    <t xml:space="preserve">lost the BTC gamble trade: after entering at 81.3k price went straight to 82k, a good scalp TP he could have taken, but he held out for 83k; blames himself and notes he had told everyone to use less margin</t>
  </si>
  <si>
    <t xml:space="preserve">expects to catch the weekend pump next</t>
  </si>
  <si>
    <t xml:space="preserve">Lost the BTC gamble trade.
My fault there when we longed from 81.3k it immediately went to 82k, a good TP for scalp I could have exit there but was trying for 83k. My mistake on this one. The good part was I mentioned use less margin on this.</t>
  </si>
  <si>
    <t xml:space="preserve">https://discord.com/channels/1042855255089623100/1501271173588193290/1505015882601201765</t>
  </si>
  <si>
    <t xml:space="preserve">new PARTI long at market with a 30% DCA leg; the DCA is written as 0.5860, which looks like a dropped decimal for 0.0586 given the 0.0615 entry (recorded as posted)</t>
  </si>
  <si>
    <t xml:space="preserve">Long PARTI 
Entry: 0.0615 CMP 
DCA: 0.5860 (30%)
TP: 0.07-0.075
SL: 0.0525</t>
  </si>
  <si>
    <t xml:space="preserve">LINK looks good for a long but the market has no strength; conditional - if strength appears you can long from CMP with a 9.6 stop</t>
  </si>
  <si>
    <t xml:space="preserve">LINK looks good for long too but no strength in the market, if you see some strength coming you can long it from CMP with a SL of 9.6</t>
  </si>
  <si>
    <t xml:space="preserve">2026-05-16 04:36:09</t>
  </si>
  <si>
    <t xml:space="preserve">BTC is at 4h support and surviving; to go back above 80k it must not lose the 4h 200 EMA at 77.7k, otherwise 76k. He personally expects a weekend pump to 80k if Saturday does not dump, then down to 76k</t>
  </si>
  <si>
    <t xml:space="preserve">200 EMA, 4h support</t>
  </si>
  <si>
    <t xml:space="preserve">weekend; possible Saturday dump</t>
  </si>
  <si>
    <t xml:space="preserve">**BTC**
If holds here we go 80+ again, for that we shouldn't lose the 200 ema on 4h that is 77.7k, currently we around 4h support so we are surviving 
Personally I think we get a weekend pump to 80k if we don't dump on Saturday, before downwards to 76k</t>
  </si>
  <si>
    <t xml:space="preserve">https://discord.com/channels/1042855255089623100/1501271173588193290/1505021005301547030</t>
  </si>
  <si>
    <t xml:space="preserve">80000, 82000</t>
  </si>
  <si>
    <t xml:space="preserve">conditional limit long if BTC fails to hold and drops toward 76k</t>
  </si>
  <si>
    <t xml:space="preserve">If BTC doesn't hold here we go 76k, the idea for long would be
Limit Long BTC: 76850
TP: 80-82k
SL: 75k</t>
  </si>
  <si>
    <t xml:space="preserve">2026-05-16 04:37:38</t>
  </si>
  <si>
    <t xml:space="preserve">if you like high risk high reward trades</t>
  </si>
  <si>
    <t xml:space="preserve">labels the preceding BTC analysis and limit-long plan as a high risk / high reward idea</t>
  </si>
  <si>
    <t xml:space="preserve">A short simple BTC analysis + a trade plan if you like high risk high reward trades ^</t>
  </si>
  <si>
    <t xml:space="preserve">https://discord.com/channels/1042855255089623100/1501271173588193290/1505021380251488306</t>
  </si>
  <si>
    <t xml:space="preserve">2026-05-16 10:01:12</t>
  </si>
  <si>
    <t xml:space="preserve">expects the weekend reversal zone at 77.7-78.1k and will try a scalp long there; no entry, TP or SL given yet</t>
  </si>
  <si>
    <t xml:space="preserve">Reversal zone for weekend should be 77.7-78.1k, will try a scalp there.</t>
  </si>
  <si>
    <t xml:space="preserve">2026-05-16 10:05:03</t>
  </si>
  <si>
    <t xml:space="preserve">79000, 80000</t>
  </si>
  <si>
    <t xml:space="preserve">re-posts his BTC weekend plan as a screenshot: first reversal zone 77.7-78.1k, a bounce there targets 79-80k, while a 4h close below 77.7k opens 75-76k; posted with no text</t>
  </si>
  <si>
    <t xml:space="preserve">[IMAGE 049: discord_message_screenshot | BTCUSDT (planned) | first reversal zone 77.7-78.1k, bounce targets 79-80k, 4h close below 77.7k opens 75-76k]</t>
  </si>
  <si>
    <t xml:space="preserve">https://discord.com/channels/1042855255089623100/1501271173588193290/1505103774262493225</t>
  </si>
  <si>
    <t xml:space="preserve">Just an idea won't count TP or SL, not an official trade</t>
  </si>
  <si>
    <t xml:space="preserve">low-timeframe (5m) BTC long idea at market for anyone who likes LTF entries; explicitly not counted as an official call</t>
  </si>
  <si>
    <t xml:space="preserve">If anyone like ltf entries (5m)
BTC long CMP (78k) with 77.7 SL 
Just an idea won't count TP or SL, not an official trade.</t>
  </si>
  <si>
    <t xml:space="preserve">low-timeframe (5m) ETH long idea at market for anyone who likes LTF entries; explicitly not counted as an official call</t>
  </si>
  <si>
    <t xml:space="preserve">If anyone like ltf entries (5m)
ETH long CMP (2170) with 2145 SL 
Just an idea won't count TP or SL, not an official trade.</t>
  </si>
  <si>
    <t xml:space="preserve">using 0.5% margin/risk only</t>
  </si>
  <si>
    <t xml:space="preserve">actually takes the ETH LTF long he floated, entering at market with only 0.5% margin/risk and the 2145 stop</t>
  </si>
  <si>
    <t xml:space="preserve">Entered ETH long here using 0.5% margin/risk only
Entry: 2172 CMP 
SL: 2145</t>
  </si>
  <si>
    <t xml:space="preserve">https://discord.com/channels/1042855255089623100/1501271173588193290/1505156836385362011</t>
  </si>
  <si>
    <t xml:space="preserve">2026-05-16 13:36:04</t>
  </si>
  <si>
    <t xml:space="preserve">SCALP and SMALL margin!</t>
  </si>
  <si>
    <t xml:space="preserve">reinforces that the ETH entry is a scalp taken with small margin</t>
  </si>
  <si>
    <t xml:space="preserve">https://discord.com/channels/1042855255089623100/1501271173588193290/1505156880589394030</t>
  </si>
  <si>
    <t xml:space="preserve">2026-05-16 16:07:05</t>
  </si>
  <si>
    <t xml:space="preserve">the bounce is weak and price may go lower; the position is in small profit so anyone who wants out can exit, but he is holding and taking his chance</t>
  </si>
  <si>
    <t xml:space="preserve">not a good bounce so far, probably lower</t>
  </si>
  <si>
    <t xml:space="preserve">Not a good bounce so far probably lower, rn in small profits if anyone wants to exit
I'm taking my chance here.</t>
  </si>
  <si>
    <t xml:space="preserve">https://discord.com/channels/1042855255089623100/1501271173588193290/1505194885337321472</t>
  </si>
  <si>
    <t xml:space="preserve">optional BTC long from current market price with a 76.9k stop because he thinks BTC has bottomed for the weekend; no entry price stated</t>
  </si>
  <si>
    <t xml:space="preserve">weekend bottom</t>
  </si>
  <si>
    <t xml:space="preserve">If anyone wants to try BTC long you can from CMP with SL 76.9k think we bottomed for weekend</t>
  </si>
  <si>
    <t xml:space="preserve">ETH long still running, just moving slowly as usual</t>
  </si>
  <si>
    <t xml:space="preserve">ETH running but shits always the slowest.</t>
  </si>
  <si>
    <t xml:space="preserve">HBAR is grinding back toward his entry, so he intends to close it around breakeven</t>
  </si>
  <si>
    <t xml:space="preserve">HBAR getting around entry slowly will be looking to close around BE</t>
  </si>
  <si>
    <t xml:space="preserve">PARTI average is now 0.606 (written as posted; looks like a dropped decimal for 0.0606 given the 0.0615 entry) and the position is in profit - implies the DCA leg filled</t>
  </si>
  <si>
    <t xml:space="preserve">PARTI avg is 0.606 rn in profits</t>
  </si>
  <si>
    <t xml:space="preserve">2026-05-17 13:34:36</t>
  </si>
  <si>
    <t xml:space="preserve">ETH scalp is past 1R (entry 2173.61, price 2194.45, +90.57% at 100x) so he tells followers to take 25-50% off here</t>
  </si>
  <si>
    <t xml:space="preserve">ETH over 1R, you can take 25-50% here</t>
  </si>
  <si>
    <t xml:space="preserve">https://discord.com/channels/1042855255089623100/1501271173588193290/1505518897707876503</t>
  </si>
  <si>
    <t xml:space="preserve">2026-05-17 13:37:15</t>
  </si>
  <si>
    <t xml:space="preserve">shows the BTC long from his weekend-bottom idea is moving in profit for anyone who took it</t>
  </si>
  <si>
    <t xml:space="preserve">BTC moving too if anyone took that idea</t>
  </si>
  <si>
    <t xml:space="preserve">https://discord.com/channels/1042855255089623100/1501271173588193290/1505519562949394503</t>
  </si>
  <si>
    <t xml:space="preserve">2026-05-17 14:49:14</t>
  </si>
  <si>
    <t xml:space="preserve">entry still valid from here with the same stop, though price is already up from the original entry; SL 76.9k taken from the earlier BTC idea he is replying to</t>
  </si>
  <si>
    <t xml:space="preserve">You can still enter in BTC and ETH here if you want with same SLs though of course both are a bit amount of up from entries</t>
  </si>
  <si>
    <t xml:space="preserve">https://discord.com/channels/1042855255089623100/1501271173588193290/1505537679071383655</t>
  </si>
  <si>
    <t xml:space="preserve">entry still valid from here with the same stop, though price is already up from entry; SL 2145 is the stop from his earlier ETH entry</t>
  </si>
  <si>
    <t xml:space="preserve">the ETH long (entered around 2172 with SL 2145 in an earlier message) came back and closed flat at breakeven; no price restated here</t>
  </si>
  <si>
    <t xml:space="preserve">ETH hit BE</t>
  </si>
  <si>
    <t xml:space="preserve">https://discord.com/channels/1042855255089623100/1501271173588193290/1505734229055766528</t>
  </si>
  <si>
    <t xml:space="preserve">the older HBAR position (he had said he would try to close it around BE) hit its stop instead; no levels restated, side inferred as long from earlier messages</t>
  </si>
  <si>
    <t xml:space="preserve">HBAR hit SL</t>
  </si>
  <si>
    <t xml:space="preserve">https://discord.com/channels/1042855255089623100/1501271173588193290/1505734255437811722</t>
  </si>
  <si>
    <t xml:space="preserve">new BTC long at market with a 75.4k stop; no target given at call time</t>
  </si>
  <si>
    <t xml:space="preserve">Long BTC 
Entry: 77k CMP
SL: 75.4k</t>
  </si>
  <si>
    <t xml:space="preserve">2026-05-18 03:51:10</t>
  </si>
  <si>
    <t xml:space="preserve">planned DCA level for the BTC long: add 50% at 76.4k</t>
  </si>
  <si>
    <t xml:space="preserve">76.4k 50% DCA</t>
  </si>
  <si>
    <t xml:space="preserve">https://discord.com/channels/1042855255089623100/1501271173588193290/1505734461550104678</t>
  </si>
  <si>
    <t xml:space="preserve">2026-05-18 10:35:37</t>
  </si>
  <si>
    <t xml:space="preserve">77800</t>
  </si>
  <si>
    <t xml:space="preserve">contingency instructions because he is busy: take 20-25% around 77.8k if he does not update (portion recorded as the lower bound of 20-25%)</t>
  </si>
  <si>
    <t xml:space="preserve">Busy today, in case I don't update take 20-25% around 77.8k and SL to entry, I'll most likely update!</t>
  </si>
  <si>
    <t xml:space="preserve">https://discord.com/channels/1042855255089623100/1501271173588193290/1505836242095575120</t>
  </si>
  <si>
    <t xml:space="preserve">conditional instruction to move stop to entry after the partial; exact level left null because the 76.4k DCA may change the average entry</t>
  </si>
  <si>
    <t xml:space="preserve">in case I don't update take 20-25% around 77.8k and SL to entry</t>
  </si>
  <si>
    <t xml:space="preserve">2026-05-18 16:24:39</t>
  </si>
  <si>
    <t xml:space="preserve">still in the BTC long, nothing changed</t>
  </si>
  <si>
    <t xml:space="preserve">Still holding BTC, no changes yet</t>
  </si>
  <si>
    <t xml:space="preserve">https://discord.com/channels/1042855255089623100/1501271173588193290/1505924081050980412</t>
  </si>
  <si>
    <t xml:space="preserve">2026-05-18 16:26:01</t>
  </si>
  <si>
    <t xml:space="preserve">explains he runs two kinds of BTC setups - frequent scalps (high win rate, low RR) and swings (low win rate, high RR) - and members can take whichever they prefer; also notes the earlier setup he is replying to was valid and near the bottom</t>
  </si>
  <si>
    <t xml:space="preserve">Probably no one took this but it was nealr bottom and valid
Sometimes I'll have 2 BTC setups, scalps that I do very often (high WR low RR) and swings (low WR high RR) whatever you like can take.</t>
  </si>
  <si>
    <t xml:space="preserve">https://discord.com/channels/1042855255089623100/1501271173588193290/1505924422752669696</t>
  </si>
  <si>
    <t xml:space="preserve">scalp on a shitcoin; stop is a 4h close under 0.00055 or a hard stop at 0.00053 (hard stop recorded in stop_loss)</t>
  </si>
  <si>
    <t xml:space="preserve">Trying a scalp on a shitcoin now
Long BOME
Entry: 0.000599 CMP 
TPs: 0.00064-0.000669
SL: 4h close under 0.00055 or hard SL @ 0.00053</t>
  </si>
  <si>
    <t xml:space="preserve">2026-05-18 17:23:43</t>
  </si>
  <si>
    <t xml:space="preserve">manage your risk</t>
  </si>
  <si>
    <t xml:space="preserve">BOME is holding up even though BTC is dumping, but he warns it can still turn</t>
  </si>
  <si>
    <t xml:space="preserve">BTC dumping</t>
  </si>
  <si>
    <t xml:space="preserve">Bome holding it's place despite BTC dump but you never know so manage your risk.</t>
  </si>
  <si>
    <t xml:space="preserve">https://discord.com/channels/1042855255089623100/1501271173588193290/1505938943630119132</t>
  </si>
  <si>
    <t xml:space="preserve">2026-05-18 17:25:57</t>
  </si>
  <si>
    <t xml:space="preserve">the 76.4k DCA filled, average entry is now 76.7k and the position is in profit; he wants a bounce to 78k (aspiration, not a set target)</t>
  </si>
  <si>
    <t xml:space="preserve">BTC DCA filled (76.7 avg) and in profits, bounce it to 78k now!</t>
  </si>
  <si>
    <t xml:space="preserve">https://discord.com/channels/1042855255089623100/1501271173588193290/1505939506539270207</t>
  </si>
  <si>
    <t xml:space="preserve">new ZEC long at market with targets 580-600 and stop 505</t>
  </si>
  <si>
    <t xml:space="preserve">Long ZEC
Entry: 544 CMP 
TPs: 580-600
SL: 505</t>
  </si>
  <si>
    <t xml:space="preserve">2026-05-19 04:02:19</t>
  </si>
  <si>
    <t xml:space="preserve">if you have a small account close entirely here or just SL to entry and exit at first TP</t>
  </si>
  <si>
    <t xml:space="preserve">banks 25% of the BOME scalp while it is up ~81% ROI; small accounts are told to close fully instead</t>
  </si>
  <si>
    <t xml:space="preserve">Take 25% SL to entry, if you have a small account close entirely here or just SL to entry and exit at first TP.</t>
  </si>
  <si>
    <t xml:space="preserve">https://discord.com/channels/1042855255089623100/1501271173588193290/1506099654516019330</t>
  </si>
  <si>
    <t xml:space="preserve">stop moved to entry after the 25% partial; entry level taken from the share card in the same message (0.0005998)</t>
  </si>
  <si>
    <t xml:space="preserve">Take 25% SL to entry</t>
  </si>
  <si>
    <t xml:space="preserve">2026-05-19 04:26:18</t>
  </si>
  <si>
    <t xml:space="preserve">ZEC running hard so he books 20% and keeps the majority for the 580-600 targets</t>
  </si>
  <si>
    <t xml:space="preserve">ZEC going hard, took 20% SL to entry, saving majority for TPs</t>
  </si>
  <si>
    <t xml:space="preserve">https://discord.com/channels/1042855255089623100/1501271173588193290/1506105688991207505</t>
  </si>
  <si>
    <t xml:space="preserve">stop moved to entry after the 20% partial; entry level taken from the share card in the same message (545.99)</t>
  </si>
  <si>
    <t xml:space="preserve">took 20% SL to entry</t>
  </si>
  <si>
    <t xml:space="preserve">BOME exploded through the first target (0.00064) and he takes profit; he does not say whether this is the remaining position or a further partial</t>
  </si>
  <si>
    <t xml:space="preserve">Well BOME exploded, TP.</t>
  </si>
  <si>
    <t xml:space="preserve">https://discord.com/channels/1042855255089623100/1501271173588193290/1506197374182228020</t>
  </si>
  <si>
    <t xml:space="preserve">Personally took a small position, scalp</t>
  </si>
  <si>
    <t xml:space="preserve">new SUI scalp long at market with stop 1.01, taken small so there is room to add later</t>
  </si>
  <si>
    <t xml:space="preserve">Long SUI
Entry: 1.09 CMP 
SL: 1.01
Personally took a small position, scalp</t>
  </si>
  <si>
    <t xml:space="preserve">2026-05-19 21:04:20</t>
  </si>
  <si>
    <t xml:space="preserve">first ZEC target hit at 581.92 for about 1R and he books the majority of the position there</t>
  </si>
  <si>
    <t xml:space="preserve">ZEC TP hit, around 1R, booked majority here</t>
  </si>
  <si>
    <t xml:space="preserve">https://discord.com/channels/1042855255089623100/1501271173588193290/1506356854207545494</t>
  </si>
  <si>
    <t xml:space="preserve">sets the final exit for the remaining ZEC at 592, inside the original 580-600 target band</t>
  </si>
  <si>
    <t xml:space="preserve">I'll full TP @ 592</t>
  </si>
  <si>
    <t xml:space="preserve">2026-05-20 03:44:06</t>
  </si>
  <si>
    <t xml:space="preserve">Small position so slightly extending SL</t>
  </si>
  <si>
    <t xml:space="preserve">widens the SUI stop from 1.01 to 1.00 because the position is small enough to absorb it</t>
  </si>
  <si>
    <t xml:space="preserve">Moved SUI SL to 1$
Small position so slightly extending SL</t>
  </si>
  <si>
    <t xml:space="preserve">https://discord.com/channels/1042855255089623100/1501271173588193290/1506457455981498471</t>
  </si>
  <si>
    <t xml:space="preserve">2026-05-20 04:16:21</t>
  </si>
  <si>
    <t xml:space="preserve">still holding the DCA'd BTC long (avg 76,704.7) and expecting 78k+ during the day</t>
  </si>
  <si>
    <t xml:space="preserve">Still holding this BTC trade, DCA filled trade, expecting 78k+ today so should give some good good profits!</t>
  </si>
  <si>
    <t xml:space="preserve">https://discord.com/channels/1042855255089623100/1501271173588193290/1506465574434246768</t>
  </si>
  <si>
    <t xml:space="preserve">2026-05-20 08:33:19</t>
  </si>
  <si>
    <t xml:space="preserve">Optional DCA if you're already in heavy don't, I mentioned I'm going small so I have space for DCA</t>
  </si>
  <si>
    <t xml:space="preserve">adds a small 25% DCA to SUI bringing his average to 1.076; the add is optional and only for those not already sized up (add price not stated, 1.076 is the new average)</t>
  </si>
  <si>
    <t xml:space="preserve">Added to SUI more personally, a small 25% DCA, avg is 1.076</t>
  </si>
  <si>
    <t xml:space="preserve">https://discord.com/channels/1042855255089623100/1501271173588193290/1506530241290571798</t>
  </si>
  <si>
    <t xml:space="preserve">2026-05-20 08:38:36</t>
  </si>
  <si>
    <t xml:space="preserve">BTC reclaimed the 200 EMA on lower timeframes after about two days, which he reads as bullish for the open BTC long and supports 78k+</t>
  </si>
  <si>
    <t xml:space="preserve">BTC reclaimed EMA 200 on lower timeframe</t>
  </si>
  <si>
    <t xml:space="preserve">BTC reclaimed EMA 200 on lower tf after like 2 days, expecting 78k+ great for our BTC long!</t>
  </si>
  <si>
    <t xml:space="preserve">https://discord.com/channels/1042855255089623100/1501271173588193290/1506531570474025101</t>
  </si>
  <si>
    <t xml:space="preserve">2026-05-20 09:20:41</t>
  </si>
  <si>
    <t xml:space="preserve">explains the changed average on ZEC: original entry around 540, then he added a lot at 582 on strength; symbol inferred from the surrounding ZEC messages</t>
  </si>
  <si>
    <t xml:space="preserve">The original entry was from 540 I saw strength and added alot at 582 hence the avg changed.</t>
  </si>
  <si>
    <t xml:space="preserve">https://discord.com/channels/1042855255089623100/1501271173588193290/1506542162765025323</t>
  </si>
  <si>
    <t xml:space="preserve">final ZEC target at 592 filled and he is fully out, even though he thinks it can go higher</t>
  </si>
  <si>
    <t xml:space="preserve">ZEC full TP hit @ 592, I believe this will go higher but happy here exiting.</t>
  </si>
  <si>
    <t xml:space="preserve">https://discord.com/channels/1042855255089623100/1501271173588193290/1506542187435786396</t>
  </si>
  <si>
    <t xml:space="preserve">2026-05-20 09:20:54</t>
  </si>
  <si>
    <t xml:space="preserve">share card only, no text: the added ZEC leg (entry 580.25) closed at 591.75 for +148.59%, right at his 592 full-TP level</t>
  </si>
  <si>
    <t xml:space="preserve">[IMAGE 057: pnl_share_card | ZECUSDT long 75x entry 580.25 close 591.75 ROI 148.59% (closed)]</t>
  </si>
  <si>
    <t xml:space="preserve">https://discord.com/channels/1042855255089623100/1501271173588193290/1506542215424376922</t>
  </si>
  <si>
    <t xml:space="preserve">2026-05-20 09:20:57</t>
  </si>
  <si>
    <t xml:space="preserve">verbatim repost of msg 163 explaining the ZEC average (entry from 540, added a lot at 582); logged as an update rather than a second DCA so the add is not counted twice</t>
  </si>
  <si>
    <t xml:space="preserve">https://discord.com/channels/1042855255089623100/1501271173588193290/1506542229274230875</t>
  </si>
  <si>
    <t xml:space="preserve">2026-05-20 16:23:21</t>
  </si>
  <si>
    <t xml:space="preserve">BTC long is already around 1R; members can take partials whenever they like but he personally avoids partials, especially on BTC</t>
  </si>
  <si>
    <t xml:space="preserve">Guys BTC already have moved around 1R, I'm trying for around 78.5k around but don't wait for me you can take partials as you like. I personally avoid partials especially on BTC</t>
  </si>
  <si>
    <t xml:space="preserve">https://discord.com/channels/1042855255089623100/1501271173588193290/1506648527345025034</t>
  </si>
  <si>
    <t xml:space="preserve">78500</t>
  </si>
  <si>
    <t xml:space="preserve">first target given for this BTC long (the original call had no TP): he is holding for roughly 78.5k</t>
  </si>
  <si>
    <t xml:space="preserve">I'm trying for around 78.5k around but don't wait for me</t>
  </si>
  <si>
    <t xml:space="preserve">new BONK long at market with a first target at 0.6323 and stop 0.578 (levels quoted in his own price scale; his later share card for the same trade is 1000BONKUSDT at 1/100 of these numbers)</t>
  </si>
  <si>
    <t xml:space="preserve">Long BONK 
Entry: .614 CMP 
First TP @ .6323
SL: .578</t>
  </si>
  <si>
    <t xml:space="preserve">2026-05-20 20:41:09</t>
  </si>
  <si>
    <t xml:space="preserve">apologises that the posted entry may be off because of a sharp pump; take only a small amount of profit at the level already given (0.6323) and he will post when he takes a proper TP or exits</t>
  </si>
  <si>
    <t xml:space="preserve">Wicked pump sorry if entry is off, btw take a small amount of TP like where mentioned, I'll update where I take a proper TP or exit</t>
  </si>
  <si>
    <t xml:space="preserve">https://discord.com/channels/1042855255089623100/1501271173588193290/1506713408471568406</t>
  </si>
  <si>
    <t xml:space="preserve">fully out of the BTC long at 77,826.3 for over 1R; the DCA fill made it a big win (r_multiple recorded as 1.0 for his 'over 1R')</t>
  </si>
  <si>
    <t xml:space="preserve">BTC closed here, over 1R + with a DCA great profits for me</t>
  </si>
  <si>
    <t xml:space="preserve">https://discord.com/channels/1042855255089623100/1501271173588193290/1506831598707019827</t>
  </si>
  <si>
    <t xml:space="preserve">2026-05-21 05:03:46</t>
  </si>
  <si>
    <t xml:space="preserve">1.14, 1.23</t>
  </si>
  <si>
    <t xml:space="preserve">first targets for the SUI long (the call had none): he will exit at 1.14, with 1.23 as a second target for anyone holding longer</t>
  </si>
  <si>
    <t xml:space="preserve">SUI running really well too, I'll TP @ 1.14
TP2 @ 1.23 if someone likes to hold longer</t>
  </si>
  <si>
    <t xml:space="preserve">https://discord.com/channels/1042855255089623100/1501271173588193290/1506839893358284901</t>
  </si>
  <si>
    <t xml:space="preserve">1.14</t>
  </si>
  <si>
    <t xml:space="preserve">SUI TP1 at 1.14 filled immediately after he posted it; the card shows the position closed at exactly 1.14</t>
  </si>
  <si>
    <t xml:space="preserve">SUI TP got hit immediately after this message.
Good start of the day!</t>
  </si>
  <si>
    <t xml:space="preserve">https://discord.com/channels/1042855255089623100/1501271173588193290/1506853391668613170</t>
  </si>
  <si>
    <t xml:space="preserve">2026-05-21 05:57:39</t>
  </si>
  <si>
    <t xml:space="preserve">second share card showing the DCA'd leg of the same SUI long (entry 1.0481) closed at 1.1401 for +877.77%</t>
  </si>
  <si>
    <t xml:space="preserve">Entry from my DCA</t>
  </si>
  <si>
    <t xml:space="preserve">https://discord.com/channels/1042855255089623100/1501271173588193290/1506853455929544744</t>
  </si>
  <si>
    <t xml:space="preserve">2026-05-21 06:14:08</t>
  </si>
  <si>
    <t xml:space="preserve">shares a DM exchange explaining his trade-management philosophy: he does not take partials and exits 100% at TP1, presented as his own style rather than a rule others must follow</t>
  </si>
  <si>
    <t xml:space="preserve">Someone asked this in my DMs why I don't like taking partials so putting it here is my point of view, of course you don't have to agree just my style.</t>
  </si>
  <si>
    <t xml:space="preserve">https://discord.com/channels/1042855255089623100/1501271173588193290/1506857601235816518</t>
  </si>
  <si>
    <t xml:space="preserve">2026-05-21 06:15:13</t>
  </si>
  <si>
    <t xml:space="preserve">thanks members for the DMs and kind words about his work</t>
  </si>
  <si>
    <t xml:space="preserve">Also guys I have received a dozen of DMs since last week about my work, I just wanted to say thank you very much for the sweet words, you all are too kind</t>
  </si>
  <si>
    <t xml:space="preserve">https://discord.com/channels/1042855255089623100/1501271173588193290/1506857874087743569</t>
  </si>
  <si>
    <t xml:space="preserve">2026-05-21 08:48:14</t>
  </si>
  <si>
    <t xml:space="preserve">bullish bias on BTC into the weekend, expecting to stay long until the 24th-25th</t>
  </si>
  <si>
    <t xml:space="preserve">I'm bullish on BTC until the weekend now let's stay till 24-25th.</t>
  </si>
  <si>
    <t xml:space="preserve">https://discord.com/channels/1042855255089623100/1501271173588193290/1506896383414767636</t>
  </si>
  <si>
    <t xml:space="preserve">new BTC long with a planned DCA at 76k and stop 75.3k; no target at call time</t>
  </si>
  <si>
    <t xml:space="preserve">Long BTC 
Entry: 77k
DCA: 76k
SL: 75.3k</t>
  </si>
  <si>
    <t xml:space="preserve">2026-05-21 15:31:50</t>
  </si>
  <si>
    <t xml:space="preserve">clarifies that the 77k entry in the previous call is at current market price</t>
  </si>
  <si>
    <t xml:space="preserve">https://discord.com/channels/1042855255089623100/1501271173588193290/1506997952126783499</t>
  </si>
  <si>
    <t xml:space="preserve">2026-05-21 15:52:18</t>
  </si>
  <si>
    <t xml:space="preserve">target for the new BTC long is 78k+ (approximate, he says '78+'), the same setup as the previous BTC trade repeating</t>
  </si>
  <si>
    <t xml:space="preserve">Targeting 78+ again, it's the same last setup playing again</t>
  </si>
  <si>
    <t xml:space="preserve">https://discord.com/channels/1042855255089623100/1501271173588193290/1507003100982939788</t>
  </si>
  <si>
    <t xml:space="preserve">2026-05-21 20:21:34</t>
  </si>
  <si>
    <t xml:space="preserve">posts the open BTC long at +153.7% to answer chat claims that he is getting rekt for being long while everyone else shorts</t>
  </si>
  <si>
    <t xml:space="preserve">everyone else is shorting</t>
  </si>
  <si>
    <t xml:space="preserve">I saw some in chat saying I'm getting rekt because everyone else is shorting</t>
  </si>
  <si>
    <t xml:space="preserve">https://discord.com/channels/1042855255089623100/1501271173588193290/1507070864791703704</t>
  </si>
  <si>
    <t xml:space="preserve">2026-05-21 20:23:21</t>
  </si>
  <si>
    <t xml:space="preserve">Or just 10% as your fee and SL to entry to be safe</t>
  </si>
  <si>
    <t xml:space="preserve">guidance only - he has not taken profit himself, but members can TP as they like or bank 10% to cover fees and move the stop to the 77k call entry</t>
  </si>
  <si>
    <t xml:space="preserve">I didn't TP but TP as you like
Or just 10% as your fee and SL to entry to be safe</t>
  </si>
  <si>
    <t xml:space="preserve">https://discord.com/channels/1042855255089623100/1501271173588193290/1507071314186473502</t>
  </si>
  <si>
    <t xml:space="preserve">2026-05-21 21:56:58</t>
  </si>
  <si>
    <t xml:space="preserve">he did not move his own stop to entry; he will let the setup play out to either the stop or the target at 78.4k+</t>
  </si>
  <si>
    <t xml:space="preserve">Personally didn't move SL to entry, will play full setup either SL or TP (78.4k+)</t>
  </si>
  <si>
    <t xml:space="preserve">https://discord.com/channels/1042855255089623100/1501271173588193290/1507094872606113904</t>
  </si>
  <si>
    <t xml:space="preserve">new WLD long with two entry options - 0.279 on limit or 0.284 at market (0.279 recorded in dca_price as the lower limit fill); stop is tighter than he usually keeps it</t>
  </si>
  <si>
    <t xml:space="preserve">Long WLD
Entry: 0.279 or 0.284 CMP 
TP: 0.3-0.32
SL: 0.265
Risky because I kept SL closer than usual but worth a shot</t>
  </si>
  <si>
    <t xml:space="preserve">2026-05-22 11:59:59</t>
  </si>
  <si>
    <t xml:space="preserve">explains how members can get his notification role (react with the crystal ball in the get-notifications channel)</t>
  </si>
  <si>
    <r>
      <rPr>
        <sz val="10"/>
        <rFont val="Arial"/>
        <family val="0"/>
        <charset val="1"/>
      </rPr>
      <t xml:space="preserve">Also a couple of DMs regarding not getting my notifications , or how to get them, you go and take it from #🐐</t>
    </r>
    <r>
      <rPr>
        <sz val="10"/>
        <rFont val="Noto Sans CJK SC"/>
        <family val="2"/>
      </rPr>
      <t xml:space="preserve">｜</t>
    </r>
    <r>
      <rPr>
        <sz val="10"/>
        <rFont val="Arial"/>
        <family val="0"/>
        <charset val="1"/>
      </rPr>
      <t xml:space="preserve">get-notifications</t>
    </r>
  </si>
  <si>
    <t xml:space="preserve">https://discord.com/channels/1042855255089623100/1501271173588193290/1507307024482959431</t>
  </si>
  <si>
    <t xml:space="preserve">new XPL long at market with target 0.0946 and stop 0.0836</t>
  </si>
  <si>
    <t xml:space="preserve">Long XPL
Entry: 0.089 CMP 
TP: 0.0946
SL: 0.0836</t>
  </si>
  <si>
    <t xml:space="preserve">2026-05-22 16:02:49</t>
  </si>
  <si>
    <t xml:space="preserve">BONK first target hit but he only books 20-25% and keeps the majority running (portion recorded as the lower bound); the share card is 1000BONKUSDT so its prices are 1/100 of the 0.614/0.6323 levels he quoted in the call</t>
  </si>
  <si>
    <t xml:space="preserve">BONK TP1, taking 20-25% only saving majority</t>
  </si>
  <si>
    <t xml:space="preserve">https://discord.com/channels/1042855255089623100/1501271173588193290/1507368138889494681</t>
  </si>
  <si>
    <t xml:space="preserve">2026-05-22 16:05:16</t>
  </si>
  <si>
    <t xml:space="preserve">I have 3 trades running here so imma hold myself</t>
  </si>
  <si>
    <t xml:space="preserve">SUI looks very good on the daily but he is passing on it because he already has three trades open</t>
  </si>
  <si>
    <t xml:space="preserve">Ngl SUI looks too good on daily but I have 3 trades running here so imma hold myself</t>
  </si>
  <si>
    <t xml:space="preserve">new AVAX long at market, target 10, stop 9.13; a slow mover but constructive on all timeframes</t>
  </si>
  <si>
    <t xml:space="preserve">Long AVAX
Entry: 9.569 CMP
TP: 10
SL: 9.13
Slow mover but looks good on all TFs</t>
  </si>
  <si>
    <t xml:space="preserve">2026-05-22 16:20:32</t>
  </si>
  <si>
    <t xml:space="preserve">flags AVAX as probably the last signal of the week after a non-stop run of calls</t>
  </si>
  <si>
    <t xml:space="preserve">Probably last signal of the week, we have been on a non stop streak</t>
  </si>
  <si>
    <t xml:space="preserve">https://discord.com/channels/1042855255089623100/1501271173588193290/1507372597388775555</t>
  </si>
  <si>
    <t xml:space="preserve">2026-05-22 16:41:48</t>
  </si>
  <si>
    <t xml:space="preserve">WLD came within 0.002 of the target without filling, so he tells members to bank 25-50% here; 1.5R measured from the 0.279 limit entry and 0.9R from the 0.284 CMP entry (portion recorded as the lower bound)</t>
  </si>
  <si>
    <t xml:space="preserve">WLD missed TP by 0.002, almost missed TP, moved up 1.5 R from limit, up 0.9 from CMP 
Take 25-50% SL to entry</t>
  </si>
  <si>
    <t xml:space="preserve">https://discord.com/channels/1042855255089623100/1501271173588193290/1507377949874192516</t>
  </si>
  <si>
    <t xml:space="preserve">stop to entry after the partial; entry taken as 0.284 from the share card in this message (limit entrants would use 0.279)</t>
  </si>
  <si>
    <t xml:space="preserve">Take 25-50% SL to entry</t>
  </si>
  <si>
    <t xml:space="preserve">2026-05-22 16:42:21</t>
  </si>
  <si>
    <t xml:space="preserve">anyone filled on the 0.279 limit is already above 1R and can simply close the whole position here</t>
  </si>
  <si>
    <t xml:space="preserve">If you're in from limit you can just close as it's above 1R</t>
  </si>
  <si>
    <t xml:space="preserve">https://discord.com/channels/1042855255089623100/1501271173588193290/1507378088286093382</t>
  </si>
  <si>
    <t xml:space="preserve">first WLD target filled - 1.5R from the limit entry, 1R from CMP - and he closes his whole position, though he thinks the weekend may reach the full target; exact TP price not restated (his earlier '0.002 from TP' comment does not line up with the 0.3-0.32 band from the call)</t>
  </si>
  <si>
    <t xml:space="preserve">TP hit 1.5R from limit, 1R from CMP 
I'm out at first TP but confident weekend might give us ful TP</t>
  </si>
  <si>
    <t xml:space="preserve">https://discord.com/channels/1042855255089623100/1501271173588193290/1507406648829022390</t>
  </si>
  <si>
    <t xml:space="preserve">apologises for a couple of stop-losses taken on the overnight crash and says he will take 3 wins to make the losses back before the break he had planned</t>
  </si>
  <si>
    <t xml:space="preserve">crash last night</t>
  </si>
  <si>
    <t xml:space="preserve">Guys we had a couple stop losses on the crash last night, I apologize 
BTC hurt especially since it missed our TP by 200$ many times.
I was supposed to take a break this week but will get 3 wins before taking a break to make it back.</t>
  </si>
  <si>
    <t xml:space="preserve">https://discord.com/channels/1042855255089623100/1501271173588193290/1507614008528867399</t>
  </si>
  <si>
    <t xml:space="preserve">the BTC long (entry 77k, SL 75.3k from msg 177) was one of the stops on the overnight crash - it repeatedly came within about $200 of the target before reversing; loss is implied rather than stated outright, and he later says they will 'make our BTC SL back'</t>
  </si>
  <si>
    <t xml:space="preserve">we had a couple stop losses on the crash last night ... BTC hurt especially since it missed our TP by 200$ many times.</t>
  </si>
  <si>
    <t xml:space="preserve">Short BEAT (risky) ... Risk setup</t>
  </si>
  <si>
    <t xml:space="preserve">risky short but the target is worth almost 2R (r_multiple here is the planned R of the target, not a realised result)</t>
  </si>
  <si>
    <t xml:space="preserve">Short BEAT (risky)
Entry: 1.286 CMP 
TP: 1.08
SL: 1.39
Risk setup but almost 2R TP, double TP, worth a shot!</t>
  </si>
  <si>
    <t xml:space="preserve">2026-05-23 09:21:38</t>
  </si>
  <si>
    <t xml:space="preserve">books 60% of the BEAT short at 1.5R specifically to recover one previous stop-loss</t>
  </si>
  <si>
    <t xml:space="preserve">Up 1.5R, took 60% to recover 1SL</t>
  </si>
  <si>
    <t xml:space="preserve">https://discord.com/channels/1042855255089623100/1501271173588193290/1507629563000258671</t>
  </si>
  <si>
    <t xml:space="preserve">2026-05-23 09:28:32</t>
  </si>
  <si>
    <t xml:space="preserve">moves the stop into profit at 1.27 on the remaining BEAT short (below the 1.286 short entry); symbol inferred from the immediately preceding BEAT messages</t>
  </si>
  <si>
    <t xml:space="preserve">Just move SL in profits @ 1.27</t>
  </si>
  <si>
    <t xml:space="preserve">https://discord.com/channels/1042855255089623100/1501271173588193290/1507631301753045062</t>
  </si>
  <si>
    <t xml:space="preserve">new JCT short at market taken on half the usual risk</t>
  </si>
  <si>
    <t xml:space="preserve">Short JCT
Entry: 0.004 CMP 
TP: 0.00369
SL: 0.00426
Half risk trade</t>
  </si>
  <si>
    <t xml:space="preserve">2026-05-23 10:35:23</t>
  </si>
  <si>
    <t xml:space="preserve">waiting for BTC at 74k to go long and make back the BTC stop-loss</t>
  </si>
  <si>
    <t xml:space="preserve">Waiting for 74k for long, we will make our BTC SL back!</t>
  </si>
  <si>
    <t xml:space="preserve">2026-05-23 10:35:58</t>
  </si>
  <si>
    <t xml:space="preserve">expects BTC to trade down into 72-74k first and then rally to the high 80s</t>
  </si>
  <si>
    <t xml:space="preserve">**I see 72-74k then high 80s**</t>
  </si>
  <si>
    <t xml:space="preserve">https://discord.com/channels/1042855255089623100/1501271173588193290/1507648270132838521</t>
  </si>
  <si>
    <t xml:space="preserve">2026-05-23 10:39:06</t>
  </si>
  <si>
    <t xml:space="preserve">No longs before 74k</t>
  </si>
  <si>
    <t xml:space="preserve">rule for the group: no long entries until BTC reaches 74k</t>
  </si>
  <si>
    <t xml:space="preserve">https://discord.com/channels/1042855255089623100/1501271173588193290/1507649058225913898</t>
  </si>
  <si>
    <t xml:space="preserve">tempted to short ATOM as well but holds off because BTC is approaching its bounce zone</t>
  </si>
  <si>
    <t xml:space="preserve">Kinda wanna short ATOM too but BTC approaching bounce zone</t>
  </si>
  <si>
    <t xml:space="preserve">Manual close so small margin!</t>
  </si>
  <si>
    <t xml:space="preserve">new HYPE long at market; stop is a 4h close under 53.9 which has to be managed manually, so size small</t>
  </si>
  <si>
    <t xml:space="preserve">Long HYPE
Entry: 54.8 CMP 
TP: 56.4
SL: 4h close under 53.9
Manual close so small margin!</t>
  </si>
  <si>
    <t xml:space="preserve">2026-05-23 10:46:50</t>
  </si>
  <si>
    <t xml:space="preserve">clarifies that the 54.8 entry on the HYPE call is current market price</t>
  </si>
  <si>
    <t xml:space="preserve">54.8 is CMP ^</t>
  </si>
  <si>
    <t xml:space="preserve">https://discord.com/channels/1042855255089623100/1501271173588193290/1507651004567650516</t>
  </si>
  <si>
    <t xml:space="preserve">2026-05-23 10:52:47</t>
  </si>
  <si>
    <t xml:space="preserve">take 10-20% MAX!</t>
  </si>
  <si>
    <t xml:space="preserve">JCT dumped nearly 0.5R so he takes only 10% off and secures his shorts generally, because BTC may bounce from here</t>
  </si>
  <si>
    <t xml:space="preserve">BTC may bounce</t>
  </si>
  <si>
    <t xml:space="preserve">JCT dumped nearly 0.5 R, taking 10% only, SL to entry.
BTC may bounce so securinh my shorts, take 10-20% MAX!</t>
  </si>
  <si>
    <t xml:space="preserve">https://discord.com/channels/1042855255089623100/1501271173588193290/1507652503599059055</t>
  </si>
  <si>
    <t xml:space="preserve">stop moved to entry (0.004, the call entry and the share-card entry) after the 10% partial</t>
  </si>
  <si>
    <t xml:space="preserve">taking 10% only, SL to entry.</t>
  </si>
  <si>
    <t xml:space="preserve">2026-05-23 10:54:34</t>
  </si>
  <si>
    <t xml:space="preserve">regrets not taking the ATOM short he had mentioned 14 minutes earlier; no position was opened</t>
  </si>
  <si>
    <t xml:space="preserve">Should have shorted</t>
  </si>
  <si>
    <t xml:space="preserve">https://discord.com/channels/1042855255089623100/1501271173588193290/1507652952238592060</t>
  </si>
  <si>
    <t xml:space="preserve">2026-05-23 10:57:00</t>
  </si>
  <si>
    <t xml:space="preserve">HYPE already 0.5R in profit shortly after the call</t>
  </si>
  <si>
    <t xml:space="preserve">And HYPE 0.5 R up</t>
  </si>
  <si>
    <t xml:space="preserve">https://discord.com/channels/1042855255089623100/1501271173588193290/1507653565022212139</t>
  </si>
  <si>
    <t xml:space="preserve">2026-05-23 10:57:21</t>
  </si>
  <si>
    <t xml:space="preserve">notes his own HYPE fill came after he posted the call (54.991 on his card versus the 54.8 posted), so followers likely have a better entry; symbol from the surrounding HYPE messages</t>
  </si>
  <si>
    <t xml:space="preserve">I entered late after posting, you probably have better entry!</t>
  </si>
  <si>
    <t xml:space="preserve">https://discord.com/channels/1042855255089623100/1501271173588193290/1507653652318519346</t>
  </si>
  <si>
    <t xml:space="preserve">Half risk</t>
  </si>
  <si>
    <t xml:space="preserve">new SUI long on half risk: BTC is weak but he expects a relief bounce</t>
  </si>
  <si>
    <t xml:space="preserve">BTC is weak but expecting relief</t>
  </si>
  <si>
    <t xml:space="preserve">Long SUI
Entry: 1
TPs: 1.05-1.11
SL: 0.95
Half risk BTC is weak but expecting releif</t>
  </si>
  <si>
    <t xml:space="preserve">https://discord.com/channels/1042855255089623100/1501271173588193290/1507657771883958352</t>
  </si>
  <si>
    <t xml:space="preserve">fully out of HYPE at 1.2R</t>
  </si>
  <si>
    <t xml:space="preserve">HYPE up 1.2R, I'm out here</t>
  </si>
  <si>
    <t xml:space="preserve">https://discord.com/channels/1042855255089623100/1501271173588193290/1507666989454200832</t>
  </si>
  <si>
    <t xml:space="preserve">gives 58 as the next target for anyone who stays in HYPE after he exits</t>
  </si>
  <si>
    <t xml:space="preserve">but 58 next TP for those holding</t>
  </si>
  <si>
    <t xml:space="preserve">day recap: BEAT netted 1R and HYPE 1.2R, which recovered the previous day's AVAX and XPL losses; the BTC stop is still to be made back and he expects to do it with the open SUI long</t>
  </si>
  <si>
    <t xml:space="preserve">BEAT moved 2R then hit BE, we took 1R out of it
HYPE 1.2 R
Recovered yesterday's AVAX+XPL loss, BTC we do it soon with SUI</t>
  </si>
  <si>
    <t xml:space="preserve">https://discord.com/channels/1042855255089623100/1501271173588193290/1507667274885103696</t>
  </si>
  <si>
    <t xml:space="preserve">retroactive confirmation that the AVAX long from msg 188 was a loser on the overnight crash; no exit price or R given</t>
  </si>
  <si>
    <t xml:space="preserve">Recovered yesterday's AVAX+XPL loss</t>
  </si>
  <si>
    <t xml:space="preserve">BEAT ran 2R then came back and closed at breakeven; because he had banked 60% at 1.5R the trade still netted about 1R</t>
  </si>
  <si>
    <t xml:space="preserve">BEAT moved 2R then hit BE, we took 1R out of it</t>
  </si>
  <si>
    <t xml:space="preserve">retroactive confirmation that the XPL long from msg 185 was a loser on the overnight crash; no exit price or R given</t>
  </si>
  <si>
    <t xml:space="preserve">2026-05-23 11:59:29</t>
  </si>
  <si>
    <t xml:space="preserve">BE didn't hit so he is still in JCT; moves the target to 0.00375 (1R). Adds that the setup is no longer valid to enter because the SL now sits at entry (0.004).</t>
  </si>
  <si>
    <t xml:space="preserve">Still in JCT BE didn't hit, moving TP to 0.00375 (1R) and no it's not valid since SL is @ 0.004</t>
  </si>
  <si>
    <t xml:space="preserve">https://discord.com/channels/1042855255089623100/1501271173588193290/1507669287152783431</t>
  </si>
  <si>
    <t xml:space="preserve">2026-05-23 16:15:56</t>
  </si>
  <si>
    <t xml:space="preserve">Share card of the open SUI long showing it approaching 1R (ROI% is not R for him).</t>
  </si>
  <si>
    <t xml:space="preserve">1R soon!</t>
  </si>
  <si>
    <t xml:space="preserve">https://discord.com/channels/1042855255089623100/1501271173588193290/1507733827601301525</t>
  </si>
  <si>
    <t xml:space="preserve">2026-05-23 16:36:55</t>
  </si>
  <si>
    <t xml:space="preserve">I risk 1-2% on ALTs and 3-5% on BTC trades</t>
  </si>
  <si>
    <t xml:space="preserve">Explains R in the simplest way (1R = profit equal to the stop-loss distance, ROI% irrelevant), using the closed BEAT short (ran 2R, TP taken at 1.7R) and the live SUI long (entry 1, SL 0.95) as examples, and states his risk per trade.</t>
  </si>
  <si>
    <t xml:space="preserve">For those who don't know what is R, I tried explaining in the simplest way! Also guys, I risk 1-2% on ALTs and 3-5% on BTC trades</t>
  </si>
  <si>
    <t xml:space="preserve">https://discord.com/channels/1042855255089623100/1501271173588193290/1507739108884348969</t>
  </si>
  <si>
    <t xml:space="preserve">2026-05-23 16:38:14</t>
  </si>
  <si>
    <t xml:space="preserve">1-2% ALTs 3% BTC</t>
  </si>
  <si>
    <t xml:space="preserve">Tells followers to size every trade with a position-size calculator - promises they end monthly profitable and never get liquidated if they do.</t>
  </si>
  <si>
    <t xml:space="preserve">Also guys I take my trade using risk calculators such as https://infinityalgo.com/tools/calculators/position-size-calculator Learn to use risk calculator and I PROMISE YOU, YOU'LL END MONTHLY PROFITABLE WITH ME AND NEVER EVER GET LIQUIDATED. 1-2% ALTs 3% BTC</t>
  </si>
  <si>
    <t xml:space="preserve">https://discord.com/channels/1042855255089623100/1501271173588193290/1507739436178341980</t>
  </si>
  <si>
    <t xml:space="preserve">2026-05-23 16:39:04</t>
  </si>
  <si>
    <t xml:space="preserve">Disclaims any promotion of the linked calculator - any risk calculator from the play store or web works.</t>
  </si>
  <si>
    <t xml:space="preserve">Not promoting anything here there are many risk calculators on play store or website you can use whatever you want</t>
  </si>
  <si>
    <t xml:space="preserve">https://discord.com/channels/1042855255089623100/1501271173588193290/1507739649614024926</t>
  </si>
  <si>
    <t xml:space="preserve">2026-05-23 16:41:42</t>
  </si>
  <si>
    <t xml:space="preserve">Step-by-step of the position-size calculator (wallet, risk %, entry and SL -&gt; position size, then enter that size manually on the exchange), demonstrated with his SUI trade: 1% risk, entry 1, SL 0.95.</t>
  </si>
  <si>
    <t xml:space="preserve">How to use it? Step1: Write your wallet Step2: Write your risk % Step3: Write your Entry SL Step4: It gives you a position size, how much coins or margin to long Step5: Go to your exchange manually write down the coins or margin</t>
  </si>
  <si>
    <t xml:space="preserve">https://discord.com/channels/1042855255089623100/1501271173588193290/1507740311013818418</t>
  </si>
  <si>
    <t xml:space="preserve">2026-05-23 16:42:48</t>
  </si>
  <si>
    <t xml:space="preserve">Shows where to enter the calculated size on the exchange - set the order 'by amount'; he demonstrates on Blofin but says every exchange has the same setting.</t>
  </si>
  <si>
    <t xml:space="preserve">Go to your exchanges and set by amount I'm doing this on blofin but every exchange has it the same.</t>
  </si>
  <si>
    <t xml:space="preserve">https://discord.com/channels/1042855255089623100/1501271173588193290/1507740588563370145</t>
  </si>
  <si>
    <t xml:space="preserve">2026-05-23 16:43:34</t>
  </si>
  <si>
    <t xml:space="preserve">you don't have to worry how much leverage to use, you can use even 500x as long as you're writing down the same amount</t>
  </si>
  <si>
    <t xml:space="preserve">Point of the educational series: if the position size is fixed by the calculator, the leverage used is irrelevant to risk.</t>
  </si>
  <si>
    <t xml:space="preserve">A bit if educational posts, simplest way to risk management it can't get any easier. If you use this way you don't have to worry how much leverage to use, you can use even 500x as long as you're writing down the same amount!</t>
  </si>
  <si>
    <t xml:space="preserve">https://discord.com/channels/1042855255089623100/1501271173588193290/1507740779462787102</t>
  </si>
  <si>
    <t xml:space="preserve">2026-05-23 16:44:20</t>
  </si>
  <si>
    <t xml:space="preserve">Wants the risk-management posts pinned by John so new members can always find them.</t>
  </si>
  <si>
    <t xml:space="preserve">I'll ask John if he can pin these so new or those who missed can always check how to easily manage risk!</t>
  </si>
  <si>
    <t xml:space="preserve">https://discord.com/channels/1042855255089623100/1501271173588193290/1507740971306193050</t>
  </si>
  <si>
    <t xml:space="preserve">2026-05-23 16:48:09</t>
  </si>
  <si>
    <t xml:space="preserve">Half risk BTC is weak but expecting releif</t>
  </si>
  <si>
    <t xml:space="preserve">Re-surfaces the SUI long call as his only running trade for anyone who missed it; levels come from the quoted original call.</t>
  </si>
  <si>
    <t xml:space="preserve">BTC is weak but he expects relief</t>
  </si>
  <si>
    <t xml:space="preserve">Only running trade in case you missed ^</t>
  </si>
  <si>
    <t xml:space="preserve">https://discord.com/channels/1042855255089623100/1501271173588193290/1507741935241003188</t>
  </si>
  <si>
    <t xml:space="preserve">2026-05-23 16:54:27</t>
  </si>
  <si>
    <t xml:space="preserve">don't follow it on main account I'll try to risk 10-20% which isn't healthy for your main wallet</t>
  </si>
  <si>
    <t xml:space="preserve">Found an 89.36 USDT account and will run a for-fun BTC-scalps-only 2x challenge on it because many asked for a funded/2x challenge; explicitly not to be copied on main accounts.</t>
  </si>
  <si>
    <t xml:space="preserve">I found this today in some account, for fun I'll do BTC scalp trades only on this and let's see if we can double it by BTC scalps only, alot of you have requested a 2x or funded challenge. Nothing serious just for fun, don't follow it on main account I'll try to risk 10-20% which isn't healthy for your main wallet. BTC trades only and we will try for 2x</t>
  </si>
  <si>
    <t xml:space="preserve">https://discord.com/channels/1042855255089623100/1501271173588193290/1507743520738381854</t>
  </si>
  <si>
    <t xml:space="preserve">First scalp of the 89 USDT challenge account: BTC long 0.0090 BTC at 75,166.5 with stop 72,200 and no TP set.</t>
  </si>
  <si>
    <t xml:space="preserve">First scalp trade.</t>
  </si>
  <si>
    <t xml:space="preserve">https://discord.com/channels/1042855255089623100/1501271173588193290/1507749138832298015</t>
  </si>
  <si>
    <t xml:space="preserve">2026-05-23 17:21:34</t>
  </si>
  <si>
    <t xml:space="preserve">Gives the planned DCA level for the BTC scalp long just posted (symbol inferred from the preceding message).</t>
  </si>
  <si>
    <t xml:space="preserve">74.3k DCA</t>
  </si>
  <si>
    <t xml:space="preserve">https://discord.com/channels/1042855255089623100/1501271173588193290/1507750343306510447</t>
  </si>
  <si>
    <t xml:space="preserve">States the stop for the BTC long as 72220 - a small adjustment from the 72,200 shown on the position screenshot in MSG 222.</t>
  </si>
  <si>
    <t xml:space="preserve">72220 SL</t>
  </si>
  <si>
    <t xml:space="preserve">2026-05-23 17:22:17</t>
  </si>
  <si>
    <t xml:space="preserve">76600.0, 78000.0</t>
  </si>
  <si>
    <t xml:space="preserve">Formal BTC long call at CMP with a DCA at 74.3k, targets 76.6-78k and stop 72.2k.</t>
  </si>
  <si>
    <t xml:space="preserve">Long BTC Entry: 75.1k CMP DCA: 74.3k Targeting 76.6-78k SL: 72.2k</t>
  </si>
  <si>
    <t xml:space="preserve">https://discord.com/channels/1042855255089623100/1501271173588193290/1507750522839633941</t>
  </si>
  <si>
    <t xml:space="preserve">2026-05-23 17:22:55</t>
  </si>
  <si>
    <t xml:space="preserve">Clarifies the formal call is the same trade as the challenge-account scalp, written out for people taking it on main accounts.</t>
  </si>
  <si>
    <t xml:space="preserve">Guys it's the same trade I just wrote together for the people taking it on their main accounts</t>
  </si>
  <si>
    <t xml:space="preserve">https://discord.com/channels/1042855255089623100/1501271173588193290/1507750684152303796</t>
  </si>
  <si>
    <t xml:space="preserve">2026-05-23 18:02:05</t>
  </si>
  <si>
    <t xml:space="preserve">only take 25-40% and save majority for when I exit, I personally take no partials</t>
  </si>
  <si>
    <t xml:space="preserve">SUI is almost at TP1 - take only a small partial and keep the majority until he exits; he takes no partials himself.</t>
  </si>
  <si>
    <t xml:space="preserve">SUI almost TP1, only take 25-40% and save majority for when I exit, I personally take no partials.</t>
  </si>
  <si>
    <t xml:space="preserve">https://discord.com/channels/1042855255089623100/1501271173588193290/1507760541643313204</t>
  </si>
  <si>
    <t xml:space="preserve">Long FIL from either 0.946 or 0.955 (CMP), single target at the 1.00 round number, stop 0.892. entry_price records the CMP option, which is the fill he later shows.</t>
  </si>
  <si>
    <t xml:space="preserve">Long FIL Entry: 0.946 or 0.955 CMP TP: 1 SL: 0.892</t>
  </si>
  <si>
    <t xml:space="preserve">2026-05-23 18:17:54</t>
  </si>
  <si>
    <t xml:space="preserve">76600.0</t>
  </si>
  <si>
    <t xml:space="preserve">don't take anything at 76.6k or take 20% minimum TP and wait for me</t>
  </si>
  <si>
    <t xml:space="preserve">Same partial-taking guidance as SUI applied to the BTC long - take nothing at the first target 76.6k or 20% at most, and wait for his exit.</t>
  </si>
  <si>
    <t xml:space="preserve">Same for BTC, don't take anything at 76.6k or take 20% minimum TP and wait for me</t>
  </si>
  <si>
    <t xml:space="preserve">https://discord.com/channels/1042855255089623100/1501271173588193290/1507764519215304845</t>
  </si>
  <si>
    <t xml:space="preserve">2026-05-23 19:10:04</t>
  </si>
  <si>
    <t xml:space="preserve">58.0</t>
  </si>
  <si>
    <t xml:space="preserve">if you're in trim some</t>
  </si>
  <si>
    <t xml:space="preserve">HYPE is 2.5R up (he is already out); tells holders to trim some and keep 58 as the final target.</t>
  </si>
  <si>
    <t xml:space="preserve">HYPE 2.5 R, if you're in trim some and final TP is 58</t>
  </si>
  <si>
    <t xml:space="preserve">https://discord.com/channels/1042855255089623100/1501271173588193290/1507777648045068289</t>
  </si>
  <si>
    <t xml:space="preserve">2026-05-23 20:17:47</t>
  </si>
  <si>
    <t xml:space="preserve">The 58 target hit: 3R for anyone who held with no partials, 2R for those who trimmed as he instructed; his own exit was at 1.1R. Chart shows the run 54.506 -&gt; 58.102.</t>
  </si>
  <si>
    <t xml:space="preserve">HYPE TP hit, 3RR without partials, 2 RR with partials if you took it how I mentioned</t>
  </si>
  <si>
    <t xml:space="preserve">https://discord.com/channels/1042855255089623100/1501271173588193290/1507794690198736996</t>
  </si>
  <si>
    <t xml:space="preserve">Lesson from HYPE: taking 100% at the first TP costs you the runner - he exited at 1.1R and the move went 3R, yet he admits he almost always takes 100% at first TP.</t>
  </si>
  <si>
    <t xml:space="preserve">This is when taking 100% TP hurts, I exited at 1.1 R but anyhow I usually always take 100% on first TP</t>
  </si>
  <si>
    <t xml:space="preserve">2026-05-23 20:48:00</t>
  </si>
  <si>
    <t xml:space="preserve">SUI reached its first target (1.05 in his call, though he names no number here) but he took nothing off; says he will take 25% only when it comes back.</t>
  </si>
  <si>
    <t xml:space="preserve">SUI TP hit but I took nothing, when it comes again I will take 25% only!</t>
  </si>
  <si>
    <t xml:space="preserve">https://discord.com/channels/1042855255089623100/1501271173588193290/1507802294350254130</t>
  </si>
  <si>
    <t xml:space="preserve">2026-05-23 21:18:48</t>
  </si>
  <si>
    <t xml:space="preserve">Took a partial on SUI above 1.05 as he said he would (portion not stated; he had said 25%).</t>
  </si>
  <si>
    <t xml:space="preserve">Alright boys took some here</t>
  </si>
  <si>
    <t xml:space="preserve">https://discord.com/channels/1042855255089623100/1501271173588193290/1507810046959161707</t>
  </si>
  <si>
    <t xml:space="preserve">2026-05-23 21:19:17</t>
  </si>
  <si>
    <t xml:space="preserve">Close to fully closing SUI but keeps it because he expects a Sunday pump (symbol inferred from the previous message).</t>
  </si>
  <si>
    <t xml:space="preserve">expects a Sunday pump</t>
  </si>
  <si>
    <t xml:space="preserve">I'm this close to completey closing it but I think we are in for a Sunday pump</t>
  </si>
  <si>
    <t xml:space="preserve">https://discord.com/channels/1042855255089623100/1501271173588193290/1507810164881752065</t>
  </si>
  <si>
    <t xml:space="preserve">FIL reached the 1.000 target and the position was closed there (closed card: entry 0.955, close 1.000).</t>
  </si>
  <si>
    <t xml:space="preserve">FIL TP</t>
  </si>
  <si>
    <t xml:space="preserve">https://discord.com/channels/1042855255089623100/1501271173588193290/1507846224202694776</t>
  </si>
  <si>
    <t xml:space="preserve">2026-05-23 23:42:51</t>
  </si>
  <si>
    <t xml:space="preserve">feel free to trim wherever you want</t>
  </si>
  <si>
    <t xml:space="preserve">BTC long well in profit - he invites followers to take partials wherever they like while he keeps holding.</t>
  </si>
  <si>
    <t xml:space="preserve">BTC feel free to trim wherever you want.</t>
  </si>
  <si>
    <t xml:space="preserve">https://discord.com/channels/1042855255089623100/1501271173588193290/1507846295732228228</t>
  </si>
  <si>
    <t xml:space="preserve">2026-05-23 23:43:25</t>
  </si>
  <si>
    <t xml:space="preserve">SUI nearly at full TP; he still holds the majority and is targeting 1.1+.</t>
  </si>
  <si>
    <t xml:space="preserve">SUI nearly full TP, still holding majority, Target 1.1+</t>
  </si>
  <si>
    <t xml:space="preserve">https://discord.com/channels/1042855255089623100/1501271173588193290/1507846441123709070</t>
  </si>
  <si>
    <t xml:space="preserve">2026-05-23 23:50:00</t>
  </si>
  <si>
    <t xml:space="preserve">Attributes the pump to the ceasefire-continuation announcement he had flagged to VIPs beforehand (his geopolitical read posted the previous evening).</t>
  </si>
  <si>
    <t xml:space="preserve">Trump announced a ceasefire continuation at the Gulf states' request - the reason for the pump</t>
  </si>
  <si>
    <t xml:space="preserve">Mentioned this in the VIPs, expecting good news, trump just announced it, ceasefire continuation on the request of gulf stayed that's why we pumped</t>
  </si>
  <si>
    <t xml:space="preserve">https://discord.com/channels/1042855255089623100/1501271173588193290/1507848097404027102</t>
  </si>
  <si>
    <t xml:space="preserve">2026-05-23 23:57:10</t>
  </si>
  <si>
    <t xml:space="preserve">The 89 USDT challenge account is up about 20% of its balance on the BTC scalp (+17.15 USDT on 3.79 USDT margin).</t>
  </si>
  <si>
    <t xml:space="preserve">Making 20% of this</t>
  </si>
  <si>
    <t xml:space="preserve">https://discord.com/channels/1042855255089623100/1501271173588193290/1507849900690247901</t>
  </si>
  <si>
    <t xml:space="preserve">2026-05-24 00:01:23</t>
  </si>
  <si>
    <t xml:space="preserve">Holding the BTC long into the weekend, restating the bullish-until-24-25th call he made earlier.</t>
  </si>
  <si>
    <t xml:space="preserve">bullish weekend, staying long until the 24-25th</t>
  </si>
  <si>
    <t xml:space="preserve">Bullish weekend</t>
  </si>
  <si>
    <t xml:space="preserve">https://discord.com/channels/1042855255089623100/1501271173588193290/1507850960737927168</t>
  </si>
  <si>
    <t xml:space="preserve">SUI hit full TP for 2R, and because they barely took anything at TP1 almost the whole position captured it.</t>
  </si>
  <si>
    <t xml:space="preserve">Sorry for the spam but SUI hit full TP 2R since we barely took anything at TP1</t>
  </si>
  <si>
    <t xml:space="preserve">https://discord.com/channels/1042855255089623100/1501271173588193290/1507852944312373341</t>
  </si>
  <si>
    <t xml:space="preserve">2026-05-24 00:09:23</t>
  </si>
  <si>
    <t xml:space="preserve">Closed-PnL card posted seconds after the full-TP message, confirming the complete SUI exit at 1.089.</t>
  </si>
  <si>
    <t xml:space="preserve">[IMAGE 089 (no message text): SUIUSDT long 100x entry 1.0014 close 1.089 ROI 874.77% (closed)]</t>
  </si>
  <si>
    <t xml:space="preserve">https://discord.com/channels/1042855255089623100/1501271173588193290/1507852972460216501</t>
  </si>
  <si>
    <t xml:space="preserve">2026-05-24 00:12:10</t>
  </si>
  <si>
    <t xml:space="preserve">Day recap - reckons he gave about 5R: four cards re-shared, the still-open BTC long (+366.85%) plus closed BEAT short (1.2694 -&gt; 1.1482), SUI long (1.0014 -&gt; 1.089) and FIL long (0.955 -&gt; 1.000); asks members to post their PnLs.</t>
  </si>
  <si>
    <r>
      <rPr>
        <sz val="10"/>
        <rFont val="Arial"/>
        <family val="0"/>
        <charset val="1"/>
      </rPr>
      <t xml:space="preserve">C'mon guys at least post PNLs #💲</t>
    </r>
    <r>
      <rPr>
        <sz val="10"/>
        <rFont val="Noto Sans CJK SC"/>
        <family val="2"/>
      </rPr>
      <t xml:space="preserve">｜</t>
    </r>
    <r>
      <rPr>
        <sz val="10"/>
        <rFont val="Arial"/>
        <family val="0"/>
        <charset val="1"/>
      </rPr>
      <t xml:space="preserve">profit-showcase today I gave you like 5R today</t>
    </r>
  </si>
  <si>
    <t xml:space="preserve">https://discord.com/channels/1042855255089623100/1501271173588193290/1507853674855137532</t>
  </si>
  <si>
    <t xml:space="preserve">2026-05-24 00:13:16</t>
  </si>
  <si>
    <t xml:space="preserve">Corrects the day's total to 8R after counting the 3R HYPE trade (closed card +204.57% re-shared).</t>
  </si>
  <si>
    <t xml:space="preserve">Actually 8R, gave 3R on HYPE too</t>
  </si>
  <si>
    <t xml:space="preserve">https://discord.com/channels/1042855255089623100/1501271173588193290/1507853951599644892</t>
  </si>
  <si>
    <t xml:space="preserve">2026-05-24 00:49:01</t>
  </si>
  <si>
    <t xml:space="preserve">Thanks the community while screen-recording the profit-showcase channel filled with followers' PnL cards from his calls (BTC, SUI, FIL, HYPE) - these are members' trades, not new positions of his.</t>
  </si>
  <si>
    <t xml:space="preserve">Thank you for your trust guys, lovely to see this</t>
  </si>
  <si>
    <t xml:space="preserve">https://discord.com/channels/1042855255089623100/1501271173588193290/1507862949518381066</t>
  </si>
  <si>
    <t xml:space="preserve">Reveals he had already scaled 25% out of the BTC long around 77k.</t>
  </si>
  <si>
    <t xml:space="preserve">took 25% earlier at 77k</t>
  </si>
  <si>
    <t xml:space="preserve">https://discord.com/channels/1042855255089623100/1501271173588193290/1507889347804790936</t>
  </si>
  <si>
    <t xml:space="preserve">Fully out of the main-account BTC long at 76,609.2 after the earlier 25% partial at 77k.</t>
  </si>
  <si>
    <t xml:space="preserve">Out of BTC completely here, took 25% earlier at 77k</t>
  </si>
  <si>
    <t xml:space="preserve">2026-05-24 02:34:56</t>
  </si>
  <si>
    <t xml:space="preserve">The 89 USDT challenge account's BTC scalp closed at 76,609.2 for +12.98 USDT, about +15% of the account; still aiming to double it.</t>
  </si>
  <si>
    <t xml:space="preserve">Made 13$ on the 90$ account, 15% Let's see if we can double it!</t>
  </si>
  <si>
    <t xml:space="preserve">https://discord.com/channels/1042855255089623100/1501271173588193290/1507889602613088368</t>
  </si>
  <si>
    <t xml:space="preserve">2026-05-24 02:35:41</t>
  </si>
  <si>
    <t xml:space="preserve">Still thinks BTC goes higher, to 78-80k, even after closing his long.</t>
  </si>
  <si>
    <t xml:space="preserve">Btw I still think this goes higher, 78-80k</t>
  </si>
  <si>
    <t xml:space="preserve">Wants to re-enter the BTC long if price pulls back to 75.7k.</t>
  </si>
  <si>
    <t xml:space="preserve">I'm interested to enter long again if we can get 75.7k</t>
  </si>
  <si>
    <t xml:space="preserve">New BTC long opened at 76,754.6 with stop 74,000 (positions screenshot from the mini account, 200x cross).</t>
  </si>
  <si>
    <t xml:space="preserve">Long BTC</t>
  </si>
  <si>
    <t xml:space="preserve">https://discord.com/channels/1042855255089623100/1501271173588193290/1507970412271763466</t>
  </si>
  <si>
    <t xml:space="preserve">2026-05-24 07:57:06</t>
  </si>
  <si>
    <t xml:space="preserve">Written-out call of the new BTC long: entry 76,750, DCA at 75.5k, stop 74k (targets given a few messages later).</t>
  </si>
  <si>
    <t xml:space="preserve">Long BTC Entry: 76750 DCA: 75.5k SL: 74k</t>
  </si>
  <si>
    <t xml:space="preserve">https://discord.com/channels/1042855255089623100/1501271173588193290/1507970680480727050</t>
  </si>
  <si>
    <t xml:space="preserve">2026-05-24 07:59:30</t>
  </si>
  <si>
    <t xml:space="preserve">He is taking this BTC long on both his main account and the 89 USDT mini challenge account.</t>
  </si>
  <si>
    <t xml:space="preserve">I took trade on my main and this mini account</t>
  </si>
  <si>
    <t xml:space="preserve">https://discord.com/channels/1042855255089623100/1501271173588193290/1507971281067180193</t>
  </si>
  <si>
    <t xml:space="preserve">2026-05-24 07:59:50</t>
  </si>
  <si>
    <t xml:space="preserve">78000.0</t>
  </si>
  <si>
    <t xml:space="preserve">Target for the new BTC long is 78k+.</t>
  </si>
  <si>
    <t xml:space="preserve">Targeting 78+</t>
  </si>
  <si>
    <t xml:space="preserve">https://discord.com/channels/1042855255089623100/1501271173588193290/1507971367423967314</t>
  </si>
  <si>
    <t xml:space="preserve">2026-05-24 08:03:37</t>
  </si>
  <si>
    <t xml:space="preserve">A 4h close above 78.3k would open the path to the 80s.</t>
  </si>
  <si>
    <t xml:space="preserve">4h above 78.3k and we're good to go to 80s</t>
  </si>
  <si>
    <t xml:space="preserve">https://discord.com/channels/1042855255089623100/1501271173588193290/1507972319908331601</t>
  </si>
  <si>
    <t xml:space="preserve">2026-05-24 08:21:15</t>
  </si>
  <si>
    <t xml:space="preserve">If BTC pumps he expects 78.8-79.5k next.</t>
  </si>
  <si>
    <t xml:space="preserve">If BTC pumps we go 78.8-79.5k</t>
  </si>
  <si>
    <t xml:space="preserve">https://discord.com/channels/1042855255089623100/1501271173588193290/1507976755896647750</t>
  </si>
  <si>
    <t xml:space="preserve">2026-05-24 13:54:49</t>
  </si>
  <si>
    <t xml:space="preserve">Reminds the channel he was bullish days before this pump; now expects the 80s, most likely 82-84k.</t>
  </si>
  <si>
    <t xml:space="preserve">Don't forget who was bullish before this pump, days ago. Expecting 80s (Most like 82-84)</t>
  </si>
  <si>
    <t xml:space="preserve">https://discord.com/channels/1042855255089623100/1501271173588193290/1508060699975356466</t>
  </si>
  <si>
    <t xml:space="preserve">2026-05-24 15:57:21</t>
  </si>
  <si>
    <t xml:space="preserve">Basically put half margin of what it is rn at 75.5k, and save 25% for another DCA later</t>
  </si>
  <si>
    <t xml:space="preserve">Instructs a 25% DCA on the BTC long at 75.5k (half the current margin) and to keep another 25% back for a further DCA.</t>
  </si>
  <si>
    <t xml:space="preserve">Guys do DCA 25% at 75.5k And save 25% for another DCA Basically put half margin of what it is rn at 75.5k And save 25% for later</t>
  </si>
  <si>
    <t xml:space="preserve">https://discord.com/channels/1042855255089623100/1501271173588193290/1508091538117234739</t>
  </si>
  <si>
    <t xml:space="preserve">2026-05-24 15:58:06</t>
  </si>
  <si>
    <t xml:space="preserve">The BTC long is already in profit, so followers have room to adjust their sizing/DCA plan.</t>
  </si>
  <si>
    <t xml:space="preserve">In profits rn so you can adjust</t>
  </si>
  <si>
    <t xml:space="preserve">https://discord.com/channels/1042855255089623100/1501271173588193290/1508091726563115028</t>
  </si>
  <si>
    <t xml:space="preserve">2026-05-25 12:08:18</t>
  </si>
  <si>
    <t xml:space="preserve">Was away with personal problems; still holding the BTC long and expecting higher - wants a 4h close above the 200 EMA to speed the move up.</t>
  </si>
  <si>
    <t xml:space="preserve">EMA 200, 4h close</t>
  </si>
  <si>
    <t xml:space="preserve">Hello guys, had a really shitty day yesterday ran into some personal problems so was away. Still holding onto this, expecting higher. Just need a closing 4h above ema 200 and we can speed up.</t>
  </si>
  <si>
    <t xml:space="preserve">https://discord.com/channels/1042855255089623100/1501271173588193290/1508396282388156586</t>
  </si>
  <si>
    <t xml:space="preserve">WLD looks really bullish - anyone who wants can long from CMP with SL 0.28, but he is waiting for a better entry and will signal if he takes it.</t>
  </si>
  <si>
    <t xml:space="preserve">WLD looks really bullish, if anyone wants to try long from CMP with SL 0.28 I'll wait for a better entry if I get in will give a signal here</t>
  </si>
  <si>
    <t xml:space="preserve">Entered WLD long from 0.302 on half risk with the 0.28 stop he flagged earlier.</t>
  </si>
  <si>
    <t xml:space="preserve">Okay I'm in WLD from 0.302, but half risk trade 0.28 SL</t>
  </si>
  <si>
    <t xml:space="preserve">https://discord.com/channels/1042855255089623100/1501271173588193290/1508422245645815988</t>
  </si>
  <si>
    <t xml:space="preserve">2026-05-25 14:00:20</t>
  </si>
  <si>
    <t xml:space="preserve">Half risk only because I'm saving 50% for DCA, if you want you can go normal risk too</t>
  </si>
  <si>
    <t xml:space="preserve">The half-risk sizing is only because he is holding 50% back for a DCA; he expects WLD to reach at least 0.32+.</t>
  </si>
  <si>
    <t xml:space="preserve">Half risk only because I'm saving 50% for DCA, if you want you can go normal risk too, WLD looks like it'll at least go 0.32+</t>
  </si>
  <si>
    <t xml:space="preserve">https://discord.com/channels/1042855255089623100/1501271173588193290/1508424475241218068</t>
  </si>
  <si>
    <t xml:space="preserve">2026-05-25 20:49:52</t>
  </si>
  <si>
    <t xml:space="preserve">Tbh entry isn't the best so if you want to take more like 50% go for it</t>
  </si>
  <si>
    <t xml:space="preserve">Took 30% off WLD; because his entry wasn't the best he tells followers they can take a bigger partial.</t>
  </si>
  <si>
    <t xml:space="preserve">Took 30% here, let it run to 0.32-0.33 Tbh entry isn't the best so if you want to take more like 50% go for it.</t>
  </si>
  <si>
    <t xml:space="preserve">https://discord.com/channels/1042855255089623100/1501271173588193290/1508527537641492510</t>
  </si>
  <si>
    <t xml:space="preserve">0.32, 0.33</t>
  </si>
  <si>
    <t xml:space="preserve">Sets the target zone for the remaining WLD position at 0.32-0.33.</t>
  </si>
  <si>
    <t xml:space="preserve">let it run to 0.32-0.33</t>
  </si>
  <si>
    <t xml:space="preserve">2026-05-25 20:57:01</t>
  </si>
  <si>
    <t xml:space="preserve">50% of the WLD position is left and he intends to exit that remainder whole around 0.32-0.33.</t>
  </si>
  <si>
    <t xml:space="preserve">50% remaining will exit it whole around 0.32-0.33</t>
  </si>
  <si>
    <t xml:space="preserve">https://discord.com/channels/1042855255089623100/1501271173588193290/1508529339560366141</t>
  </si>
  <si>
    <t xml:space="preserve">2026-05-25 20:58:36</t>
  </si>
  <si>
    <t xml:space="preserve">0.32</t>
  </si>
  <si>
    <t xml:space="preserve">TP2 at 0.32 traded on most exchanges; Blofin's price missed it.</t>
  </si>
  <si>
    <t xml:space="preserve">TP2 0.32 was hit on majority exchanges, BLOFIN missed</t>
  </si>
  <si>
    <t xml:space="preserve">https://discord.com/channels/1042855255089623100/1501271173588193290/1508529738862297260</t>
  </si>
  <si>
    <t xml:space="preserve">0.33, 0.34</t>
  </si>
  <si>
    <t xml:space="preserve">you can take 50-70% here and leave runners for 0.33-0.34</t>
  </si>
  <si>
    <t xml:space="preserve">Fully out at 0.32 for almost 1R because he likes to scalp, even though he is sure WLD blows up soon; the 0.33-0.34 targets are runner guidance for followers.</t>
  </si>
  <si>
    <t xml:space="preserve">Alright guys I'm fully out at 0.32 almost 1R, you can take 50-70% here and leave runners for 0.33-0.34 I'm pretty sure this blows up soon but I like to scalp</t>
  </si>
  <si>
    <t xml:space="preserve">https://discord.com/channels/1042855255089623100/1501271173588193290/1508538985826353285</t>
  </si>
  <si>
    <t xml:space="preserve">2026-05-25 22:14:51</t>
  </si>
  <si>
    <t xml:space="preserve">WLD blew up to 0.33 as he predicted - almost 1.5R for anyone who left runners; the 15m chart shows his sell markers.</t>
  </si>
  <si>
    <t xml:space="preserve">As I said show blows up and goes to 0.33 easily, almost 1.5R</t>
  </si>
  <si>
    <t xml:space="preserve">https://discord.com/channels/1042855255089623100/1501271173588193290/1508548926666440937</t>
  </si>
  <si>
    <t xml:space="preserve">2026-05-25 22:17:16</t>
  </si>
  <si>
    <t xml:space="preserve">Joke correcting his typo in the WLD exit message.</t>
  </si>
  <si>
    <t xml:space="preserve">Runners not rubbers, no one like rubbers</t>
  </si>
  <si>
    <t xml:space="preserve">https://discord.com/channels/1042855255089623100/1501271173588193290/1508549535931043921</t>
  </si>
  <si>
    <t xml:space="preserve">Long TAO at CMP 287 targeting 300-315 with stop 268.</t>
  </si>
  <si>
    <t xml:space="preserve">Long TAO Entry: 287 CMP TPs: 300-315 SL: 268</t>
  </si>
  <si>
    <t xml:space="preserve">2026-05-26 08:43:59</t>
  </si>
  <si>
    <t xml:space="preserve">Enter 50% here I'll add 50% around 270-275</t>
  </si>
  <si>
    <t xml:space="preserve">Enter only half size at the call price; he will add the other 50% around 270-275 and will announce the DCA (a zone, not a single level, so dca_price is left null).</t>
  </si>
  <si>
    <t xml:space="preserve">Enter 50% here I'll add 50% around 270-275 will tell when DCA</t>
  </si>
  <si>
    <t xml:space="preserve">https://discord.com/channels/1042855255089623100/1501271173588193290/1508707252188483644</t>
  </si>
  <si>
    <t xml:space="preserve">Don't go too heavy already too pumped</t>
  </si>
  <si>
    <t xml:space="preserve">Long RENDER at CMP with half size now and half kept for a later DCA (level not given); he normally only longs supports and RENDER is already pumped, but AI coins are running hard.</t>
  </si>
  <si>
    <t xml:space="preserve">AI coins are pumping hard</t>
  </si>
  <si>
    <t xml:space="preserve">Long RENDER Entry: 2.33 CMP (50%) DCA: later (50%) SL: 2.13 Don't go too heavy already too pumped and I usually long supports only, but AI coins are pumping hard.</t>
  </si>
  <si>
    <t xml:space="preserve">2026-05-26 10:46:56</t>
  </si>
  <si>
    <t xml:space="preserve">Management plan - a small trim at 0.5R with the majority saved for 1R+. Symbol is a guess: posted 26 seconds after the RENDER call, but it could refer to the TAO long opened two hours earlier.</t>
  </si>
  <si>
    <t xml:space="preserve">Small trim at 0.5R, majority saved for 1+</t>
  </si>
  <si>
    <t xml:space="preserve">https://discord.com/channels/1042855255089623100/1501271173588193290/1508738192134639668</t>
  </si>
  <si>
    <t xml:space="preserve">2026-05-26 10:48:39</t>
  </si>
  <si>
    <t xml:space="preserve">His alt longs just need BTC to stabilise or bounce and then he expects them to pump hard.</t>
  </si>
  <si>
    <t xml:space="preserve">waiting for BTC to get stable or bounce</t>
  </si>
  <si>
    <t xml:space="preserve">Just need BTC to get stable or bounce, gonna pump hard.</t>
  </si>
  <si>
    <t xml:space="preserve">https://discord.com/channels/1042855255089623100/1501271173588193290/1508738624500535336</t>
  </si>
  <si>
    <t xml:space="preserve">2026-05-26 13:49:37</t>
  </si>
  <si>
    <t xml:space="preserve">Takes 50% off the RENDER long in profit at ~2.416.</t>
  </si>
  <si>
    <t xml:space="preserve">50% out here</t>
  </si>
  <si>
    <t xml:space="preserve">https://discord.com/channels/1042855255089623100/1501271173588193290/1508784168467828776</t>
  </si>
  <si>
    <t xml:space="preserve">Confirms he is still holding the BTC long.</t>
  </si>
  <si>
    <t xml:space="preserve">holding BTC and TAO</t>
  </si>
  <si>
    <t xml:space="preserve">https://discord.com/channels/1042855255089623100/1501271173588193290/1508807510948057202</t>
  </si>
  <si>
    <t xml:space="preserve">The remaining half of RENDER stopped out (stop 2.13 from his call) after he had already banked 50%.</t>
  </si>
  <si>
    <t xml:space="preserve">RENDER stopped after taking 50%</t>
  </si>
  <si>
    <t xml:space="preserve">2.5</t>
  </si>
  <si>
    <t xml:space="preserve">RENDER still looks bullish so he suggests a re-long with SL 2.26 aiming for 2.5 - an idea only, he is not taking it himself.</t>
  </si>
  <si>
    <t xml:space="preserve">still looks bullish if anyone wanna try a long set SL @ 2.26 and try for 2.5 I'm not taking it just suggesting this idea</t>
  </si>
  <si>
    <t xml:space="preserve">Confirms he is still holding the TAO long.</t>
  </si>
  <si>
    <t xml:space="preserve">Announces the BTC long is closed; no levels given in the message itself.</t>
  </si>
  <si>
    <t xml:space="preserve">https://discord.com/channels/1042855255089623100/1501271173588193290/1508839048502837368</t>
  </si>
  <si>
    <t xml:space="preserve">2026-05-26 17:32:51</t>
  </si>
  <si>
    <t xml:space="preserve">Closed-PnL card for the BTC long announced in MSG 275: entry 76,754.6, close 77,906.3, +225.07% ROI. Message text is only the notify ping.</t>
  </si>
  <si>
    <t xml:space="preserve">[IMAGE 105 (message text is only the notify ping): BTCUSDT long 150x entry 76754.6 close 77906.3 ROI 225.07% (closed)]</t>
  </si>
  <si>
    <t xml:space="preserve">https://discord.com/channels/1042855255089623100/1501271173588193290/1508840347986432150</t>
  </si>
  <si>
    <t xml:space="preserve">2026-05-26 17:34:08</t>
  </si>
  <si>
    <t xml:space="preserve">His TP was set at 78k and the fill shown is 78,012.9 - he blames Blofin for closing late; adds that he told the group BTC was going up so there was no need to short and he is glad he held.</t>
  </si>
  <si>
    <t xml:space="preserve">TP set was 78k, dk why BLOFIN closed later, anyhow I told you we are going up no need to short, glad I held my place!</t>
  </si>
  <si>
    <t xml:space="preserve">https://discord.com/channels/1042855255089623100/1501271173588193290/1508840668808613990</t>
  </si>
  <si>
    <t xml:space="preserve">2026-05-26 17:36:37</t>
  </si>
  <si>
    <t xml:space="preserve">Challenge-account update: +$11.5 from the BTC long, total balance now 111.89 USDT (started at 89).</t>
  </si>
  <si>
    <t xml:space="preserve">89$ account update +11.5$ from this</t>
  </si>
  <si>
    <t xml:space="preserve">https://discord.com/channels/1042855255089623100/1501271173588193290/1508841294653292624</t>
  </si>
  <si>
    <t xml:space="preserve">2026-05-26 17:45:39</t>
  </si>
  <si>
    <t xml:space="preserve">Order detail confirming the mini challenge account's BTC long closed: 0.0090 BTC at avg 78,012.9 for +11.32 USDT realized.</t>
  </si>
  <si>
    <t xml:space="preserve">[IMAGE 108 (no message text, replying to the 90$ account thread): BTCUSDT long 200x close 78012.9 (closed), +11.3247 USDT realized]</t>
  </si>
  <si>
    <t xml:space="preserve">https://discord.com/channels/1042855255089623100/1501271173588193290/1508843567685304464</t>
  </si>
  <si>
    <t xml:space="preserve">2026-05-26 17:46:05</t>
  </si>
  <si>
    <t xml:space="preserve">Celebrates the exit landing on a single-candle spike to 78,049 that immediately retraced to 76,806 - jokes that BTC trades like a memecoin.</t>
  </si>
  <si>
    <t xml:space="preserve">What an EXIT boys! Gotta love this memecoin</t>
  </si>
  <si>
    <t xml:space="preserve">https://discord.com/channels/1042855255089623100/1501271173588193290/1508843675482849353</t>
  </si>
  <si>
    <t xml:space="preserve">Entry 50% at CMP, DCA 25%, save 25% for later</t>
  </si>
  <si>
    <t xml:space="preserve">new BTC long, scaling in: 50% at CMP 75.9k, 25% DCA at 75k, 25% kept in reserve, targeting 77k+</t>
  </si>
  <si>
    <t xml:space="preserve">Long BTC
Entry: 75.9k CMP (50%)
DCA: 75k 25%
Save 25% for later
Targeting 77+
SL: 73.5k</t>
  </si>
  <si>
    <t xml:space="preserve">Save 25% for later</t>
  </si>
  <si>
    <t xml:space="preserve">planned DCA level at 75k for 25% of size, with a further 25% held back</t>
  </si>
  <si>
    <t xml:space="preserve">DCA: 75k 25%
Save 25% for later</t>
  </si>
  <si>
    <t xml:space="preserve">2026-05-27 03:19:46</t>
  </si>
  <si>
    <t xml:space="preserve">position size is 0.011, DCA1 0.006, DCA2 0.005 (on the 89$ account)</t>
  </si>
  <si>
    <t xml:space="preserve">gives exact position sizing for the BTC long on his small 89$ account</t>
  </si>
  <si>
    <t xml:space="preserve">For the 89$ account my position size is 0.011, DCA1 0.006, DCA2 0.005</t>
  </si>
  <si>
    <t xml:space="preserve">https://discord.com/channels/1042855255089623100/1501271173588193290/1508988048376070225</t>
  </si>
  <si>
    <t xml:space="preserve">2026-05-27 03:24:59</t>
  </si>
  <si>
    <t xml:space="preserve">high risk high reward, no DCA; he uses this on one account but will only count the first setup</t>
  </si>
  <si>
    <t xml:space="preserve">alternative tighter-stop version of the BTC long: full size at CMP with SL 74k instead of scaling with DCA</t>
  </si>
  <si>
    <t xml:space="preserve">Also guys a better, high risk high reward setup would be
Long CMP 75.9k
No DCA
SL: 74k
Using this personally on one account but I'll count the first setup given here!</t>
  </si>
  <si>
    <t xml:space="preserve">https://discord.com/channels/1042855255089623100/1501271173588193290/1508989362660966520</t>
  </si>
  <si>
    <t xml:space="preserve">2026-05-27 06:44:18</t>
  </si>
  <si>
    <t xml:space="preserve">Eid greetings to the community</t>
  </si>
  <si>
    <t xml:space="preserve">Eid Mubarak to every Muslim brother of mine, I hope you have a lovely Eid and time with your loved ones</t>
  </si>
  <si>
    <t xml:space="preserve">https://discord.com/channels/1042855255089623100/1501271173588193290/1509039521428144269</t>
  </si>
  <si>
    <t xml:space="preserve">2026-05-27 06:55:16</t>
  </si>
  <si>
    <t xml:space="preserve">calls the second 50% add on TAO at 271.1, the DCA he flagged earlier around 270-275</t>
  </si>
  <si>
    <t xml:space="preserve">TAO DCA @ 271.1</t>
  </si>
  <si>
    <t xml:space="preserve">https://discord.com/channels/1042855255089623100/1501271173588193290/1509042283108892712</t>
  </si>
  <si>
    <t xml:space="preserve">stop tightened from the original 268 to 265 alongside the DCA fill</t>
  </si>
  <si>
    <t xml:space="preserve">TAO DCA @ 271.1
SL: 265</t>
  </si>
  <si>
    <t xml:space="preserve">2026-05-27 09:51:56</t>
  </si>
  <si>
    <t xml:space="preserve">DCA order filled; share card shows blended entry 276.63 on a 100x long, good bounce for now</t>
  </si>
  <si>
    <t xml:space="preserve">DCA filled, good bounce for now</t>
  </si>
  <si>
    <t xml:space="preserve">https://discord.com/channels/1042855255089623100/1501271173588193290/1509086742773502174</t>
  </si>
  <si>
    <t xml:space="preserve">280</t>
  </si>
  <si>
    <t xml:space="preserve">intends to trim the position around 280+ after the bounce</t>
  </si>
  <si>
    <t xml:space="preserve">will trim soon around 280+</t>
  </si>
  <si>
    <t xml:space="preserve">2026-05-27 18:41:39</t>
  </si>
  <si>
    <t xml:space="preserve">if it's not at 280 don't take anything</t>
  </si>
  <si>
    <t xml:space="preserve">offloads only 10% at 280 because the position got heavy after the DCA; followers should not take anything below 280</t>
  </si>
  <si>
    <t xml:space="preserve">Guys closed just 10% here nothing serious just offloading since after DCA position is heavy, if it's not at 280 don't take anything</t>
  </si>
  <si>
    <t xml:space="preserve">https://discord.com/channels/1042855255089623100/1501271173588193290/1509220049909715076</t>
  </si>
  <si>
    <t xml:space="preserve">282, 286</t>
  </si>
  <si>
    <t xml:space="preserve">brings the exit zone down from the original 300-315 to 282-286 while explicitly refusing to move SL to entry, since price action is strong</t>
  </si>
  <si>
    <t xml:space="preserve">Not moving SL to entry, will close soon around 282-286 so far it's strong!</t>
  </si>
  <si>
    <t xml:space="preserve">2026-05-28 03:18:40</t>
  </si>
  <si>
    <t xml:space="preserve">expects BTC to bounce from current level</t>
  </si>
  <si>
    <t xml:space="preserve">BTC may bounce from here</t>
  </si>
  <si>
    <t xml:space="preserve">BTC may bounce from here.</t>
  </si>
  <si>
    <t xml:space="preserve">https://discord.com/channels/1042855255089623100/1501271173588193290/1509350161401253999</t>
  </si>
  <si>
    <t xml:space="preserve">willing to hold TAO down to 263, i.e. giving the trade more room than the 265 stop, because he expects BTC to bounce</t>
  </si>
  <si>
    <t xml:space="preserve">Holding TAO till 263, BTC may bounce from here.</t>
  </si>
  <si>
    <t xml:space="preserve">BTC long stopped out in the same dump</t>
  </si>
  <si>
    <t xml:space="preserve">insane dump</t>
  </si>
  <si>
    <t xml:space="preserve">TAO and BTC stopped guys, insane dump.</t>
  </si>
  <si>
    <t xml:space="preserve">https://discord.com/channels/1042855255089623100/1501271173588193290/1509416784065859685</t>
  </si>
  <si>
    <t xml:space="preserve">TAO stopped out in an insane dump; frames the loss as part of the game after a winning streak</t>
  </si>
  <si>
    <t xml:space="preserve">TAO and BTC stopped guys, insane dump.
Part of the game we were on a winning streak</t>
  </si>
  <si>
    <t xml:space="preserve">half risk trade, go lower than usual</t>
  </si>
  <si>
    <t xml:space="preserve">re-attempts the BTC long immediately after being stopped, with reduced size</t>
  </si>
  <si>
    <t xml:space="preserve">Trying a BTC long again here @ 73k
SL @ 72k, half risk trade, go lower than usual</t>
  </si>
  <si>
    <t xml:space="preserve">2026-05-28 07:51:12</t>
  </si>
  <si>
    <t xml:space="preserve">size is 0.02 on the small gamble account</t>
  </si>
  <si>
    <t xml:space="preserve">position size for the new BTC long on his small account</t>
  </si>
  <si>
    <t xml:space="preserve">On the small gamble account my size is 0.02</t>
  </si>
  <si>
    <t xml:space="preserve">https://discord.com/channels/1042855255089623100/1501271173588193290/1509418744068440164</t>
  </si>
  <si>
    <t xml:space="preserve">2026-05-28 09:05:23</t>
  </si>
  <si>
    <t xml:space="preserve">lower risk, half risk</t>
  </si>
  <si>
    <t xml:space="preserve">sets the target zone at 75-76k for a decent R and repeats that the trade is risky so size must be halved</t>
  </si>
  <si>
    <t xml:space="preserve">This is RISKY that's why I mentioned lower risk, half risk. Targeting 75-76k, can get a decent R.</t>
  </si>
  <si>
    <t xml:space="preserve">https://discord.com/channels/1042855255089623100/1501271173588193290/1509437412068036659</t>
  </si>
  <si>
    <t xml:space="preserve">expects BTC to reach at least 75k before continuing lower</t>
  </si>
  <si>
    <t xml:space="preserve">BTC should hit at least 75k before going down further!</t>
  </si>
  <si>
    <t xml:space="preserve">took 3R on a Gold trade he was too busy to post in the channel</t>
  </si>
  <si>
    <t xml:space="preserve">Just did 3R on Gold was about to give here but was busy.</t>
  </si>
  <si>
    <t xml:space="preserve">2026-05-28 17:16:49</t>
  </si>
  <si>
    <t xml:space="preserve">macro call: crypto market bottoms in June 2026, at least a local bottom for June-July</t>
  </si>
  <si>
    <t xml:space="preserve">expects a market bottom in June 2026</t>
  </si>
  <si>
    <t xml:space="preserve">My prediction is crypto market bottoms in June for 2026
At least a local bottom for June-July</t>
  </si>
  <si>
    <t xml:space="preserve">https://discord.com/channels/1042855255089623100/1501271173588193290/1509561086503026808</t>
  </si>
  <si>
    <t xml:space="preserve">just enter small, half risk on trades market's weak</t>
  </si>
  <si>
    <t xml:space="preserve">offers an ETH long idea with SL 1950 despite disliking the asset; no entry level given</t>
  </si>
  <si>
    <t xml:space="preserve">market's weak</t>
  </si>
  <si>
    <t xml:space="preserve">I absolutely hate ETH but if anyone wants to try a long with 1950 as SL
Just enter small, half risk on trades market's weak.</t>
  </si>
  <si>
    <t xml:space="preserve">new ADA long from current market price</t>
  </si>
  <si>
    <t xml:space="preserve">Long ADA
Entry: 0.234 CMP
SL: 0.226</t>
  </si>
  <si>
    <t xml:space="preserve">share card reveals he is himself in the ETH long he suggested, entry 1988.23 at 100x and already +165.82% ROI; mocks ETH as an asset</t>
  </si>
  <si>
    <t xml:space="preserve">I hope you guys were laughing on ETH as an asset because it's a joke</t>
  </si>
  <si>
    <t xml:space="preserve">https://discord.com/channels/1042855255089623100/1501271173588193290/1509614498812788784</t>
  </si>
  <si>
    <t xml:space="preserve">2026-05-28 21:18:26</t>
  </si>
  <si>
    <t xml:space="preserve">TP ladder for ADA: 50% off at 0.2386 (about 0.6R), full exit at 0.246</t>
  </si>
  <si>
    <t xml:space="preserve">50% around 0.6R @ 0.2386, fully exit @ 0.246</t>
  </si>
  <si>
    <t xml:space="preserve">https://discord.com/channels/1042855255089623100/1501271173588193290/1509621893127471105</t>
  </si>
  <si>
    <t xml:space="preserve">2026-05-29 05:49:14</t>
  </si>
  <si>
    <t xml:space="preserve">ADA approached the take-profit and retraced without filling</t>
  </si>
  <si>
    <t xml:space="preserve">ADA came back from TP too : /</t>
  </si>
  <si>
    <t xml:space="preserve">https://discord.com/channels/1042855255089623100/1501271173588193290/1509750441095987320</t>
  </si>
  <si>
    <t xml:space="preserve">moves stop to breakeven on ETH because bearish signs returned after being up well; BE level taken as his posted entry 1988.23</t>
  </si>
  <si>
    <t xml:space="preserve">showing bearish signs again</t>
  </si>
  <si>
    <t xml:space="preserve">SL to BE on ETH, was up good but showing bearish signs again.</t>
  </si>
  <si>
    <t xml:space="preserve">2026-05-29 11:26:23</t>
  </si>
  <si>
    <t xml:space="preserve">still holding the ADA long</t>
  </si>
  <si>
    <t xml:space="preserve">Still in BTC, ETH, ADA</t>
  </si>
  <si>
    <t xml:space="preserve">https://discord.com/channels/1042855255089623100/1501271173588193290/1509835287151247511</t>
  </si>
  <si>
    <t xml:space="preserve">still holding the BTC long</t>
  </si>
  <si>
    <t xml:space="preserve">still holding the ETH long</t>
  </si>
  <si>
    <t xml:space="preserve">bullish on RENDER, no trade attached</t>
  </si>
  <si>
    <t xml:space="preserve">RENDER looking bullish!</t>
  </si>
  <si>
    <t xml:space="preserve">2026-05-29 12:40:35</t>
  </si>
  <si>
    <t xml:space="preserve">takes 20% off ETH with the stop already at entry; wording '20% SL to entry' is terse but follows the earlier BE move</t>
  </si>
  <si>
    <t xml:space="preserve">20% SL to entry, will exit fully around 2020-2030.</t>
  </si>
  <si>
    <t xml:space="preserve">https://discord.com/channels/1042855255089623100/1501271173588193290/1509853959651590154</t>
  </si>
  <si>
    <t xml:space="preserve">full exit target set at 2020-2030</t>
  </si>
  <si>
    <t xml:space="preserve">will exit fully around 2020-2030</t>
  </si>
  <si>
    <t xml:space="preserve">2026-05-29 18:35:56</t>
  </si>
  <si>
    <t xml:space="preserve">BTC long is 1R up; partials optional for whoever wants them, he intends to hold for 75-76k</t>
  </si>
  <si>
    <t xml:space="preserve">expects 75-76k this weekend</t>
  </si>
  <si>
    <t xml:space="preserve">BTC 1R up if anyone likes partials, were getting 75-76k this weekend and I'm gonna TP that</t>
  </si>
  <si>
    <t xml:space="preserve">https://discord.com/channels/1042855255089623100/1501271173588193290/1509943387560869949</t>
  </si>
  <si>
    <t xml:space="preserve">74200, 75000, 76000</t>
  </si>
  <si>
    <t xml:space="preserve">adds an ideal first TP at 74.2k ahead of the existing 75-76k weekend target</t>
  </si>
  <si>
    <t xml:space="preserve">Ideal first TP would be 74.2k</t>
  </si>
  <si>
    <t xml:space="preserve">new NEAR long from CMP, billed as the last signal of the month</t>
  </si>
  <si>
    <t xml:space="preserve">Long NEAR
Entry: 2.56 CMP
SL: 2.392
Last signal do the month</t>
  </si>
  <si>
    <t xml:space="preserve">2026-05-29 19:11:27</t>
  </si>
  <si>
    <t xml:space="preserve">withdraws the NEAR signal one minute after giving it because price pumped too fast past the entry; tells followers to skip it</t>
  </si>
  <si>
    <t xml:space="preserve">Sorry guys pumped too fast, you can skip this one, apologies</t>
  </si>
  <si>
    <t xml:space="preserve">https://discord.com/channels/1042855255089623100/1501271173588193290/1509952324875976704</t>
  </si>
  <si>
    <t xml:space="preserve">2026-05-29 22:15:55</t>
  </si>
  <si>
    <t xml:space="preserve">took the planned 25% at the first TP 74.2k</t>
  </si>
  <si>
    <t xml:space="preserve">TPed 25% @ 74.2k as mentioned.</t>
  </si>
  <si>
    <t xml:space="preserve">https://discord.com/channels/1042855255089623100/1501271173588193290/1509998744119283833</t>
  </si>
  <si>
    <t xml:space="preserve">will let the remainder run to either a full TP or the stop, explicitly refusing to move SL to entry</t>
  </si>
  <si>
    <t xml:space="preserve">Still holding BTC, either a full TP or SL, not moving SL to entry.</t>
  </si>
  <si>
    <t xml:space="preserve">0.2385</t>
  </si>
  <si>
    <t xml:space="preserve">ADA reached the ~0.2386 (0.6R) target; share card shows the 75x long closed at 0.2385 for +134.44% ROI</t>
  </si>
  <si>
    <t xml:space="preserve">ADA TP</t>
  </si>
  <si>
    <t xml:space="preserve">https://discord.com/channels/1042855255089623100/1501271173588193290/1510154018142556161</t>
  </si>
  <si>
    <t xml:space="preserve">half risk myself because XPL is my bad luck coin</t>
  </si>
  <si>
    <t xml:space="preserve">new XPL long from CMP, taken at half risk because XPL has burned him before</t>
  </si>
  <si>
    <t xml:space="preserve">Long XPL
Entry: 0.0916 CMP
SL: 0.0846
Half risk myself because XPL is my bad luck coin</t>
  </si>
  <si>
    <t xml:space="preserve">2026-05-30 10:38:53</t>
  </si>
  <si>
    <t xml:space="preserve">target given for the XPL long</t>
  </si>
  <si>
    <t xml:space="preserve">0.0965 TP</t>
  </si>
  <si>
    <t xml:space="preserve">https://discord.com/channels/1042855255089623100/1501271173588193290/1510185721313624144</t>
  </si>
  <si>
    <t xml:space="preserve">swing long on SOL from CMP</t>
  </si>
  <si>
    <t xml:space="preserve">Long SOL (swing)
Entry: 82.69 CMP
TP: 87.69
SL: 78</t>
  </si>
  <si>
    <t xml:space="preserve">2026-05-31 15:36:26</t>
  </si>
  <si>
    <t xml:space="preserve">74300, 75000</t>
  </si>
  <si>
    <t xml:space="preserve">TP ladder for anyone who has not yet taken partials on BTC: 25% at 74.3k, 75% at 75k; he will trim accordingly on the smaller account</t>
  </si>
  <si>
    <t xml:space="preserve">Those who didn't take anything from BTC before, TPs
25% @ 74.3k
75% @ 75k
I'll also trim accordingly on the smaller account</t>
  </si>
  <si>
    <t xml:space="preserve">https://discord.com/channels/1042855255089623100/1501271173588193290/1510622989073514750</t>
  </si>
  <si>
    <t xml:space="preserve">2026-06-01 02:06:55</t>
  </si>
  <si>
    <t xml:space="preserve">74500</t>
  </si>
  <si>
    <t xml:space="preserve">moves his own first 25% TP up from 74.3k to 74.5k while advising followers that 74.3k is the better level</t>
  </si>
  <si>
    <t xml:space="preserve">Moving first 25% @ 74.5k personally better if you take 74.3k but I moved 74.5k</t>
  </si>
  <si>
    <t xml:space="preserve">https://discord.com/channels/1042855255089623100/1501271173588193290/1510781652899729470</t>
  </si>
  <si>
    <t xml:space="preserve">BTC long stopped after only TP1 at 74.2k was taken; held three days and was above 1R before reversing</t>
  </si>
  <si>
    <t xml:space="preserve">Well guys BTC stopped after TP1 @ 74.2k, held 3 days, above 1R just to get stopped.</t>
  </si>
  <si>
    <t xml:space="preserve">https://discord.com/channels/1042855255089623100/1501271173588193290/1511005483102900537</t>
  </si>
  <si>
    <t xml:space="preserve">new RAY long from CMP</t>
  </si>
  <si>
    <t xml:space="preserve">Long RAY
Entry: 0.697 CMP
TPs: 0.719-0.731
SL: 0.6746</t>
  </si>
  <si>
    <t xml:space="preserve">2026-06-01 17:02:25</t>
  </si>
  <si>
    <t xml:space="preserve">May summary: 60 trades, 51 wins, 9 losses, 85% win rate, +159.60% net, RR 23.6; trades still running or any TP/SL after May count for June</t>
  </si>
  <si>
    <t xml:space="preserve">**MAY** Trade Summary
Total Trades: 60
Wins: 51
Losses: 9
Win Rate: 85.0% (51/60)
Net Result: +159.60%
RR: 23.6
Had a great month, not my best, will try to play better in June!
Running trades or any TP SL after May will be counted in JUNE.</t>
  </si>
  <si>
    <t xml:space="preserve">https://discord.com/channels/1042855255089623100/1501271173588193290/1511007014795612273</t>
  </si>
  <si>
    <t xml:space="preserve">2026-06-01 17:04:25</t>
  </si>
  <si>
    <t xml:space="preserve">1-2% per trade</t>
  </si>
  <si>
    <t xml:space="preserve">risk management lesson: stick to 1-2% risk per trade and the month closes green</t>
  </si>
  <si>
    <t xml:space="preserve">Guys just hold onto your risk management 1-2% per trade I promise you'll close the month green every month!</t>
  </si>
  <si>
    <t xml:space="preserve">https://discord.com/channels/1042855255089623100/1501271173588193290/1511007517868822631</t>
  </si>
  <si>
    <t xml:space="preserve">not a signal, he is not taking it personally</t>
  </si>
  <si>
    <t xml:space="preserve">BNB long idea at 680 with SL 652 offered to anyone hunting longs, explicitly flagged as not an official signal</t>
  </si>
  <si>
    <t xml:space="preserve">BNB looks like a good long here (680) with SL 652, I'm not personally taking it but if anyone wants to try.
Not a signal but if someone looking for longs rn</t>
  </si>
  <si>
    <t xml:space="preserve">2026-06-01 17:57:17</t>
  </si>
  <si>
    <t xml:space="preserve">breaks down May's R stats: RR 23.6, average TP 0.64R, best trade HYPE at 5R; rough model is 0.5R per TP against -1R per SL, though ZEC was 3R and HYPE 5R</t>
  </si>
  <si>
    <t xml:space="preserve">Btw some of you asking for RR which is valid
**RR:** 23.6
**Avg TP R:** 0.64
**Highest R Trade:** HYPE (5 R)
For a rough calculation do 0.5R TP, -1R SL, it's not always like this as some TPs were a full 3R (ZEC), 5R (HYPE)</t>
  </si>
  <si>
    <t xml:space="preserve">https://discord.com/channels/1042855255089623100/1501271173588193290/1511020823782097017</t>
  </si>
  <si>
    <t xml:space="preserve">just manage your risk guys, no need to be a hero</t>
  </si>
  <si>
    <t xml:space="preserve">decides to take the BNB long he had only suggested</t>
  </si>
  <si>
    <t xml:space="preserve">Okay I'm trying this too, just manage your risk guys, no need to be a hero.</t>
  </si>
  <si>
    <t xml:space="preserve">https://discord.com/channels/1042855255089623100/1501271173588193290/1511042450632998922</t>
  </si>
  <si>
    <t xml:space="preserve">2026-06-01 20:36:27</t>
  </si>
  <si>
    <t xml:space="preserve">BNB position back in profit</t>
  </si>
  <si>
    <t xml:space="preserve">Okay ALTs back to green (XPL, RAY, BNB)</t>
  </si>
  <si>
    <t xml:space="preserve">https://discord.com/channels/1042855255089623100/1501271173588193290/1511060876524785665</t>
  </si>
  <si>
    <t xml:space="preserve">RAY position back in profit</t>
  </si>
  <si>
    <t xml:space="preserve">XPL back in profit; praises it for pumping and surviving the dump but complains it never hits his TP</t>
  </si>
  <si>
    <t xml:space="preserve">dump</t>
  </si>
  <si>
    <t xml:space="preserve">Okay ALTs back to green (XPL, RAY, BNB)
Gotta love XPL for pumping and surviving during dump
Gotta hate it for never hitting TP</t>
  </si>
  <si>
    <t xml:space="preserve">new BTC long from CMP; admits he is catching a falling knife but the R is attractive</t>
  </si>
  <si>
    <t xml:space="preserve">falling market</t>
  </si>
  <si>
    <t xml:space="preserve">Long BTC
Entry: 71.5k CMP
SL: 70k
Targeting 74-75k
Catching a falling knife here but can get a nice R</t>
  </si>
  <si>
    <t xml:space="preserve">better play safe too many trades running</t>
  </si>
  <si>
    <t xml:space="preserve">closes the BTC long essentially flat (+7.63% ROI at 150x) to reduce exposure, intending to re-long after the daily close</t>
  </si>
  <si>
    <t xml:space="preserve">Closing BTC here, will long again after daily closing better play safe too many trades running.</t>
  </si>
  <si>
    <t xml:space="preserve">https://discord.com/channels/1042855255089623100/1501271173588193290/1511069875475583046</t>
  </si>
  <si>
    <t xml:space="preserve">takes profit manually on RAY because the TP1 limit order missed filling by 0.0001</t>
  </si>
  <si>
    <t xml:space="preserve">Taking TP here, TP1 missed by 0.0001</t>
  </si>
  <si>
    <t xml:space="preserve">https://discord.com/channels/1042855255089623100/1501271173588193290/1511071550055514112</t>
  </si>
  <si>
    <t xml:space="preserve">2026-06-01 21:21:53</t>
  </si>
  <si>
    <t xml:space="preserve">settles for a modest RAY result in a bad market and notes followers likely got a better entry near 0.69 when the call was given</t>
  </si>
  <si>
    <t xml:space="preserve">this market</t>
  </si>
  <si>
    <t xml:space="preserve">Not the best trade but going to take whatever I can get in this market!
Your entry is probably better, it was dumped around 0.69 when given</t>
  </si>
  <si>
    <t xml:space="preserve">https://discord.com/channels/1042855255089623100/1501271173588193290/1511072310357004509</t>
  </si>
  <si>
    <t xml:space="preserve">2026-06-01 22:21:47</t>
  </si>
  <si>
    <t xml:space="preserve">BNB nearly 1R up; followers can take TP whenever they are happy</t>
  </si>
  <si>
    <t xml:space="preserve">BNB nearly 1R up, take TP whenever happy I'm trying for 700+</t>
  </si>
  <si>
    <t xml:space="preserve">https://discord.com/channels/1042855255089623100/1501271173588193290/1511087386090799164</t>
  </si>
  <si>
    <t xml:space="preserve">he is personally aiming for 700+ on BNB</t>
  </si>
  <si>
    <t xml:space="preserve">I'm trying for 700+</t>
  </si>
  <si>
    <t xml:space="preserve">2026-06-01 23:24:24</t>
  </si>
  <si>
    <t xml:space="preserve">take 10-20% only, save MAJORITY</t>
  </si>
  <si>
    <t xml:space="preserve">at 1.2R he wants only a small 10-20% partial taken so the majority runs further</t>
  </si>
  <si>
    <t xml:space="preserve">Up 1.2R take 10-20% only, save MAJORITY!</t>
  </si>
  <si>
    <t xml:space="preserve">https://discord.com/channels/1042855255089623100/1501271173588193290/1511103142903676929</t>
  </si>
  <si>
    <t xml:space="preserve">XPL TP finally hit for 0.8R; closed at 0.0958 and he is done trading the coin even though it looks pumpy</t>
  </si>
  <si>
    <t xml:space="preserve">Finally TP hit, 0.8 R, XPL looks very pumpy now but I'm done with this coin.</t>
  </si>
  <si>
    <t xml:space="preserve">https://discord.com/channels/1042855255089623100/1501271173588193290/1511219416782737429</t>
  </si>
  <si>
    <t xml:space="preserve">better if you use half risk here as it's already too pumped but your choice</t>
  </si>
  <si>
    <t xml:space="preserve">swing long on FET taken late in the move, so size should be halved</t>
  </si>
  <si>
    <t xml:space="preserve">A bit late to the party but taking a long on FET
Long FET (Swing)
Entry: 0.276 CMP
TP: 0.3-0.35
SL: 0.249
Better if you use half risk here as it's already too pumped but your choice.</t>
  </si>
  <si>
    <t xml:space="preserve">73000, 74000</t>
  </si>
  <si>
    <t xml:space="preserve">keep risk half if you're entering, if I enter you can increase it to normal sized</t>
  </si>
  <si>
    <t xml:space="preserve">shares a BTC long plan he is not taking himself; half risk for anyone who takes it, normal size only if he joins</t>
  </si>
  <si>
    <t xml:space="preserve">If anyone's looking for a BTC plan, I have something like this in mind
Entry: 69446
TPs: 73-74k
SL: 68k
I'm not entering this myself but I think it's worth a try, keep risk half if you're entering, if I enter you can increase it to normal sized</t>
  </si>
  <si>
    <t xml:space="preserve">2026-06-02 12:31:16</t>
  </si>
  <si>
    <t xml:space="preserve">took 20% off the top and will let the remaining BNB position run until SL or TP</t>
  </si>
  <si>
    <t xml:space="preserve">I'll keep BNB running, till SL or TP, took 20% on top.</t>
  </si>
  <si>
    <t xml:space="preserve">https://discord.com/channels/1042855255089623100/1501271173588193290/1511301165147488397</t>
  </si>
  <si>
    <t xml:space="preserve">takes the BTC long himself from CMP 69.3k</t>
  </si>
  <si>
    <t xml:space="preserve">Long BTC
Entry: 69.3k CMP
TP: 73k
SL: 66.5k</t>
  </si>
  <si>
    <t xml:space="preserve">https://discord.com/channels/1042855255089623100/1501271173588193290/1511309645673791488</t>
  </si>
  <si>
    <t xml:space="preserve">2026-06-02 13:08:07</t>
  </si>
  <si>
    <t xml:space="preserve">corrects the entry of the BTC long just posted to 69.4k</t>
  </si>
  <si>
    <t xml:space="preserve">69.4k ^</t>
  </si>
  <si>
    <t xml:space="preserve">https://discord.com/channels/1042855255089623100/1501271173588193290/1511310440297398353</t>
  </si>
  <si>
    <t xml:space="preserve">new SEI long from CMP with a split exit: 25% at 0.070, 75% at 0.072</t>
  </si>
  <si>
    <t xml:space="preserve">Long SEI
Entry: 0.067 CMP
TPs:
0.070 (25%)
0.072 (75%)
SL: 0.0632</t>
  </si>
  <si>
    <t xml:space="preserve">2026-06-02 17:36:15</t>
  </si>
  <si>
    <t xml:space="preserve">manage risk 1-2% per trade</t>
  </si>
  <si>
    <t xml:space="preserve">reassures the group that the month ends 10R+ green if risk stays at 1-2% per trade despite the rough market</t>
  </si>
  <si>
    <t xml:space="preserve">rough market</t>
  </si>
  <si>
    <t xml:space="preserve">Rough market but we will end in green with a 10+ R I promise, the key is to manage risk 1-2% per trade</t>
  </si>
  <si>
    <t xml:space="preserve">https://discord.com/channels/1042855255089623100/1501271173588193290/1511377918289383626</t>
  </si>
  <si>
    <t xml:space="preserve">2026-06-02 17:50:44</t>
  </si>
  <si>
    <t xml:space="preserve">June so far is 3 TPs (XPL, RAY, BNB) against 1 SL (SOL); reminds the group May had 50+ wins and 20+ R and that TPs always outnumber SLs</t>
  </si>
  <si>
    <t xml:space="preserve">Btw there's nothing to worry about, we had 50+ wins last month with a 20+ R, who alone gives so many trades?
The month just started, 3 TPs (XPL, RAY, BNB), 1 SL (SOL) so far.
TPs will always be double if not triple : )</t>
  </si>
  <si>
    <t xml:space="preserve">https://discord.com/channels/1042855255089623100/1501271173588193290/1511381563856916541</t>
  </si>
  <si>
    <t xml:space="preserve">the SOL swing long is listed as June's only stop-loss so far; the stop itself was never posted separately</t>
  </si>
  <si>
    <t xml:space="preserve">The month just started, 3 TPs (XPL, RAY, BNB), 1 SL (SOL) so far.</t>
  </si>
  <si>
    <t xml:space="preserve">expects NEAR to pump around +10% if BTC stabilises here</t>
  </si>
  <si>
    <t xml:space="preserve">conditional on BTC stabilizing</t>
  </si>
  <si>
    <t xml:space="preserve">If BTC stabilizes here, NEAR gonna pump around +10%</t>
  </si>
  <si>
    <t xml:space="preserve">2026-06-02 22:26:55</t>
  </si>
  <si>
    <t xml:space="preserve">will wait for the 4h close on SEI and close manually for breakeven; exits if the 4h closes under 0.064, and expects a bounce back to entry off the 200 EMA</t>
  </si>
  <si>
    <t xml:space="preserve">EMA, 4h close</t>
  </si>
  <si>
    <t xml:space="preserve">Guys I am gonna wait for 4h closing on SEI, I think we can easily get BE, will manually close.
If 4h closes under 0.064 I exit this, at 200 EMA theres a big chance we bounce till our entry!</t>
  </si>
  <si>
    <t xml:space="preserve">https://discord.com/channels/1042855255089623100/1501271173588193290/1511451065881596137</t>
  </si>
  <si>
    <t xml:space="preserve">2026-06-02 22:36:44</t>
  </si>
  <si>
    <t xml:space="preserve">dont want anyone to get liquidated if a crashing wick comes in</t>
  </si>
  <si>
    <t xml:space="preserve">sets a hard stop at 0.0627, slightly below the original 0.0632, so a crash wick cannot liquidate anyone</t>
  </si>
  <si>
    <t xml:space="preserve">Hard SL @ 0.0627, dont want anyone to get liquidated if a crashing wick comes in!</t>
  </si>
  <si>
    <t xml:space="preserve">https://discord.com/channels/1042855255089623100/1501271173588193290/1511453537622822912</t>
  </si>
  <si>
    <t xml:space="preserve">NEAR long idea off the earlier +10% call: stop under the recent low at 2.43, ride to 2.9-3 while taking TPs along the way</t>
  </si>
  <si>
    <t xml:space="preserve">SL recent low around 2,43 if anyone wants to try, CMP is 2.64 and can ride till 2.9-3 but take TPs along the way.</t>
  </si>
  <si>
    <t xml:space="preserve">https://discord.com/channels/1042855255089623100/1501271173588193290/1511461077773324409</t>
  </si>
  <si>
    <t xml:space="preserve">2026-06-03 01:56:21</t>
  </si>
  <si>
    <t xml:space="preserve">out of all his longs after 4 stop-losses back to back; individual symbols not named</t>
  </si>
  <si>
    <t xml:space="preserve">tough day, back-to-back stops</t>
  </si>
  <si>
    <t xml:space="preserve">Out of my longs, tough day today, 4 SLs back to back, rn at -3R.</t>
  </si>
  <si>
    <t xml:space="preserve">https://discord.com/channels/1042855255089623100/1501271173588193290/1511503770276855909</t>
  </si>
  <si>
    <t xml:space="preserve">currently -3R on the day but promises +3R by the end of the week and 10R for the month</t>
  </si>
  <si>
    <t xml:space="preserve">rn at -3R.
Will be +3R by the end of the week, 10R this month a promise, start counting!</t>
  </si>
  <si>
    <t xml:space="preserve">2026-06-03 09:11:21</t>
  </si>
  <si>
    <t xml:space="preserve">NEAR is 1R up, so anyone who took the idea should take 50% here</t>
  </si>
  <si>
    <t xml:space="preserve">NEAR 1R up if anyone tried a long on it, take 50% here, I close full around 3</t>
  </si>
  <si>
    <t xml:space="preserve">https://discord.com/channels/1042855255089623100/1501271173588193290/1511613242999308458</t>
  </si>
  <si>
    <t xml:space="preserve">3.0</t>
  </si>
  <si>
    <t xml:space="preserve">his own full exit is set around 3</t>
  </si>
  <si>
    <t xml:space="preserve">I close full around 3</t>
  </si>
  <si>
    <t xml:space="preserve">new BTC long from CMP with a soft stop: manual close only if the 4h candle closes under 64.4k</t>
  </si>
  <si>
    <t xml:space="preserve">Long BTC
Entry: 67.3k CMP
TP: 69-70k
SL: 4h manual close under 64.4</t>
  </si>
  <si>
    <t xml:space="preserve">2026-06-03 12:42:10</t>
  </si>
  <si>
    <t xml:space="preserve">adds a 50% DCA level at 66550 to the BTC long</t>
  </si>
  <si>
    <t xml:space="preserve">DCA: 66550 (50%)</t>
  </si>
  <si>
    <t xml:space="preserve">https://discord.com/channels/1042855255089623100/1501271173588193290/1511666296180445235</t>
  </si>
  <si>
    <t xml:space="preserve">tightens the target from 69-70k to a single 69.3k</t>
  </si>
  <si>
    <t xml:space="preserve">TP: 69.3k</t>
  </si>
  <si>
    <t xml:space="preserve">replaces the soft 4h-close stop under 64.4k with a hard 65.3k stop to improve R</t>
  </si>
  <si>
    <t xml:space="preserve">SL: 65.3k
Bringing SL closer to improve R and avoid soft SL</t>
  </si>
  <si>
    <t xml:space="preserve">2026-06-03 12:56:24</t>
  </si>
  <si>
    <t xml:space="preserve">clarifies the BTC setup is a long from current market price, blaming a typing mistake</t>
  </si>
  <si>
    <t xml:space="preserve">Guys it's a long from CMP typing mistake, I was half asleep lol</t>
  </si>
  <si>
    <t xml:space="preserve">https://discord.com/channels/1042855255089623100/1501271173588193290/1511669876727615528</t>
  </si>
  <si>
    <t xml:space="preserve">2026-06-03 13:29:28</t>
  </si>
  <si>
    <t xml:space="preserve">repeats that the entry for the setup above is at current market price</t>
  </si>
  <si>
    <t xml:space="preserve">https://discord.com/channels/1042855255089623100/1501271173588193290/1511678199610740787</t>
  </si>
  <si>
    <t xml:space="preserve">TP hit and full exit on NEAR at 2.897 after it pumped exactly the 10% he called</t>
  </si>
  <si>
    <t xml:space="preserve">TP hit, Fully exiting NEAR if someone took and held, pumped exactly 10% as mentioned!</t>
  </si>
  <si>
    <t xml:space="preserve">https://discord.com/channels/1042855255089623100/1501271173588193290/1511684787004248166</t>
  </si>
  <si>
    <t xml:space="preserve">2026-06-03 13:57:34</t>
  </si>
  <si>
    <t xml:space="preserve">the NEAR trade made 1.6R, enough to recover about two stop-losses, but he will not count it in his official stats since it was an idea rather than a signal</t>
  </si>
  <si>
    <t xml:space="preserve">1.6 R, technically this recovers around 2 SLs but I won't count this!</t>
  </si>
  <si>
    <t xml:space="preserve">https://discord.com/channels/1042855255089623100/1501271173588193290/1511685272184815727</t>
  </si>
  <si>
    <t xml:space="preserve">updated DEXE short setup engineered so the TP at 18 is worth 2R</t>
  </si>
  <si>
    <t xml:space="preserve">Short DEXE (UPDATED setup for 2R)
Entry: 21.53 CMP
TP: 18
SL: 23.56
High risk high reward trade, TP is 2R.</t>
  </si>
  <si>
    <t xml:space="preserve">RISKY but worth the RR. (Almost 5)</t>
  </si>
  <si>
    <t xml:space="preserve">risky gold short but the RR is almost 5; posted for the forex traders who asked in chat, and he will not count it in the crypto TP/SL record</t>
  </si>
  <si>
    <t xml:space="preserve">Short GOLD (XAU)
Entry limit: 4474
TP: 4400
SL: 4491
RISKY but worth the RR. (Almost 5)
I won't count this with Crypto TP or SL, this for who do forex and demanded in chat.</t>
  </si>
  <si>
    <t xml:space="preserve">cancelling the 4474 limit short — it was never filled, price front-ran the entry by $4 and the setup is already up 2.5R without him</t>
  </si>
  <si>
    <t xml:space="preserve">Cancelled, up 2.5R already, missed by 4$ front ran</t>
  </si>
  <si>
    <t xml:space="preserve">https://discord.com/channels/1042855255089623100/1501271173588193290/1511728434647273605</t>
  </si>
  <si>
    <t xml:space="preserve">use half risk</t>
  </si>
  <si>
    <t xml:space="preserve">re-entering gold short at CMP; riskier than the cancelled setup because the initial entry front ran to half the TP already, so half risk. Won't be counted with crypto TP/SL</t>
  </si>
  <si>
    <t xml:space="preserve">Sell GOLD
Entry: 4452 CMP
TP: 4427
SL: 4468
Riskier because initial entry front ran to half TP already, use half risk.
Won't be counting TP or SL for crypto SLs</t>
  </si>
  <si>
    <t xml:space="preserve">2026-06-03 18:11:49</t>
  </si>
  <si>
    <t xml:space="preserve">take maximum 25%-30%, keep majority</t>
  </si>
  <si>
    <t xml:space="preserve">DEXE short is up 1.1R — members may trim but at most 25-30%, keep the majority on</t>
  </si>
  <si>
    <t xml:space="preserve">Up 1.1R if you wanna trim some but take maximum 25%-30% keep majority!</t>
  </si>
  <si>
    <t xml:space="preserve">https://discord.com/channels/1042855255089623100/1501271173588193290/1511749257483386990</t>
  </si>
  <si>
    <t xml:space="preserve">2026-06-03 19:06:17</t>
  </si>
  <si>
    <t xml:space="preserve">tightening the stop on the open BTC long (from 65.3k) to 65k; no reason given</t>
  </si>
  <si>
    <t xml:space="preserve">Also move BTC SL to 65k</t>
  </si>
  <si>
    <t xml:space="preserve">https://discord.com/channels/1042855255089623100/1501271173588193290/1511762963021824001</t>
  </si>
  <si>
    <t xml:space="preserve">up 1.6R, so he removes the TP at 18 and will close manually, trying for around 3R / 17.5</t>
  </si>
  <si>
    <t xml:space="preserve">Up 1.6R, I'm removing my TP @ 18 and will close manually, trying for a 3R or around 17.5 on this</t>
  </si>
  <si>
    <t xml:space="preserve">status note: the gold short has also moved 1R</t>
  </si>
  <si>
    <t xml:space="preserve">Gold moved 1R as well.</t>
  </si>
  <si>
    <t xml:space="preserve">closed the whole DEXE short here for +1.6R, no partials — a full R result</t>
  </si>
  <si>
    <t xml:space="preserve">Closed DEXE fully here for +1.6 R, no partials full R</t>
  </si>
  <si>
    <t xml:space="preserve">https://discord.com/channels/1042855255089623100/1501271173588193290/1511773310231384267</t>
  </si>
  <si>
    <t xml:space="preserve">2026-06-03 19:48:01</t>
  </si>
  <si>
    <t xml:space="preserve">reason for closing the DEXE short: support is forming and the 4h EMA 50 is here, so price will either hold or bounce if BTC recovers</t>
  </si>
  <si>
    <t xml:space="preserve">if BTC recovers</t>
  </si>
  <si>
    <t xml:space="preserve">I see support form and ema 50 on 4h it'll either hold or bounce from here if BTC recovers so better close</t>
  </si>
  <si>
    <t xml:space="preserve">https://discord.com/channels/1042855255089623100/1501271173588193290/1511773466028675143</t>
  </si>
  <si>
    <t xml:space="preserve">2026-06-03 19:55:00</t>
  </si>
  <si>
    <t xml:space="preserve">gold has moved 1R, members may book some profit here (no portion specified)</t>
  </si>
  <si>
    <t xml:space="preserve">Gold moved 1R you can book some if you want and move SL to entry for safety.</t>
  </si>
  <si>
    <t xml:space="preserve">https://discord.com/channels/1042855255089623100/1501271173588193290/1511775222548795592</t>
  </si>
  <si>
    <t xml:space="preserve">move the stop to entry for safety after the 1R move; entry 4452 taken from the call he is replying to</t>
  </si>
  <si>
    <t xml:space="preserve">move SL to entry for safety</t>
  </si>
  <si>
    <t xml:space="preserve">2026-06-03 20:31:13</t>
  </si>
  <si>
    <t xml:space="preserve">still in gold — the move-to-breakeven never filled for him, so he is holding for either SL or TP</t>
  </si>
  <si>
    <t xml:space="preserve">Still in gold didn't hit BE, it's SL or TP for me.</t>
  </si>
  <si>
    <t xml:space="preserve">https://discord.com/channels/1042855255089623100/1501271173588193290/1511784336964194415</t>
  </si>
  <si>
    <t xml:space="preserve">2026-06-03 20:41:29</t>
  </si>
  <si>
    <t xml:space="preserve">offers higher-RR trades if members stop fixating on win rate, but says he will still try to keep win rate at least 70%+</t>
  </si>
  <si>
    <t xml:space="preserve">If you guys don't worry about win rate a bit too much I can share even higher RR trades but I'll try to keep it at least 70% above!</t>
  </si>
  <si>
    <t xml:space="preserve">https://discord.com/channels/1042855255089623100/1501271173588193290/1511786918516363305</t>
  </si>
  <si>
    <t xml:space="preserve">the extended TP (~17.5) printed just after he closed at 18.53 — he should have held, but moves on</t>
  </si>
  <si>
    <t xml:space="preserve">Shit just hit my extended TP, should have held, anyhow on to next.</t>
  </si>
  <si>
    <t xml:space="preserve">just a scalp — will take profit around 0.5-0.7R (roughly 0.04-0.042)</t>
  </si>
  <si>
    <t xml:space="preserve">Long PHA
Entry: 0.038 CMP
Just a scalp will TP around 0.5-0.7R (Around 0.04-0.042)
SL: 0.034</t>
  </si>
  <si>
    <t xml:space="preserve">2026-06-03 22:05:38</t>
  </si>
  <si>
    <t xml:space="preserve">PHA reached the first target (he writes 0.4, meaning 0.04) for 0.5R, so he takes 30% off and will close the rest soon</t>
  </si>
  <si>
    <t xml:space="preserve">PHA hit 0.4, up 0.5R taking 30% will close full soon</t>
  </si>
  <si>
    <t xml:space="preserve">https://discord.com/channels/1042855255089623100/1501271173588193290/1511808098916892774</t>
  </si>
  <si>
    <t xml:space="preserve">2026-06-03 22:09:32</t>
  </si>
  <si>
    <t xml:space="preserve">optional guidance: members who dislike partials can close the whole PHA scalp here for a small 0.5R win — he sniped the entry</t>
  </si>
  <si>
    <t xml:space="preserve">If you don't like partials like me you can fully close too for a small 0.5R win, sniped it though!</t>
  </si>
  <si>
    <t xml:space="preserve">https://discord.com/channels/1042855255089623100/1501271173588193290/1511809077859188926</t>
  </si>
  <si>
    <t xml:space="preserve">2026-06-03 23:07:18</t>
  </si>
  <si>
    <t xml:space="preserve">soft/manual SL: 4h close under 64.6k</t>
  </si>
  <si>
    <t xml:space="preserve">holding the BTC long — invalidation is a 4h close under 64.6k, which he calls the last big support that should hold</t>
  </si>
  <si>
    <t xml:space="preserve">support/resistance, 4h close</t>
  </si>
  <si>
    <t xml:space="preserve">I am holding BTC, 4h close under 64.6k, this like the last near biggest support of BTC we should hold this!</t>
  </si>
  <si>
    <t xml:space="preserve">https://discord.com/channels/1042855255089623100/1501271173588193290/1511823616847908865</t>
  </si>
  <si>
    <t xml:space="preserve">2026-06-03 23:09:43</t>
  </si>
  <si>
    <t xml:space="preserve">have a hard SL somewhere around 63-64k</t>
  </si>
  <si>
    <t xml:space="preserve">on top of the soft 4h-close SL, keep a hard stop somewhere around 63-64k to avoid a liquidation wick; exact level not given so stop_loss left null</t>
  </si>
  <si>
    <t xml:space="preserve">liquidation levels</t>
  </si>
  <si>
    <t xml:space="preserve">Have a hard SL somewhere around 63-64k to avoid liqudiation wick</t>
  </si>
  <si>
    <t xml:space="preserve">https://discord.com/channels/1042855255089623100/1501271173588193290/1511824223193006231</t>
  </si>
  <si>
    <t xml:space="preserve">telling anyone still holding XAU to exit here — exactly 1R</t>
  </si>
  <si>
    <t xml:space="preserve">If anyone was hold XAU, exit here, up 1R exactly!</t>
  </si>
  <si>
    <t xml:space="preserve">https://discord.com/channels/1042855255089623100/1501271173588193290/1511831416189620354</t>
  </si>
  <si>
    <t xml:space="preserve">2026-06-04 00:07:18</t>
  </si>
  <si>
    <t xml:space="preserve">half risk now</t>
  </si>
  <si>
    <t xml:space="preserve">still holding PHA but at half risk after the partial; it is a 0.5R trade, the plan is still valid and members can re-enter</t>
  </si>
  <si>
    <t xml:space="preserve">Guys I'm still holding PHA but with half risk now, 0.5R trade, plan is valid can reneter</t>
  </si>
  <si>
    <t xml:space="preserve">https://discord.com/channels/1042855255089623100/1501271173588193290/1511838714349883434</t>
  </si>
  <si>
    <t xml:space="preserve">BTC closed below the manual/soft SL (4h close under 64.6k), so members who cannot take more risk should exit — he did not exit himself</t>
  </si>
  <si>
    <t xml:space="preserve">Alright guys, BTC closed below the manual SL you guys can exit if you can't risk no more.</t>
  </si>
  <si>
    <t xml:space="preserve">https://discord.com/channels/1042855255089623100/1501271173588193290/1511882984372830259</t>
  </si>
  <si>
    <t xml:space="preserve">he will personally hold the long down to 63k because he believes a temporary bounce is coming</t>
  </si>
  <si>
    <t xml:space="preserve">I'LL PERSONALLY HOLD TILL 63K I believe a temporary bounce is coming.</t>
  </si>
  <si>
    <t xml:space="preserve">longed BTC at 62.8k and will keep longing until one works; he edited the SL to bring it closer, now 60k</t>
  </si>
  <si>
    <t xml:space="preserve">Longed BTC @ 62.8k
SL 60k
Gonna keep longing until I get something
I edited SL to bring it closer</t>
  </si>
  <si>
    <t xml:space="preserve">I went heavy</t>
  </si>
  <si>
    <t xml:space="preserve">closing the BTC long here for 0.5R because he sized heavy on it</t>
  </si>
  <si>
    <t xml:space="preserve">Closing here for 0.5R, I went heavy</t>
  </si>
  <si>
    <t xml:space="preserve">https://discord.com/channels/1042855255089623100/1501271173588193290/1511970914877833256</t>
  </si>
  <si>
    <t xml:space="preserve">re-entered the same BTC long setup from 62.8k; members can get in at market</t>
  </si>
  <si>
    <t xml:space="preserve">Longed BTC again from 62.8k same setup, get in CMP</t>
  </si>
  <si>
    <t xml:space="preserve">2026-06-04 13:22:14</t>
  </si>
  <si>
    <t xml:space="preserve">stop for the re-entered BTC long (symbol from the message 11 seconds earlier)</t>
  </si>
  <si>
    <t xml:space="preserve">SL 59k</t>
  </si>
  <si>
    <t xml:space="preserve">https://discord.com/channels/1042855255089623100/1501271173588193290/1512038765726666783</t>
  </si>
  <si>
    <t xml:space="preserve">2026-06-04 13:22:28</t>
  </si>
  <si>
    <t xml:space="preserve">keep 50% in reserve for a possible DCA</t>
  </si>
  <si>
    <t xml:space="preserve">he may DCA the BTC long, so only half the intended size should be deployed now; no DCA level given</t>
  </si>
  <si>
    <t xml:space="preserve">And I may DCA so keep 50%</t>
  </si>
  <si>
    <t xml:space="preserve">https://discord.com/channels/1042855255089623100/1501271173588193290/1512038824652570705</t>
  </si>
  <si>
    <t xml:space="preserve">2026-06-04 13:24:16</t>
  </si>
  <si>
    <t xml:space="preserve">DCA: 50% later</t>
  </si>
  <si>
    <t xml:space="preserve">consolidated restatement of the BTC long setup: entry 62.8k, half the size kept for a later DCA, SL 59k</t>
  </si>
  <si>
    <t xml:space="preserve">Entry: 62.8k
DCA: 50% later
SL: 59k</t>
  </si>
  <si>
    <t xml:space="preserve">https://discord.com/channels/1042855255089623100/1501271173588193290/1512039277838471168</t>
  </si>
  <si>
    <t xml:space="preserve">2026-06-04 14:43:21</t>
  </si>
  <si>
    <t xml:space="preserve">added 25% to the BTC long here; average entry is now 62.7k (add price itself not given)</t>
  </si>
  <si>
    <t xml:space="preserve">Added 25% here avg is 62.7k</t>
  </si>
  <si>
    <t xml:space="preserve">https://discord.com/channels/1042855255089623100/1501271173588193290/1512059179416813728</t>
  </si>
  <si>
    <t xml:space="preserve">closing the BTC long at 63.6k with the DCA included — good gains for a scalp</t>
  </si>
  <si>
    <t xml:space="preserve">Closing BTC @ 63.6k with a DCA in, good gains for a scalp!</t>
  </si>
  <si>
    <t xml:space="preserve">https://discord.com/channels/1042855255089623100/1501271173588193290/1512071862262300896</t>
  </si>
  <si>
    <t xml:space="preserve">2026-06-04 15:54:49</t>
  </si>
  <si>
    <t xml:space="preserve">textless share card for the same closed BTC long, Blofin side: entry 62,711.2, close 63,567.7, +192.56%</t>
  </si>
  <si>
    <t xml:space="preserve">[IMAGE 130: pnl_share_card | BTCUSDT long 141x entry 62711.2 close 63567.7 ROI 192.56% (closed)]</t>
  </si>
  <si>
    <t xml:space="preserve">https://discord.com/channels/1042855255089623100/1501271173588193290/1512077166039273542</t>
  </si>
  <si>
    <t xml:space="preserve">round 2 on the DEXE short, targeting the same 17.5-18 zone as the first trade</t>
  </si>
  <si>
    <t xml:space="preserve">Taking a round 2 on DEXE
Entry: 20.63 CMP
Targeting 17.5-18 again
SL: 22.606</t>
  </si>
  <si>
    <t xml:space="preserve">2026-06-05 07:06:28</t>
  </si>
  <si>
    <t xml:space="preserve">high risk, high reward</t>
  </si>
  <si>
    <t xml:space="preserve">high risk / high reward DEXE short — he will try to take profit at 2R</t>
  </si>
  <si>
    <t xml:space="preserve">It's a high risk, high reward trade I'll try TPing at 2R</t>
  </si>
  <si>
    <t xml:space="preserve">https://discord.com/channels/1042855255089623100/1501271173588193290/1512306590169174017</t>
  </si>
  <si>
    <t xml:space="preserve">risky; save 25-30% for DCA</t>
  </si>
  <si>
    <t xml:space="preserve">risky BTC long at market, keeping 25-30% back for a DCA — going for a 3rd win in a row on BTC</t>
  </si>
  <si>
    <t xml:space="preserve">Risky long BTC
Entry: 62.3k CMP
SL: 59.5k
Save 25-30% for DCA
Let's see if we can get 3rd win in a row on BTC</t>
  </si>
  <si>
    <t xml:space="preserve">2026-06-05 19:01:58</t>
  </si>
  <si>
    <t xml:space="preserve">extending the stop from 59.5k to 59k and personally holding to 58.5k; since he never DCA'd, a stop at 59k is a -1R</t>
  </si>
  <si>
    <t xml:space="preserve">I'm extending SL to 59k, I'll personally hold it till 58.5k
Didn't DCA so extending 59k will is -1R</t>
  </si>
  <si>
    <t xml:space="preserve">https://discord.com/channels/1042855255089623100/1501271173588193290/1512486651203420242</t>
  </si>
  <si>
    <t xml:space="preserve">2026-06-05 19:24:30</t>
  </si>
  <si>
    <t xml:space="preserve">DCA is optional because he is not adding personally</t>
  </si>
  <si>
    <t xml:space="preserve">lows are swept, so members may optionally add ~25% margin; from a 62.3k entry he still expects to close in profit around 63.4k</t>
  </si>
  <si>
    <t xml:space="preserve">Okay lows are swept you can add around 25% margin if you want, optional
If you have entry 62.3k like me you'll still hopefully close in profits around 63.4k with me, InshaAllah!
(DCA is optional because I'm not adding personally)</t>
  </si>
  <si>
    <t xml:space="preserve">https://discord.com/channels/1042855255089623100/1501271173588193290/1512492320916901919</t>
  </si>
  <si>
    <t xml:space="preserve">2026-06-06 11:48:44</t>
  </si>
  <si>
    <t xml:space="preserve">survived the dump and expects a weekend pullback around 63-64k, so he sets the BTC TP at 63.4k</t>
  </si>
  <si>
    <t xml:space="preserve">expecting some pullback on the weekend around 63-64k</t>
  </si>
  <si>
    <t xml:space="preserve">Hello guys, survived the dump for now.
Expecting some pullback on the weekend around 63-64k
Setting BTC TP @ 63.4k</t>
  </si>
  <si>
    <t xml:space="preserve">https://discord.com/channels/1042855255089623100/1501271173588193290/1512740012121264208</t>
  </si>
  <si>
    <t xml:space="preserve">DEXE moved ~1.1R but he did not TP; a weekend pump makes it risky, so members may move the SL to entry (20.63 from the call) — he is holding for the full SL or TP</t>
  </si>
  <si>
    <t xml:space="preserve">weekend might pump</t>
  </si>
  <si>
    <t xml:space="preserve">DEXE also moved around 1.1R but I didn't TP, a bit risky now because weekend might pump, you can move SL to entry for DEXE if you want I'm planning to hold until SL or TP full setup</t>
  </si>
  <si>
    <t xml:space="preserve">spot accumulation ladder for BTC: 40% at 61k CMP, 30% at DCA1 56k, 30% at DCA2 46k</t>
  </si>
  <si>
    <t xml:space="preserve">If anyone's interested in spot accumulation
BTC
Entry: 61k CMP (40%)
DCA1: 56k (30%)
DCA2: 46k (30%)</t>
  </si>
  <si>
    <t xml:space="preserve">spot accumulation ladder for ETH: 40% at 1578 CMP, 30% at DCA1 1370, 30% at DCA2 969</t>
  </si>
  <si>
    <t xml:space="preserve">ETH:
Entry: 1578 CMP (40%)
DCA1: 1370 (30%)
DCA2: 969 (30%)</t>
  </si>
  <si>
    <t xml:space="preserve">spot accumulation ladder for SOL: 40% at 63 CMP, 30% at DCA1 46, 30% at DCA2 30</t>
  </si>
  <si>
    <t xml:space="preserve">SOL:
Entry: 63 CMP (40%)
DCA1: 46 (30%)
DCA2: 30 (30%)
Not any financial advice, just my personal spot accumulation plan I'm sharing.</t>
  </si>
  <si>
    <t xml:space="preserve">2026-06-06 15:19:14</t>
  </si>
  <si>
    <t xml:space="preserve">quiet weekend; he will try to short ALLO if he sees weakness</t>
  </si>
  <si>
    <t xml:space="preserve">slow weekend not much to do</t>
  </si>
  <si>
    <t xml:space="preserve">Slow weekend not much to do, will try shorting ALLO if I see weakness</t>
  </si>
  <si>
    <t xml:space="preserve">2026-06-07 11:04:01</t>
  </si>
  <si>
    <t xml:space="preserve">63400, 64000</t>
  </si>
  <si>
    <t xml:space="preserve">both positions are back in green; BTC target band widened to 63.4k-64k</t>
  </si>
  <si>
    <t xml:space="preserve">GM guys, both positions back to green.
BTC TPs 63.4k-64k</t>
  </si>
  <si>
    <t xml:space="preserve">https://discord.com/channels/1042855255089623100/1501271173588193290/1513091146987864184</t>
  </si>
  <si>
    <t xml:space="preserve">25-30% if you want</t>
  </si>
  <si>
    <t xml:space="preserve">DEXE target restated at 18 for a 25-30% partial if members want it; he personally is holding for 2R</t>
  </si>
  <si>
    <t xml:space="preserve">DEXE 18 (25-30% if you want I'm targeting 2R)</t>
  </si>
  <si>
    <t xml:space="preserve">patience paid off — took the whole BTC long off at 64.1k</t>
  </si>
  <si>
    <t xml:space="preserve">Guys patience fkin paid off, I took 100% at  64.1k</t>
  </si>
  <si>
    <t xml:space="preserve">https://discord.com/channels/1042855255089623100/1501271173588193290/1513307123797196841</t>
  </si>
  <si>
    <t xml:space="preserve">2026-06-08 01:24:15</t>
  </si>
  <si>
    <t xml:space="preserve">post-trade note: caught a 2k move with no partials and booked the whole size at the top (~64k), his 3rd BTC win in a row</t>
  </si>
  <si>
    <t xml:space="preserve">Caught a 2k move without any partials, 3rd win on BTC in a row
Just to show I didn't take partials, straight away booked at top @ 64!</t>
  </si>
  <si>
    <t xml:space="preserve">https://discord.com/channels/1042855255089623100/1501271173588193290/1513307633908580482</t>
  </si>
  <si>
    <t xml:space="preserve">2026-06-08 05:39:15</t>
  </si>
  <si>
    <t xml:space="preserve">calls the wick up to 22.049 a scam wick and expects a dump now; the DEXE short is still open (chart shows breakeven 20.600)</t>
  </si>
  <si>
    <t xml:space="preserve">Damn what a scam wick, should dump now!</t>
  </si>
  <si>
    <t xml:space="preserve">https://discord.com/channels/1042855255089623100/1501271173588193290/1513371804536799262</t>
  </si>
  <si>
    <t xml:space="preserve">a bit risky since he expects a pump; you can go half risk if you want</t>
  </si>
  <si>
    <t xml:space="preserve">shorting into a level he plans to long from — he wants to long at 61.5k so he shorts down to there, even though he expects a pump first</t>
  </si>
  <si>
    <t xml:space="preserve">Short BTC
Entry: 63123 CMP
DCA: 64250 (50%)
TP: 61500
SL: 65.5k
A bit risky since I expect pump but I'm planning to long at 61.5k so trying to short till there, you can go half risk if you want.</t>
  </si>
  <si>
    <t xml:space="preserve">DEXE round 2 stopped out; it had gone 1R in profit but he took nothing because he was targeting 2R. Still promises to close the month at +10R. SL level taken from the original call</t>
  </si>
  <si>
    <t xml:space="preserve">DEXE stopped, went upto 1R didn't take anything as I was Targeting 2, don't worry my promise remains of closing month with a 10R</t>
  </si>
  <si>
    <t xml:space="preserve">https://discord.com/channels/1042855255089623100/1501271173588193290/1513500073705603162</t>
  </si>
  <si>
    <t xml:space="preserve">2026-06-08 19:25:20</t>
  </si>
  <si>
    <t xml:space="preserve">the 64,250 DCA was barely missed, so he raises the DCA level slightly to 64.3k</t>
  </si>
  <si>
    <t xml:space="preserve">DCA barely missed, increasing it just a bit to 64.3k</t>
  </si>
  <si>
    <t xml:space="preserve">https://discord.com/channels/1042855255089623100/1501271173588193290/1513579695935983747</t>
  </si>
  <si>
    <t xml:space="preserve">shorted gold at market for the members who trade gold; entry given as 4325 or 4322 CMP</t>
  </si>
  <si>
    <t xml:space="preserve">Shorted GOLD if someone trades Gold here
Entry: 4325 or 4322 CMP
TP: 4275
SL: 4349</t>
  </si>
  <si>
    <t xml:space="preserve">2026-06-09 03:46:28</t>
  </si>
  <si>
    <t xml:space="preserve">tells members where to find the instrument: gold trades as XAU on crypto exchanges</t>
  </si>
  <si>
    <t xml:space="preserve">Available as XAU on crypto exchanges.</t>
  </si>
  <si>
    <t xml:space="preserve">https://discord.com/channels/1042855255089623100/1501271173588193290/1513705809706746028</t>
  </si>
  <si>
    <t xml:space="preserve">2026-06-09 04:01:52</t>
  </si>
  <si>
    <t xml:space="preserve">on crypto exchanges keep your SL 2-3$ higher because of price difference/slippage</t>
  </si>
  <si>
    <t xml:space="preserve">execution note: crypto-exchange gold pricing differs, so widen the stop by 2-3 dollars, and use XAU not XAUT</t>
  </si>
  <si>
    <t xml:space="preserve">If you're trading on crypto exchanges just keep 2-3$ your SL higher because of the price difference/slippage and its XAU
Not XAUT</t>
  </si>
  <si>
    <t xml:space="preserve">https://discord.com/channels/1042855255089623100/1501271173588193290/1513709684555780176</t>
  </si>
  <si>
    <t xml:space="preserve">2026-06-09 04:15:24</t>
  </si>
  <si>
    <t xml:space="preserve">BTC missed the DCA by about $50 (which would have made the trade a banger), so he may take profit earlier, around 61.8k instead of 61.5k</t>
  </si>
  <si>
    <t xml:space="preserve">Also BTC missed DCA by a 50$ would be a total banger rn, will TP earlier around 61.8k maybe</t>
  </si>
  <si>
    <t xml:space="preserve">https://discord.com/channels/1042855255089623100/1501271173588193290/1513713093740597379</t>
  </si>
  <si>
    <t xml:space="preserve">new BEAT short at market, entry given as 4.25 or 4.2 CMP; no price target in this message</t>
  </si>
  <si>
    <t xml:space="preserve">Short BEAT
Entry: 4.25 or 4.2 CMP
SL: 4.58</t>
  </si>
  <si>
    <t xml:space="preserve">2026-06-09 08:20:32</t>
  </si>
  <si>
    <t xml:space="preserve">high risk high reward</t>
  </si>
  <si>
    <t xml:space="preserve">BEAT is a binary high risk / high reward trade: either it hits SL or it makes 1.5-2R minimum</t>
  </si>
  <si>
    <t xml:space="preserve">High risk high reward trade, either SL or 1.5-2R minimum!</t>
  </si>
  <si>
    <t xml:space="preserve">https://discord.com/channels/1042855255089623100/1501271173588193290/1513774782217453599</t>
  </si>
  <si>
    <t xml:space="preserve">2026-06-09 11:14:10</t>
  </si>
  <si>
    <t xml:space="preserve">BEAT moved 2.5R and is back to 1.8R while he was asleep; members should take profit wherever they are happy and he will post where he closes</t>
  </si>
  <si>
    <t xml:space="preserve">Moved 2.5R, rn at 1.8R, I was asleep, take profits where happy I'll update where I close</t>
  </si>
  <si>
    <t xml:space="preserve">https://discord.com/channels/1042855255089623100/1501271173588193290/1513818476433641482</t>
  </si>
  <si>
    <t xml:space="preserve">closing the BTC short in small profit at 62.6k because price keeps missing the DCA and returning to entry; counts it as his 4th BTC win in a row</t>
  </si>
  <si>
    <t xml:space="preserve">Closing BTC in small profits @ 62.6k, keeps missing DCA and keeps coming back to entry.
4th win a row on BTC though</t>
  </si>
  <si>
    <t xml:space="preserve">https://discord.com/channels/1042855255089623100/1501271173588193290/1513858795388796938</t>
  </si>
  <si>
    <t xml:space="preserve">take at least 25% at 2R and move SL to BE if he doesn't update</t>
  </si>
  <si>
    <t xml:space="preserve">standing management rule for his trades: book at least 25% at 2R and move the stop to breakeven when he has not posted an update</t>
  </si>
  <si>
    <t xml:space="preserve">Take at least 25% at 2R and move SL to BE if I don't update it's very good profits!</t>
  </si>
  <si>
    <t xml:space="preserve">https://discord.com/channels/1042855255089623100/1501271173588193290/1513859433959002312</t>
  </si>
  <si>
    <t xml:space="preserve">BEAT stopped out after having moved 2.8R in his favour; he hopes members booked profits. SL level taken from the original call</t>
  </si>
  <si>
    <t xml:space="preserve">BEAT stopped after moving 2.8R, I hope you guys took profits!</t>
  </si>
  <si>
    <t xml:space="preserve">2026-06-09 13:59:27</t>
  </si>
  <si>
    <t xml:space="preserve">polling the channel on whether the BEAT trade should be counted as a win or a loss, since it went to big profits before stopping out</t>
  </si>
  <si>
    <t xml:space="preserve">Just checking because I don't know if I should count it as a win or loss as it went to huge profits, I'll pick what the majority says please be honest!</t>
  </si>
  <si>
    <t xml:space="preserve">https://discord.com/channels/1042855255089623100/1501271173588193290/1513860074324623411</t>
  </si>
  <si>
    <t xml:space="preserve">flips to a gold long at market, entry zone 4340-4342 with a tight 4330 stop; no target given</t>
  </si>
  <si>
    <t xml:space="preserve">Long GOLD (XAU) again
Entry: 4340-4342 CMP
SL: 4330</t>
  </si>
  <si>
    <t xml:space="preserve">2026-06-09 15:01:31</t>
  </si>
  <si>
    <t xml:space="preserve">bookkeeping: gold trades stay out of the crypto summary and get their own separate summary</t>
  </si>
  <si>
    <t xml:space="preserve">Guys I won't count gold trades in crypto summary but will make separate summary for these trades</t>
  </si>
  <si>
    <t xml:space="preserve">https://discord.com/channels/1042855255089623100/1501271173588193290/1513875692087935126</t>
  </si>
  <si>
    <t xml:space="preserve">the gold long hit its stop again after moving almost 1R in profit first</t>
  </si>
  <si>
    <t xml:space="preserve">Sorry guys this hit SL again, moved almost 1R and SL : (</t>
  </si>
  <si>
    <t xml:space="preserve">https://discord.com/channels/1042855255089623100/1501271173588193290/1513901080457773248</t>
  </si>
  <si>
    <t xml:space="preserve">2026-06-09 16:43:51</t>
  </si>
  <si>
    <t xml:space="preserve">asks members to fill in the poll (posted in the empty message above) so he can post trades in the style they prefer; he can do both</t>
  </si>
  <si>
    <t xml:space="preserve">Guys kindly fill this, I'll start posting trades accordingly, I can do both ^</t>
  </si>
  <si>
    <t xml:space="preserve">https://discord.com/channels/1042855255089623100/1501271173588193290/1513901444099739680</t>
  </si>
  <si>
    <t xml:space="preserve">2026-06-09 16:44:46</t>
  </si>
  <si>
    <t xml:space="preserve">the trade-off he is offering: low win rate targets 20+R a month, high win rate targets 10R a month</t>
  </si>
  <si>
    <t xml:space="preserve">With low win rate I'll target at least 20+ R a month
With high win rate I'll target 10 RR a month</t>
  </si>
  <si>
    <t xml:space="preserve">https://discord.com/channels/1042855255089623100/1501271173588193290/1513901675264475197</t>
  </si>
  <si>
    <t xml:space="preserve">2026-06-09 16:47:25</t>
  </si>
  <si>
    <t xml:space="preserve">examples of the two styles: DEXE/BEAT are the low win rate trades with a 2R minimum target, BTC scalps are ~90% win rate with 0.5R targets</t>
  </si>
  <si>
    <t xml:space="preserve">Example is DEXE or BEAT trades (low win rate but minimum 2R TP)
BTC scalps (90% WR but 0.5R TPs)</t>
  </si>
  <si>
    <t xml:space="preserve">https://discord.com/channels/1042855255089623100/1501271173588193290/1513902343555387523</t>
  </si>
  <si>
    <t xml:space="preserve">2026-06-09 16:50:29</t>
  </si>
  <si>
    <t xml:space="preserve">his stop was hit exactly on the wick low and gold then ran what would have been 4R in his direction — 'not my day'</t>
  </si>
  <si>
    <t xml:space="preserve">Hit my SL exactly to go 4R up, not my day :' )</t>
  </si>
  <si>
    <t xml:space="preserve">https://discord.com/channels/1042855255089623100/1501271173588193290/1513903113101119708</t>
  </si>
  <si>
    <t xml:space="preserve">2026-06-09 16:52:37</t>
  </si>
  <si>
    <t xml:space="preserve">one-word emphasis pointing back at the poll about trade style</t>
  </si>
  <si>
    <t xml:space="preserve">Important.</t>
  </si>
  <si>
    <t xml:space="preserve">https://discord.com/channels/1042855255089623100/1501271173588193290/1513903650680864948</t>
  </si>
  <si>
    <t xml:space="preserve">75% at entry, 25% saved for the DCA at 60.7k</t>
  </si>
  <si>
    <t xml:space="preserve">BTC scalp long at market with a 25% DCA tranche below; no target posted in this message</t>
  </si>
  <si>
    <t xml:space="preserve">Long BTC (scalp)
Entry: 61.4k CMP (75%)
DCA: 60.7k (25%)
SL: 58.5k</t>
  </si>
  <si>
    <t xml:space="preserve">2026-06-09 17:31:46</t>
  </si>
  <si>
    <t xml:space="preserve">labels the BTC scalp as the low RR / high win rate type; he will post both types so members can pick</t>
  </si>
  <si>
    <t xml:space="preserve">Low RR, High WR trade (I'll try to both as much as I can so you can take which type you like)</t>
  </si>
  <si>
    <t xml:space="preserve">https://discord.com/channels/1042855255089623100/1501271173588193290/1513913502685728848</t>
  </si>
  <si>
    <t xml:space="preserve">2026-06-09 17:32:14</t>
  </si>
  <si>
    <t xml:space="preserve">psychology: he prefers low win rate / high RR, but it needs strong psychology to sit through the losses</t>
  </si>
  <si>
    <t xml:space="preserve">(I personally prefer low win rate high RR but you have to have some strong psychology to go through losses to win big)</t>
  </si>
  <si>
    <t xml:space="preserve">https://discord.com/channels/1042855255089623100/1501271173588193290/1513913622856863837</t>
  </si>
  <si>
    <t xml:space="preserve">another attempt at the BEAT short after the previous one stopped out</t>
  </si>
  <si>
    <t xml:space="preserve">Trying another shot at BEAT
Short BEAT
Entry: 4.7
TP: 3.4
SL: 5.1
High risk high reward trade</t>
  </si>
  <si>
    <t xml:space="preserve">2026-06-09 19:55:40</t>
  </si>
  <si>
    <t xml:space="preserve">clarifies that the 4.7 entry on the BEAT short is at current market price</t>
  </si>
  <si>
    <t xml:space="preserve">https://discord.com/channels/1042855255089623100/1501271173588193290/1513949715530645584</t>
  </si>
  <si>
    <t xml:space="preserve">2026-06-09 20:00:56</t>
  </si>
  <si>
    <t xml:space="preserve">half risk</t>
  </si>
  <si>
    <t xml:space="preserve">sizing instruction for the BEAT short: use half risk, 'it's risky at BE so adjust'</t>
  </si>
  <si>
    <t xml:space="preserve">Half risk btw it's risky at BE so adjust</t>
  </si>
  <si>
    <t xml:space="preserve">https://discord.com/channels/1042855255089623100/1501271173588193290/1513951044978348185</t>
  </si>
  <si>
    <t xml:space="preserve">2026-06-09 20:09:36</t>
  </si>
  <si>
    <t xml:space="preserve">very risky trade</t>
  </si>
  <si>
    <t xml:space="preserve">very risky, but if BEAT drops he considers 3R confirmed</t>
  </si>
  <si>
    <t xml:space="preserve">Very risky trade but if it's drops 3R is confirmed</t>
  </si>
  <si>
    <t xml:space="preserve">https://discord.com/channels/1042855255089623100/1501271173588193290/1513953223550173284</t>
  </si>
  <si>
    <t xml:space="preserve">2026-06-09 20:19:48</t>
  </si>
  <si>
    <t xml:space="preserve">BTC missed the 60.7k DCA again by about $20, though that DCA tranche was only 25% so it matters less</t>
  </si>
  <si>
    <t xml:space="preserve">Man no way BTC missed DCA again by 20$ lol, but at least that DCA was small</t>
  </si>
  <si>
    <t xml:space="preserve">https://discord.com/channels/1042855255089623100/1501271173588193290/1513955790870810835</t>
  </si>
  <si>
    <t xml:space="preserve">2026-06-10 02:12:27</t>
  </si>
  <si>
    <t xml:space="preserve">if someone can't risk it you can exit here</t>
  </si>
  <si>
    <t xml:space="preserve">war-related news is out; BTC is still up from breakeven, anyone who cannot take the risk can exit, he will play the full setup</t>
  </si>
  <si>
    <t xml:space="preserve">war related news</t>
  </si>
  <si>
    <t xml:space="preserve">Some war related news going on BTC was doing good still up from BE, if someone can't risk it you can exit here!
I'll play full setup</t>
  </si>
  <si>
    <t xml:space="preserve">https://discord.com/channels/1042855255089623100/1501271173588193290/1514044537566400622</t>
  </si>
  <si>
    <t xml:space="preserve">exits in small profit because he already has a risky trade running and does not want more risk; small win better than red</t>
  </si>
  <si>
    <t xml:space="preserve">Exiting BTC in small profits @ 61.6k will look to enter around DCA, I was planning to keep this but already have a risky trade running no need to risk more
Small win but better than red</t>
  </si>
  <si>
    <t xml:space="preserve">https://discord.com/channels/1042855255089623100/1501271173588193290/1514052125032845392</t>
  </si>
  <si>
    <t xml:space="preserve">will look to re-enter BTC long around his DCA level; no new price given in this message</t>
  </si>
  <si>
    <t xml:space="preserve">will look to enter around DCA</t>
  </si>
  <si>
    <t xml:space="preserve">2026-06-10 03:01:48</t>
  </si>
  <si>
    <t xml:space="preserve">gold and BTC have been moving together lately, so a gold pump would probably drag BTC higher; gold dumped but BTC did not</t>
  </si>
  <si>
    <t xml:space="preserve">Gold dumped, BTC didn't; gold and BTC correlated these days</t>
  </si>
  <si>
    <t xml:space="preserve">Gold dumped, BTC didn't
These days they both move together, If Gold pumps probably takes BTC higher, just a thought.</t>
  </si>
  <si>
    <t xml:space="preserve">https://discord.com/channels/1042855255089623100/1501271173588193290/1514056959626579968</t>
  </si>
  <si>
    <t xml:space="preserve">High risk high reward trade; DCA 0.44 is 25% of size</t>
  </si>
  <si>
    <t xml:space="preserve">new high-risk high-reward short, entry at current market price with a 25% DCA above</t>
  </si>
  <si>
    <t xml:space="preserve">Short ALLO
Entry: 0.425 CMP
DCA: 0.44 (25%)
SL: 0.468
High risk high reward trade</t>
  </si>
  <si>
    <t xml:space="preserve">https://discord.com/channels/1042855255089623100/1501271173588193290/1514182826495574016</t>
  </si>
  <si>
    <t xml:space="preserve">2026-06-10 11:46:49</t>
  </si>
  <si>
    <t xml:space="preserve">acknowledges the high risk / high reward trades have been hitting stops, but says the winners will pay 3-5R</t>
  </si>
  <si>
    <t xml:space="preserve">Guys I know these high risk high reward trades are getting SLs but when I start getting TPs it'll be 3-5R</t>
  </si>
  <si>
    <t xml:space="preserve">https://discord.com/channels/1042855255089623100/1501271173588193290/1514189082488471633</t>
  </si>
  <si>
    <t xml:space="preserve">gives the target for the ALLO short that was called without one</t>
  </si>
  <si>
    <t xml:space="preserve">TP is 0.3</t>
  </si>
  <si>
    <t xml:space="preserve">DCA 59.5k is 25%, majority at CMP</t>
  </si>
  <si>
    <t xml:space="preserve">new BTC scalp long at current market price with a small lower DCA</t>
  </si>
  <si>
    <t xml:space="preserve">Long BTC (scalp)
Entry: 61.1k CMP
DCA: 59.5k (25% majority at CMP)
TP: 63k
SL: 58.5k</t>
  </si>
  <si>
    <t xml:space="preserve">2026-06-10 15:34:11</t>
  </si>
  <si>
    <t xml:space="preserve">62460</t>
  </si>
  <si>
    <t xml:space="preserve">adds a first target at 62460 ahead of the original 63k TP; share card shows the 150x long +122.2% open</t>
  </si>
  <si>
    <t xml:space="preserve">Pump it boys, first TP @ 62460</t>
  </si>
  <si>
    <t xml:space="preserve">https://discord.com/channels/1042855255089623100/1501271173588193290/1514246300990705724</t>
  </si>
  <si>
    <t xml:space="preserve">2026-06-10 16:03:08</t>
  </si>
  <si>
    <t xml:space="preserve">Take TPs wherever happy</t>
  </si>
  <si>
    <t xml:space="preserve">trade has moved 1.3R for him; most of the chat has a better entry and is up around 4R</t>
  </si>
  <si>
    <t xml:space="preserve">1.3R move done on ALLO, and majority has way better entry, many from the chat are 4R up on ALLO</t>
  </si>
  <si>
    <t xml:space="preserve">https://discord.com/channels/1042855255089623100/1501271173588193290/1514253588098977834</t>
  </si>
  <si>
    <t xml:space="preserve">target pulled in from 0.3 to about 0.36 (2R); he will take either the full TP there or the SL, no partials, and will post when he closes</t>
  </si>
  <si>
    <t xml:space="preserve">Take TPs wherever happy, I'll either take SL or a full TP at least around 2R (0.36) will update when I close!</t>
  </si>
  <si>
    <t xml:space="preserve">new 1R scalp long on INJ with a DCA just below entry</t>
  </si>
  <si>
    <t xml:space="preserve">Long INJ
Entry: 5.14
DCA: 5.052
TP: 5.5
SL: 4.8
1R scalp</t>
  </si>
  <si>
    <t xml:space="preserve">2026-06-10 16:31:17</t>
  </si>
  <si>
    <t xml:space="preserve">clarifies the 5.14 INJ entry is at current market price</t>
  </si>
  <si>
    <t xml:space="preserve">https://discord.com/channels/1042855255089623100/1501271173588193290/1514260671120932985</t>
  </si>
  <si>
    <t xml:space="preserve">new WLD long at current market price, target band 0.56-0.64</t>
  </si>
  <si>
    <t xml:space="preserve">Long WLD
Entry: 0.515 CMP
TP: 0.56-64
SL: 0.45</t>
  </si>
  <si>
    <t xml:space="preserve">2026-06-10 16:50:44</t>
  </si>
  <si>
    <t xml:space="preserve">first target (62460, given in msg 428) reached; keeps the majority of the position for 63k+</t>
  </si>
  <si>
    <t xml:space="preserve">TP1 hit on BTC, saving majority for 63k+</t>
  </si>
  <si>
    <t xml:space="preserve">https://discord.com/channels/1042855255089623100/1501271173588193290/1514265566007787582</t>
  </si>
  <si>
    <t xml:space="preserve">2026-06-10 16:52:06</t>
  </si>
  <si>
    <t xml:space="preserve">celebrates catching a $1400 BTC move as the way to trade the CPI release</t>
  </si>
  <si>
    <t xml:space="preserve">CPI</t>
  </si>
  <si>
    <t xml:space="preserve">CPI day</t>
  </si>
  <si>
    <t xml:space="preserve">1400$ move caught, that's how we trade CPI</t>
  </si>
  <si>
    <t xml:space="preserve">https://discord.com/channels/1042855255089623100/1501271173588193290/1514265907474731099</t>
  </si>
  <si>
    <t xml:space="preserve">2026-06-10 18:42:30</t>
  </si>
  <si>
    <t xml:space="preserve">added to WLD; new average entry is 0.49, the DCA fill price itself is not given</t>
  </si>
  <si>
    <t xml:space="preserve">DCAed on WLD
Avg is 0.49</t>
  </si>
  <si>
    <t xml:space="preserve">https://discord.com/channels/1042855255089623100/1501271173588193290/1514293693719515156</t>
  </si>
  <si>
    <t xml:space="preserve">2026-06-10 18:53:52</t>
  </si>
  <si>
    <t xml:space="preserve">risking 1.3R, don't risk more than 1.5R</t>
  </si>
  <si>
    <t xml:space="preserve">second add at 0.47 brings the average to 0.484 and total risk to 1.3R</t>
  </si>
  <si>
    <t xml:space="preserve">Added some more @ 0.47, avg is 0.484, risking 1.3R don't risk more than 1.5R</t>
  </si>
  <si>
    <t xml:space="preserve">https://discord.com/channels/1042855255089623100/1501271173588193290/1514296554792554542</t>
  </si>
  <si>
    <t xml:space="preserve">fully out at 62.7k, does not want to round trip the gains</t>
  </si>
  <si>
    <t xml:space="preserve">Also fully out of BTC @ 62.7k don't want to round trip these gains</t>
  </si>
  <si>
    <t xml:space="preserve">https://discord.com/channels/1042855255089623100/1501271173588193290/1514297330634063953</t>
  </si>
  <si>
    <t xml:space="preserve">2026-06-10 19:03:48</t>
  </si>
  <si>
    <t xml:space="preserve">62460, 62700</t>
  </si>
  <si>
    <t xml:space="preserve">breakdown of the closed BTC long: 25% out at 62460 and the remaining 75% at 62700 from a 61.1k entry; card shows avg close 62668.4</t>
  </si>
  <si>
    <t xml:space="preserve">Took 25% at 62460 75% remaining 62700, long was from 61.1k</t>
  </si>
  <si>
    <t xml:space="preserve">https://discord.com/channels/1042855255089623100/1501271173588193290/1514299054660780142</t>
  </si>
  <si>
    <t xml:space="preserve">after being flat he will look to short BTC in the 63.2k-64k zone (entry_price holds the low end of the zone)</t>
  </si>
  <si>
    <t xml:space="preserve">Will look to short around 63.2-64k now</t>
  </si>
  <si>
    <t xml:space="preserve">stop hit at 0.45; he calls it an abnormal dump and bad luck. R not stated (he had DCAed twice, risking 1.3R)</t>
  </si>
  <si>
    <t xml:space="preserve">SL hit on WLD @ 0.45 sorry guys, not a normal dump on it bad luck</t>
  </si>
  <si>
    <t xml:space="preserve">https://discord.com/channels/1042855255089623100/1501271173588193290/1514302176560943296</t>
  </si>
  <si>
    <t xml:space="preserve">40% at entry, 40% DCA at 61k, 20% DCA2 at 60.7k; TP 25% at 63k and 75% at 64k</t>
  </si>
  <si>
    <t xml:space="preserve">new BTC long at CMP laddered across three entries with two scaled targets</t>
  </si>
  <si>
    <t xml:space="preserve">Long BTC
Entry: 62.2k CMP (40%)
DCA: 61k (40%)
DCA2: 60.7k (20%)
TPs: 63k (25%)-64k (75%)
SL: 59k</t>
  </si>
  <si>
    <t xml:space="preserve">2026-06-10 20:04:29</t>
  </si>
  <si>
    <t xml:space="preserve">Entry is small DCA is bigger</t>
  </si>
  <si>
    <t xml:space="preserve">clarifies the sizing of the BTC ladder: the CMP entry is the small part, the DCA is bigger</t>
  </si>
  <si>
    <t xml:space="preserve">https://discord.com/channels/1042855255089623100/1501271173588193290/1514314322849828957</t>
  </si>
  <si>
    <t xml:space="preserve">2026-06-10 20:14:50</t>
  </si>
  <si>
    <t xml:space="preserve">divide the total amount into 40-40-20%</t>
  </si>
  <si>
    <t xml:space="preserve">explains how to split size across the adjusted three-part setup, suggesting ChatGPT to do the maths</t>
  </si>
  <si>
    <t xml:space="preserve">Guys I have slightly adjusted the setup if you don't know how to divide easy way is to go to chatgpt and tell to divide the total amount into 40-40-20%</t>
  </si>
  <si>
    <t xml:space="preserve">https://discord.com/channels/1042855255089623100/1501271173588193290/1514316930704609291</t>
  </si>
  <si>
    <t xml:space="preserve">High risk high reward trade</t>
  </si>
  <si>
    <t xml:space="preserve">new high-risk high-reward SOL long at current market price</t>
  </si>
  <si>
    <t xml:space="preserve">Long SOL
Entry: 63.2 CMP
TP: 68
SL: 60
High risk high reward trade</t>
  </si>
  <si>
    <t xml:space="preserve">2026-06-11 03:12:20</t>
  </si>
  <si>
    <t xml:space="preserve">0.33, 0.36</t>
  </si>
  <si>
    <t xml:space="preserve">still holding the ALLO short: 1.5R for him and probably 3-6R for better entries; hopes for a drop into 0.33-0.36</t>
  </si>
  <si>
    <t xml:space="preserve">Holding this, moved 1.5R for me, probably 3-6 RR for the ones with better entry, let's hope it drops to 0.33-0.36 at least</t>
  </si>
  <si>
    <t xml:space="preserve">https://discord.com/channels/1042855255089623100/1501271173588193290/1514421997587922964</t>
  </si>
  <si>
    <t xml:space="preserve">2026-06-11 03:21:14</t>
  </si>
  <si>
    <t xml:space="preserve">his BTC DCA order was missed again, this time by $50</t>
  </si>
  <si>
    <t xml:space="preserve">Of course BTC missed my DCA by 50$ again</t>
  </si>
  <si>
    <t xml:space="preserve">https://discord.com/channels/1042855255089623100/1501271173588193290/1514424233965519059</t>
  </si>
  <si>
    <t xml:space="preserve">2026-06-11 03:24:21</t>
  </si>
  <si>
    <t xml:space="preserve">six-trade win streak on BTC, all of them longs</t>
  </si>
  <si>
    <t xml:space="preserve">Nonetheless I have a 6 win streak on BTC going on, interestingly all longs</t>
  </si>
  <si>
    <t xml:space="preserve">https://discord.com/channels/1042855255089623100/1501271173588193290/1514425019948732617</t>
  </si>
  <si>
    <t xml:space="preserve">2026-06-11 07:01:21</t>
  </si>
  <si>
    <t xml:space="preserve">INJ moved 1R after the DCA filled but the move was too quick, so he took 25% off at 5.3; explicitly has not moved his stop yet</t>
  </si>
  <si>
    <t xml:space="preserve">INJ moved 1R after filling but was too quick TP TP, I took 25% at 5.3 but didn't move any SL yet</t>
  </si>
  <si>
    <t xml:space="preserve">https://discord.com/channels/1042855255089623100/1501271173588193290/1514479630168490055</t>
  </si>
  <si>
    <t xml:space="preserve">2026-06-11 07:02:15</t>
  </si>
  <si>
    <t xml:space="preserve">BTC came within $100 of his 63k TP but the move was too quick and he did not want to take profit without the group</t>
  </si>
  <si>
    <t xml:space="preserve">I saw BTC at 62.9k but didn't TP (missed TP by 100$) because it was quick, didn't want to take TP without you guys</t>
  </si>
  <si>
    <t xml:space="preserve">https://discord.com/channels/1042855255089623100/1501271173588193290/1514479855318597733</t>
  </si>
  <si>
    <t xml:space="preserve">2026-06-11 07:03:13</t>
  </si>
  <si>
    <t xml:space="preserve">you can move SL to entry; he is playing it risky by not moving, tells others not to copy him</t>
  </si>
  <si>
    <t xml:space="preserve">after 1.5R from the original entry he tells followers they can move the stop to entry (0.425, from the msg 425 call) - he is NOT moving his own stop</t>
  </si>
  <si>
    <t xml:space="preserve">Also a reminder that ALLO moved 1.5R from original entry you can move SL to entry, I'm playing it risky by not moving but don't be like me.</t>
  </si>
  <si>
    <t xml:space="preserve">https://discord.com/channels/1042855255089623100/1501271173588193290/1514480097950699521</t>
  </si>
  <si>
    <t xml:space="preserve">2026-06-11 07:07:31</t>
  </si>
  <si>
    <t xml:space="preserve">if you see wicks try to TP - too many positions to update at once and it is his sleeping time</t>
  </si>
  <si>
    <t xml:space="preserve">status round-up: ALLO has moved 1.5R</t>
  </si>
  <si>
    <t xml:space="preserve">ALLO moved 1.5R</t>
  </si>
  <si>
    <t xml:space="preserve">https://discord.com/channels/1042855255089623100/1501271173588193290/1514481180123074720</t>
  </si>
  <si>
    <t xml:space="preserve">status round-up: BTC has moved 0.5R</t>
  </si>
  <si>
    <t xml:space="preserve">At the moment
BTC moved 0.5R</t>
  </si>
  <si>
    <t xml:space="preserve">status round-up: INJ has moved 1.1R</t>
  </si>
  <si>
    <t xml:space="preserve">INJ moved 1.1 R</t>
  </si>
  <si>
    <t xml:space="preserve">status round-up: SOL has moved 1R</t>
  </si>
  <si>
    <t xml:space="preserve">SOL moved 1R</t>
  </si>
  <si>
    <t xml:space="preserve">closes the rest of INJ at 5.28 because it is lagging and the DCA already filled; happy with the profit</t>
  </si>
  <si>
    <t xml:space="preserve">Closing INJ fully here @ 5.28, it's lagging now + DCA is filled so I'm happy with profits</t>
  </si>
  <si>
    <t xml:space="preserve">https://discord.com/channels/1042855255089623100/1501271173588193290/1514549024332578850</t>
  </si>
  <si>
    <t xml:space="preserve">2026-06-11 11:40:04</t>
  </si>
  <si>
    <t xml:space="preserve">took profit just under the 63k target (62946) because the DCA was missed by $50; msg 457 later reveals this was only the 25% tranche</t>
  </si>
  <si>
    <t xml:space="preserve">And I TPed on BTC almost @ 63k (62946), DCA missed by 50$ so I'm just taking it here.</t>
  </si>
  <si>
    <t xml:space="preserve">https://discord.com/channels/1042855255089623100/1501271173588193290/1514549772264935495</t>
  </si>
  <si>
    <t xml:space="preserve">win streak on BTC now 7 out of 7</t>
  </si>
  <si>
    <t xml:space="preserve">7/7 wins on BTC</t>
  </si>
  <si>
    <t xml:space="preserve">2026-06-11 11:41:33</t>
  </si>
  <si>
    <t xml:space="preserve">share card posted without text ~1.5 minutes after the 250x close, most likely the same BTC long on a second account</t>
  </si>
  <si>
    <t xml:space="preserve">[IMAGE 144: pnl_share_card | BTCUSDT long 150x ROI 245.5%]</t>
  </si>
  <si>
    <t xml:space="preserve">https://discord.com/channels/1042855255089623100/1501271173588193290/1514550145273040969</t>
  </si>
  <si>
    <t xml:space="preserve">2026-06-11 11:42:12</t>
  </si>
  <si>
    <t xml:space="preserve">the 64k target from the original call is still live for the remaining position</t>
  </si>
  <si>
    <t xml:space="preserve">And 64k is still possible TP</t>
  </si>
  <si>
    <t xml:space="preserve">https://discord.com/channels/1042855255089623100/1501271173588193290/1514550308620079274</t>
  </si>
  <si>
    <t xml:space="preserve">2026-06-11 11:55:51</t>
  </si>
  <si>
    <t xml:space="preserve">still holding ALLO and committed to either a full 2R+ take profit or the stop, no partials</t>
  </si>
  <si>
    <t xml:space="preserve">I hope someone's still holding ALLO with me, 2R+ full or a SL.</t>
  </si>
  <si>
    <t xml:space="preserve">https://discord.com/channels/1042855255089623100/1501271173588193290/1514553744803496068</t>
  </si>
  <si>
    <t xml:space="preserve">2026-06-11 15:59:59</t>
  </si>
  <si>
    <t xml:space="preserve">still in the BTC long from 62.2k with only 25% taken at 63k; stop deliberately not moved yet</t>
  </si>
  <si>
    <t xml:space="preserve">I'm still in BTC long from 62.2k I only took 25% at 63k
Not moving SL yet</t>
  </si>
  <si>
    <t xml:space="preserve">https://discord.com/channels/1042855255089623100/1501271173588193290/1514615182477754610</t>
  </si>
  <si>
    <t xml:space="preserve">equal size to the existing position</t>
  </si>
  <si>
    <t xml:space="preserve">sets a new equal-sized DCA limit at 61.8k after the original 61k DCA was missed</t>
  </si>
  <si>
    <t xml:space="preserve">setting an equal DCA @ 61.8k</t>
  </si>
  <si>
    <t xml:space="preserve">2026-06-11 16:00:57</t>
  </si>
  <si>
    <t xml:space="preserve">stop raised to 60k (from 59k in the msg 441 call) to go with the new 61.8k DCA</t>
  </si>
  <si>
    <t xml:space="preserve">And SL @ 60k</t>
  </si>
  <si>
    <t xml:space="preserve">https://discord.com/channels/1042855255089623100/1501271173588193290/1514615424287768577</t>
  </si>
  <si>
    <t xml:space="preserve">40% here at CMP, 60% at the DCA limit</t>
  </si>
  <si>
    <t xml:space="preserve">re-entry instructions for anyone who exited: 40% at the current 62.8k and 60% at the 61.8k DCA limit</t>
  </si>
  <si>
    <t xml:space="preserve">If you got out, you can enter 40% here CMP (62.8k) and 60% at DCA limit</t>
  </si>
  <si>
    <t xml:space="preserve">2026-06-11 16:02:03</t>
  </si>
  <si>
    <t xml:space="preserve">68, 69</t>
  </si>
  <si>
    <t xml:space="preserve">SOL has moved a full 1R and he is undecided between closing and holding for the original 68-69 target</t>
  </si>
  <si>
    <t xml:space="preserve">SOL moved a whole 1R as well confused if I should close or hold till original TP 68-69</t>
  </si>
  <si>
    <t xml:space="preserve">https://discord.com/channels/1042855255089623100/1501271173588193290/1514615701216825374</t>
  </si>
  <si>
    <t xml:space="preserve">2026-06-11 20:54:33</t>
  </si>
  <si>
    <t xml:space="preserve">a small TP can be taken here</t>
  </si>
  <si>
    <t xml:space="preserve">SOL up 1.5R (card: entry 63.30, mark 66.97, +726.09% on 125x); he intends to exit fully at 68</t>
  </si>
  <si>
    <t xml:space="preserve">SOL up 1.5R, can take a small TP, already SL at entry, will fully exit at 68</t>
  </si>
  <si>
    <t xml:space="preserve">https://discord.com/channels/1042855255089623100/1501271173588193290/1514689313202241567</t>
  </si>
  <si>
    <t xml:space="preserve">stop already at entry - entry taken as 63.3 from his share card (the call quoted 63.2 CMP)</t>
  </si>
  <si>
    <t xml:space="preserve">already SL at entry</t>
  </si>
  <si>
    <t xml:space="preserve">2026-06-11 20:55:58</t>
  </si>
  <si>
    <t xml:space="preserve">day tally: ALLO at 1.4R after having moved 1.8R at best</t>
  </si>
  <si>
    <t xml:space="preserve">ALLO 1.4R (moved 1.8R)</t>
  </si>
  <si>
    <t xml:space="preserve">https://discord.com/channels/1042855255089623100/1501271173588193290/1514689668942401727</t>
  </si>
  <si>
    <t xml:space="preserve">day tally: BTC at 0.8R</t>
  </si>
  <si>
    <t xml:space="preserve">Good day for us
BTC 0.8R</t>
  </si>
  <si>
    <t xml:space="preserve">day tally: INJ booked 0.8R after having moved 1.2R at best</t>
  </si>
  <si>
    <t xml:space="preserve">INJ 0.8R (moved 1.2R)</t>
  </si>
  <si>
    <t xml:space="preserve">day tally: SOL at 1.5R</t>
  </si>
  <si>
    <t xml:space="preserve">SOL 1.5R</t>
  </si>
  <si>
    <t xml:space="preserve">2026-06-11 21:02:31</t>
  </si>
  <si>
    <t xml:space="preserve">moves the target for the remaining 75% from 64k up to 64.2k, but says to book immediately on a rejection after 64k because that is resistance</t>
  </si>
  <si>
    <t xml:space="preserve">I'm moving BTC remaining 75% TP @ 64.2k but if you see rejection after 64k immediately book it because that's resistance too</t>
  </si>
  <si>
    <t xml:space="preserve">https://discord.com/channels/1042855255089623100/1501271173588193290/1514691318696382485</t>
  </si>
  <si>
    <t xml:space="preserve">fully closes the BTC long at 63.8k because he is going to sleep</t>
  </si>
  <si>
    <t xml:space="preserve">Fully closed BTC here at 63.8k, going to sleep</t>
  </si>
  <si>
    <t xml:space="preserve">https://discord.com/channels/1042855255089623100/1501271173588193290/1514715424808501520</t>
  </si>
  <si>
    <t xml:space="preserve">25% here (63.8k) and the remaining 50% at 64-64.2k</t>
  </si>
  <si>
    <t xml:space="preserve">exit plan for anyone who wants to keep holding the BTC long after he is out</t>
  </si>
  <si>
    <t xml:space="preserve">if you want to keep it, 25% here and remaining 50% @ 64-64.2k</t>
  </si>
  <si>
    <t xml:space="preserve">2026-06-11 22:40:01</t>
  </si>
  <si>
    <t xml:space="preserve">explains his three trade categories: BTC scalps (high win rate, low R), high risk high reward trades (at least +2R before any trim), and 1R scalps (mid risk)</t>
  </si>
  <si>
    <t xml:space="preserve">BTC scalps (High Win Rate low R)
High risk high reward trades (High R (+2 at least before any trim)
1R scalps (Mid risk)
That's how my trades are structured just to be clear!</t>
  </si>
  <si>
    <t xml:space="preserve">https://discord.com/channels/1042855255089623100/1501271173588193290/1514715852333912144</t>
  </si>
  <si>
    <t xml:space="preserve">almost a $1800 move captured; BTC win streak now 8 out of 8</t>
  </si>
  <si>
    <t xml:space="preserve">Almost a 1800$ caught. 8/8 wins on BTC</t>
  </si>
  <si>
    <t xml:space="preserve">he says he does not take partials</t>
  </si>
  <si>
    <t xml:space="preserve">end-of-day recap: 3.2R realized, cards posted for BTC (250x +363.9%), SOL (125x +778.04%), ALLO (100x +762.19%) and INJ (75x +216.11%)</t>
  </si>
  <si>
    <t xml:space="preserve">All from today, GG's!
Made 3.2R today, that's realized without any partials, I don't take partials!</t>
  </si>
  <si>
    <t xml:space="preserve">https://discord.com/channels/1042855255089623100/1501271173588193290/1514716586450358364</t>
  </si>
  <si>
    <t xml:space="preserve">the recap share card shows the SOL 125x long closed at 67.24 from 63.30 (+778.04%) - the close is not stated in text, only on the card</t>
  </si>
  <si>
    <t xml:space="preserve">[IMAGE 149: pnl_share_card | SOLUSDT long 125x entry 63.3 close 67.24 ROI 778.04% (closed)]</t>
  </si>
  <si>
    <t xml:space="preserve">Save 30-40% for DCA</t>
  </si>
  <si>
    <t xml:space="preserve">new BTC long at current market price, targets 64900-65900</t>
  </si>
  <si>
    <t xml:space="preserve">Long BTC
Entry: 63.4k CMP
TP: 64900-65900
SL: 60.5k
Save 30-40% for DCA</t>
  </si>
  <si>
    <t xml:space="preserve">took profit on his own BTC position (no exit price given in this message; the card in msg 469 shows the closed 250x at +305.06%)</t>
  </si>
  <si>
    <t xml:space="preserve">TPed on BTC personally</t>
  </si>
  <si>
    <t xml:space="preserve">https://discord.com/channels/1042855255089623100/1501271173588193290/1515014254569455727</t>
  </si>
  <si>
    <t xml:space="preserve">will go long BTC again on a drop because he believes 65-66k is coming</t>
  </si>
  <si>
    <t xml:space="preserve">expects 65-66k</t>
  </si>
  <si>
    <t xml:space="preserve">will enter again long on a drop as I believe 65-66k is coming</t>
  </si>
  <si>
    <t xml:space="preserve">2026-06-12 18:30:03</t>
  </si>
  <si>
    <t xml:space="preserve">64900</t>
  </si>
  <si>
    <t xml:space="preserve">his own 250x long is closed (+305.06%); tells anyone still holding that the remaining target is 64900</t>
  </si>
  <si>
    <t xml:space="preserve">Remaining at 64900 if you're holding!</t>
  </si>
  <si>
    <t xml:space="preserve">https://discord.com/channels/1042855255089623100/1501271173588193290/1515015334112006316</t>
  </si>
  <si>
    <t xml:space="preserve">2026-06-12 18:33:06</t>
  </si>
  <si>
    <t xml:space="preserve">looking to short in the 66-66.2k zone (entry_price holds the low end of the zone); symbol inferred from the surrounding BTC messages</t>
  </si>
  <si>
    <t xml:space="preserve">Will be looking to short around 66-66.2k</t>
  </si>
  <si>
    <t xml:space="preserve">https://discord.com/channels/1042855255089623100/1501271173588193290/1515016102890049640</t>
  </si>
  <si>
    <t xml:space="preserve">looking to long back in the 63-63.4k zone (entry_price holds the low end of the zone); symbol inferred from the surrounding BTC messages</t>
  </si>
  <si>
    <t xml:space="preserve">And long around 63-63.4k</t>
  </si>
  <si>
    <t xml:space="preserve">2026-06-12 18:34:57</t>
  </si>
  <si>
    <t xml:space="preserve">repeats that 64900 is the next target for anyone still holding the BTC long</t>
  </si>
  <si>
    <t xml:space="preserve">64900 next TP for the one's holding</t>
  </si>
  <si>
    <t xml:space="preserve">https://discord.com/channels/1042855255089623100/1501271173588193290/1515016569812422748</t>
  </si>
  <si>
    <t xml:space="preserve">stopped at the original SL (0.468 from the msg 425 call, never moved) after the trade had run 1.8R in his favour; he refused to trim, wanting 2R whole or a stop, and round-tripped the profit. R shown as -1 because the stop was never moved</t>
  </si>
  <si>
    <t xml:space="preserve">ALLO stopped after moving 1.8R for me, I didn't TP, no regrets wanted 2R whole or SL, round tripped big profits, hope some of you took profits when I mentioned.
Majority from the chat was up 4-5R when I was just 1R up!</t>
  </si>
  <si>
    <t xml:space="preserve">https://discord.com/channels/1042855255089623100/1501271173588193290/1515042056525971496</t>
  </si>
  <si>
    <t xml:space="preserve">2026-06-12 21:06:29</t>
  </si>
  <si>
    <t xml:space="preserve">claims a 10-trade win streak on BTC scalps, backed by ten closed share cards (250x longs 63477.6&gt;64252.2 +280.95%, 62805&gt;63582.5 +284.66%, 62141.4&gt;62668.4 +197.68%, 62314.4&gt;63552.2 +463.21%, 63094.1&gt;64082.2 +363.26%, one 250x short 63068&gt;62699.6 +135.5%, plus 150x cards)</t>
  </si>
  <si>
    <t xml:space="preserve">And for your information, we have a 10 win streak on BTC scalps</t>
  </si>
  <si>
    <t xml:space="preserve">https://discord.com/channels/1042855255089623100/1501271173588193290/1515054704759935096</t>
  </si>
  <si>
    <t xml:space="preserve">Save 30% for DCA</t>
  </si>
  <si>
    <t xml:space="preserve">new BTC long at current market price; no target given in the call itself</t>
  </si>
  <si>
    <t xml:space="preserve">Long BTC
Entry: 63.5k CMP
Save 30% for DCA
SL: 61.5k</t>
  </si>
  <si>
    <t xml:space="preserve">2026-06-13 03:25:23</t>
  </si>
  <si>
    <t xml:space="preserve">confirms current market price for the entry is 63.5k</t>
  </si>
  <si>
    <t xml:space="preserve">63.5k CMP</t>
  </si>
  <si>
    <t xml:space="preserve">https://discord.com/channels/1042855255089623100/1501271173588193290/1515150057865871501</t>
  </si>
  <si>
    <t xml:space="preserve">2026-06-13 03:25:51</t>
  </si>
  <si>
    <t xml:space="preserve">personal aside about being awake nearly 30 hours</t>
  </si>
  <si>
    <t xml:space="preserve">Haven't slept for nearly 30 hrs don't mind me</t>
  </si>
  <si>
    <t xml:space="preserve">https://discord.com/channels/1042855255089623100/1501271173588193290/1515150175612702720</t>
  </si>
  <si>
    <t xml:space="preserve">2026-06-13 03:33:49</t>
  </si>
  <si>
    <t xml:space="preserve">saving only 20-25% as a backup to add, heavy on CMP</t>
  </si>
  <si>
    <t xml:space="preserve">does not expect the DCA to fill so he is going heavy at market and keeping only a small backup tranche</t>
  </si>
  <si>
    <t xml:space="preserve">Don't think we will see DCA so I'm saving like 20-25% as a backup to add, heavy on CMP.</t>
  </si>
  <si>
    <t xml:space="preserve">https://discord.com/channels/1042855255089623100/1501271173588193290/1515152179772522616</t>
  </si>
  <si>
    <t xml:space="preserve">same BTC scalp strategy as before: 0.5-0.7R take profit, i.e. get out around 64.5-64.7k (r_multiple holds the low end of the 0.5-0.7R range)</t>
  </si>
  <si>
    <t xml:space="preserve">Same strategy 0.5-0.7R TP, so get out around 64.5-64.7k</t>
  </si>
  <si>
    <t xml:space="preserve">2026-06-13 05:15:27</t>
  </si>
  <si>
    <t xml:space="preserve">expects pumpy days and a good weekend pump, maybe a mini alt season, while admitting he is usually always bullish</t>
  </si>
  <si>
    <t xml:space="preserve">weekend pump expected, possible mini alt season</t>
  </si>
  <si>
    <t xml:space="preserve">Feels like we're gonna get some good pumpy days, a good pump this weekend probably, maybe even a mini alt season.
Idk I'm usually always bullish.</t>
  </si>
  <si>
    <t xml:space="preserve">https://discord.com/channels/1042855255089623100/1501271173588193290/1515177754545487935</t>
  </si>
  <si>
    <t xml:space="preserve">2026-06-13 16:14:38</t>
  </si>
  <si>
    <t xml:space="preserve">closes 40% at 64.2k with BTC almost at target, leaving the rest for 64.5k</t>
  </si>
  <si>
    <t xml:space="preserve">BTC almost at TP 40% closed here (64.2k) remaining @ 64.5k</t>
  </si>
  <si>
    <t xml:space="preserve">https://discord.com/channels/1042855255089623100/1501271173588193290/1515343642909347971</t>
  </si>
  <si>
    <t xml:space="preserve">2026-06-13 16:15:08</t>
  </si>
  <si>
    <t xml:space="preserve">explains the early trim: he kept little back for the DCA and was heavy at market, so he simply took profit</t>
  </si>
  <si>
    <t xml:space="preserve">Didn't save much for DCA as mentioned, heavy on CMP so just TPed</t>
  </si>
  <si>
    <t xml:space="preserve">https://discord.com/channels/1042855255089623100/1501271173588193290/1515343771771080714</t>
  </si>
  <si>
    <t xml:space="preserve">2026-06-13 16:15:41</t>
  </si>
  <si>
    <t xml:space="preserve">thinks ETH is ready for 1740-1750 but he does not trade it</t>
  </si>
  <si>
    <t xml:space="preserve">ETH looks ready for 1740-1750 too but I'm not trading that shit</t>
  </si>
  <si>
    <t xml:space="preserve">https://discord.com/channels/1042855255089623100/1501271173588193290/1515343906437595186</t>
  </si>
  <si>
    <t xml:space="preserve">exited the rest at 64.2k a bit earlier because price was struggling around resistance; tells holders they can stay in</t>
  </si>
  <si>
    <t xml:space="preserve">Exited BTC fully personally @ 64.2k a bit earlier, because its struggling around resistance</t>
  </si>
  <si>
    <t xml:space="preserve">https://discord.com/channels/1042855255089623100/1501271173588193290/1515421796491329607</t>
  </si>
  <si>
    <t xml:space="preserve">will long BTC again for a scalp around 63.3-63.5k (entry_price holds the low end of the zone) and feels higher, around 66k, is coming</t>
  </si>
  <si>
    <t xml:space="preserve">expects 66k</t>
  </si>
  <si>
    <t xml:space="preserve">will long it again around 63.3-63.5k for a scalp, for those who wanna hold go for it, I feel like higher's coming around 66k.</t>
  </si>
  <si>
    <t xml:space="preserve">2026-06-14 01:17:51</t>
  </si>
  <si>
    <t xml:space="preserve">BTC reached the target as he expected but he had already exited earlier</t>
  </si>
  <si>
    <t xml:space="preserve">Well BTC went to TP as expected but got out earlier</t>
  </si>
  <si>
    <t xml:space="preserve">https://discord.com/channels/1042855255089623100/1501271173588193290/1515480349382148169</t>
  </si>
  <si>
    <t xml:space="preserve">new risky long on RENDER at current market price</t>
  </si>
  <si>
    <t xml:space="preserve">Risky long RENDER
Entry: 1.76 CMP
TP: 1.9
SL: 1.6
Can go half risk as it's risky, your choice.</t>
  </si>
  <si>
    <t xml:space="preserve">new PYTH long with tight target and stop</t>
  </si>
  <si>
    <t xml:space="preserve">Long PYTH
Entry: 0.039
TP: 0.04169
SL: 0.0363</t>
  </si>
  <si>
    <t xml:space="preserve">2026-06-14 11:24:34</t>
  </si>
  <si>
    <t xml:space="preserve">clarifies the 0.039 PYTH entry is at current market price</t>
  </si>
  <si>
    <t xml:space="preserve">https://discord.com/channels/1042855255089623100/1501271173588193290/1515633034618077184</t>
  </si>
  <si>
    <t xml:space="preserve">2026-06-15 00:29:25</t>
  </si>
  <si>
    <t xml:space="preserve">share card posted with no text: 250x BTC long from average entry 63094.1 at +363.26% (same trade as one of the cards in the 10-win-streak set)</t>
  </si>
  <si>
    <t xml:space="preserve">[IMAGE 164: pnl_share_card | BTCUSDT long 250x entry 63094.1 ROI 363.26%]</t>
  </si>
  <si>
    <t xml:space="preserve">https://discord.com/channels/1042855255089623100/1501271173588193290/1515830549816807464</t>
  </si>
  <si>
    <t xml:space="preserve">share card with no text showing a closed 100x short on the OIL(WTI)USDT perpetual at +450.98% - a trade he never posted to the channel (see msg 489)</t>
  </si>
  <si>
    <t xml:space="preserve">[IMAGE 165: pnl_share_card | OIL(WTI)USDT short 100x ROI 450.98% (closed)]</t>
  </si>
  <si>
    <t xml:space="preserve">2026-06-15 00:31:07</t>
  </si>
  <si>
    <t xml:space="preserve">the peace deal he flagged all week landed on the Sunday - free money, keep longing; regrets not sharing the oil trade because he thought his entry was bad, and calls the June bottom in</t>
  </si>
  <si>
    <t xml:space="preserve">peace deal announced Sunday; he considers June's bottom in</t>
  </si>
  <si>
    <t xml:space="preserve">Kept mentioning the past full week a deal is coming this Sunday, free money, keep longing, I regret not giving oil here I thought I have a bad entry, June bottom's in for me.</t>
  </si>
  <si>
    <t xml:space="preserve">https://discord.com/channels/1042855255089623100/1501271173588193290/1515830976192843898</t>
  </si>
  <si>
    <t xml:space="preserve">2026-06-15 00:47:47</t>
  </si>
  <si>
    <t xml:space="preserve">screenshot of his general-chat reply from 06/13: he agrees 65-67k is locked in and that the local bottom, or the bottom in general, is in</t>
  </si>
  <si>
    <t xml:space="preserve">expects 65-67k, bottom in</t>
  </si>
  <si>
    <t xml:space="preserve">Agreed, 65-67k is locked in, Local bottom or bottom in general to me is in</t>
  </si>
  <si>
    <t xml:space="preserve">https://discord.com/channels/1042855255089623100/1501271173588193290/1515835171797209199</t>
  </si>
  <si>
    <t xml:space="preserve">recalls telling a member to long LTC because news would break its daily resistance; screenshot of his earlier posts shows LTC struggling at daily resistance but able to see 45-46 and 48</t>
  </si>
  <si>
    <t xml:space="preserve">Yesterday @Allan asked if he should long LTC, I mentioned go for it, we are gonna get a news and break it's resistance</t>
  </si>
  <si>
    <t xml:space="preserve">PYTH going nowhere and he fears it dies when BTC reverses, so he closed for a very small profit (exit written as 0.392, almost certainly 0.0392 given the 0.039 entry)</t>
  </si>
  <si>
    <t xml:space="preserve">worried about a BTC reversal</t>
  </si>
  <si>
    <t xml:space="preserve">Closed PYTH in very small profits @ 0.392, it's going no where and I'm afraid when BTC reverses it dies.</t>
  </si>
  <si>
    <t xml:space="preserve">https://discord.com/channels/1042855255089623100/1501271173588193290/1515910195367379040</t>
  </si>
  <si>
    <t xml:space="preserve">RENDER long up more than 0.7R, still holding</t>
  </si>
  <si>
    <t xml:space="preserve">RENDER up 0.7+ R, holding</t>
  </si>
  <si>
    <t xml:space="preserve">limit short at 66k with stop 68k; the limit is to be cancelled if price falls to 64.7k before filling</t>
  </si>
  <si>
    <t xml:space="preserve">Short BTC
Limit: 66k
SL: 68k
Cancel this limit if we fall to 64.7k before filling</t>
  </si>
  <si>
    <t xml:space="preserve">2026-06-15 14:36:32</t>
  </si>
  <si>
    <t xml:space="preserve">regrets closing PYTH publicly only to watch it keep running; posts the closed 75x card (entry 0.0391, close 0.04062, +292.53%), a better exit than the 0.0392 he had announced</t>
  </si>
  <si>
    <t xml:space="preserve">Closed PYTH publicly just to see it flying</t>
  </si>
  <si>
    <t xml:space="preserve">https://discord.com/channels/1042855255089623100/1501271173588193290/1516043732485669025</t>
  </si>
  <si>
    <t xml:space="preserve">don't risk more than 1% on real and 0.3-0.4% funded</t>
  </si>
  <si>
    <t xml:space="preserve">the 66k limit short filled; expects price to come back to entry so anyone heavy should adjust, and keep risk small because the market is highly bullish</t>
  </si>
  <si>
    <t xml:space="preserve">market's highly bullish</t>
  </si>
  <si>
    <t xml:space="preserve">Limit filled, it'll come at entry if you're in heavy adjust, don't risk more than 1% on real and 0.3-0.4% funded because market's highly bullish!</t>
  </si>
  <si>
    <t xml:space="preserve">https://discord.com/channels/1042855255089623100/1501271173588193290/1516043949104431287</t>
  </si>
  <si>
    <t xml:space="preserve">2026-06-15 14:38:29</t>
  </si>
  <si>
    <t xml:space="preserve">the weekend pump he predicted on June 13 arrived, alts are flying and he thinks a mini alt season is forming</t>
  </si>
  <si>
    <t xml:space="preserve">weekend pump, alts flying, mini alt season</t>
  </si>
  <si>
    <t xml:space="preserve">Weekend pump came, ALTs flying, a mini alt season is in the make.</t>
  </si>
  <si>
    <t xml:space="preserve">https://discord.com/channels/1042855255089623100/1501271173588193290/1516044221868544122</t>
  </si>
  <si>
    <t xml:space="preserve">2026-06-15 14:39:03</t>
  </si>
  <si>
    <t xml:space="preserve">clarifies the screenshotted weekend-pump prediction was posted on June 13</t>
  </si>
  <si>
    <t xml:space="preserve">Posted on June 13 btw.</t>
  </si>
  <si>
    <t xml:space="preserve">https://discord.com/channels/1042855255089623100/1501271173588193290/1516044364927991998</t>
  </si>
  <si>
    <t xml:space="preserve">2026-06-15 14:42:17</t>
  </si>
  <si>
    <t xml:space="preserve">RENDER has moved 1R; members are free to trim but he avoids partials and plans to exit fully around 1.9</t>
  </si>
  <si>
    <t xml:space="preserve">Last thing, RENDER moved 1R, feel free to trim, I avoid partials, I'm planning to fully exit around 1.9</t>
  </si>
  <si>
    <t xml:space="preserve">https://discord.com/channels/1042855255089623100/1501271173588193290/1516045180019540009</t>
  </si>
  <si>
    <t xml:space="preserve">2026-06-15 20:42:47</t>
  </si>
  <si>
    <t xml:space="preserve">frustration at an unlucky day: closed the trade that hit TP, longed a dead price-action coin, and unusually is in only one long instead of several</t>
  </si>
  <si>
    <t xml:space="preserve">Unlucky day, closed the TP one and longed a dead PA coin and usually I'm in multiple longs and today only 1.</t>
  </si>
  <si>
    <t xml:space="preserve">https://discord.com/channels/1042855255089623100/1501271173588193290/1516135901170766075</t>
  </si>
  <si>
    <t xml:space="preserve">stop moved to entry on RENDER because the price action is going nowhere (entry 1.76 from the original call)</t>
  </si>
  <si>
    <t xml:space="preserve">SL to entry on RENDER this shit is going no where.</t>
  </si>
  <si>
    <t xml:space="preserve">offers a ZEC short at CMP 530 as an optional trade idea for members who want to try it</t>
  </si>
  <si>
    <t xml:space="preserve">Also guys a trade idea if someone wants to try
Short ZEC 530 CMP, SL 550, TP 480-490
If anyone wants to try this</t>
  </si>
  <si>
    <t xml:space="preserve">2026-06-15 21:02:15</t>
  </si>
  <si>
    <t xml:space="preserve">if anyone wants to take risk 1-2% max</t>
  </si>
  <si>
    <t xml:space="preserve">widens the ZEC stop from 550 to 559 as a safer level; he is not taking the trade himself</t>
  </si>
  <si>
    <t xml:space="preserve">559 a safer SL and TP around 482, I'm not taking it but if anyone wants to take risk 1-2% max</t>
  </si>
  <si>
    <t xml:space="preserve">https://discord.com/channels/1042855255089623100/1501271173588193290/1516140803007844495</t>
  </si>
  <si>
    <t xml:space="preserve">target tightened from the 480-490 band to around 482 alongside the safer stop</t>
  </si>
  <si>
    <t xml:space="preserve">long XMR at CMP 357 targeting 400; stop is a 4h close under 330 or a hard stop at 320</t>
  </si>
  <si>
    <t xml:space="preserve">Long XMR
Entry: 357 CMP 
TP: 400
SL: 4h under 330 or hard SL @ 320</t>
  </si>
  <si>
    <t xml:space="preserve">added margin to the BTC short because he thinks price reaches at least the 65k region; no add price given</t>
  </si>
  <si>
    <t xml:space="preserve">I added a bit more margin to BTC, I think we can get at least 65k region</t>
  </si>
  <si>
    <t xml:space="preserve">https://discord.com/channels/1042855255089623100/1501271173588193290/1516188718443004045</t>
  </si>
  <si>
    <t xml:space="preserve">closed RENDER after it round-tripped from 1R because AI coins lagged that day; better to take the scrap than hit breakeven</t>
  </si>
  <si>
    <t xml:space="preserve">AI coins lagged today</t>
  </si>
  <si>
    <t xml:space="preserve">Guys I close RENDER, we went at 1R but really thought this could pump but AI coins lagged today, sorry for the round trip but better than hitting BE</t>
  </si>
  <si>
    <t xml:space="preserve">390, 400</t>
  </si>
  <si>
    <t xml:space="preserve">XMR performing well; will now take profit in the 390-400 area rather than the original 400</t>
  </si>
  <si>
    <t xml:space="preserve">XMR is doing great will TP around 390-400$</t>
  </si>
  <si>
    <t xml:space="preserve">2026-06-16 00:14:09</t>
  </si>
  <si>
    <t xml:space="preserve">spot BTC bag from the earlier accumulation plan is up 8%; caught near the bottom and holding all spot bags</t>
  </si>
  <si>
    <t xml:space="preserve">Anyhow our spot bags are nicely up
BTC 8%
ETH 20%
SOL 20%
Caught nearly bottoms for now, for big caps I think these are crazy returns in less than 10 days, holding them all!</t>
  </si>
  <si>
    <t xml:space="preserve">https://discord.com/channels/1042855255089623100/1501271173588193290/1516189092663263417</t>
  </si>
  <si>
    <t xml:space="preserve">spot ETH bag up 20% in under 10 days, holding</t>
  </si>
  <si>
    <t xml:space="preserve">spot SOL bag up 20% in under 10 days, holding</t>
  </si>
  <si>
    <t xml:space="preserve">2026-06-16 01:12:32</t>
  </si>
  <si>
    <t xml:space="preserve">first target given for the BTC short: will exit around 65.5k and will update</t>
  </si>
  <si>
    <t xml:space="preserve">BTC I'll exit around 65.5k will update</t>
  </si>
  <si>
    <t xml:space="preserve">https://discord.com/channels/1042855255089623100/1501271173588193290/1516203788363632832</t>
  </si>
  <si>
    <t xml:space="preserve">392</t>
  </si>
  <si>
    <t xml:space="preserve">XMR target fixed at 392, which is 1R</t>
  </si>
  <si>
    <t xml:space="preserve">Set TP of XMR @ 1R 392</t>
  </si>
  <si>
    <t xml:space="preserve">2026-06-16 14:12:54</t>
  </si>
  <si>
    <t xml:space="preserve">XMR lost its momentum, no action taken</t>
  </si>
  <si>
    <t xml:space="preserve">XMR died lol.</t>
  </si>
  <si>
    <t xml:space="preserve">https://discord.com/channels/1042855255089623100/1501271173588193290/1516400173381718046</t>
  </si>
  <si>
    <t xml:space="preserve">swing long on WLD: 70% of size at CMP 0.653 and 30% reserved for a DCA at 0.621, target 0.8</t>
  </si>
  <si>
    <t xml:space="preserve">Long WLD (swing)
Entry: 0.653 CMP (70%)
DCA: 0.621 (30%)
TP: 0.8
SL: 0.5646</t>
  </si>
  <si>
    <t xml:space="preserve">2026-06-16 14:39:49</t>
  </si>
  <si>
    <t xml:space="preserve">full risk on it now, I was in 0.5R</t>
  </si>
  <si>
    <t xml:space="preserve">scaled the BTC short up from half risk to full 1R risk; members can still add because the position is above breakeven</t>
  </si>
  <si>
    <t xml:space="preserve">Guys I have made BTC to full 1R, I was in 0.5R, full risk on it now, can still add if you want as it's above BE</t>
  </si>
  <si>
    <t xml:space="preserve">https://discord.com/channels/1042855255089623100/1501271173588193290/1516406947015036998</t>
  </si>
  <si>
    <t xml:space="preserve">2026-06-16 16:00:53</t>
  </si>
  <si>
    <t xml:space="preserve">ZEC idea has moved more than 1R, so take the full target or at least 50% off</t>
  </si>
  <si>
    <t xml:space="preserve">Guys if anyone took ZEC it moved 1R+, take full TP or at least 50% SL to entry</t>
  </si>
  <si>
    <t xml:space="preserve">https://discord.com/channels/1042855255089623100/1501271173588193290/1516427347165970574</t>
  </si>
  <si>
    <t xml:space="preserve">after trimming, move the stop to entry (entry 530 CMP from the original idea)</t>
  </si>
  <si>
    <t xml:space="preserve">2026-06-16 17:28:04</t>
  </si>
  <si>
    <t xml:space="preserve">ZEC nearly 2R in profit: get out entirely or trim another 25%; he will not update the idea further</t>
  </si>
  <si>
    <t xml:space="preserve">ZEC nearly 2R up, get out or trim another 25% no updates from here now</t>
  </si>
  <si>
    <t xml:space="preserve">https://discord.com/channels/1042855255089623100/1501271173588193290/1516449288744472607</t>
  </si>
  <si>
    <t xml:space="preserve">2026-06-16 17:28:56</t>
  </si>
  <si>
    <t xml:space="preserve">well-timed 50% add to the BTC short at 66.4k lifting the average entry to 66.2k</t>
  </si>
  <si>
    <t xml:space="preserve">Good timing on adding BTC 50% @ 66.4k, avg is 66.2k, we close very soon around 64.8-65.3k</t>
  </si>
  <si>
    <t xml:space="preserve">https://discord.com/channels/1042855255089623100/1501271173588193290/1516449504897925242</t>
  </si>
  <si>
    <t xml:space="preserve">64800, 65300</t>
  </si>
  <si>
    <t xml:space="preserve">exit zone moved from around 65.5k down to 64.8-65.3k, expects to close very soon</t>
  </si>
  <si>
    <t xml:space="preserve">we close very soon around 64.8-65.3k</t>
  </si>
  <si>
    <t xml:space="preserve">BTC short target hit for 0.5R; the earlier add made the average entry 66.2k; 250x card shows +160.49%</t>
  </si>
  <si>
    <t xml:space="preserve">Guys TP hit, 0.5R, added earlier so avg was 66.2k</t>
  </si>
  <si>
    <t xml:space="preserve">https://discord.com/channels/1042855255089623100/1501271173588193290/1516451433116078161</t>
  </si>
  <si>
    <t xml:space="preserve">2026-06-16 17:54:03</t>
  </si>
  <si>
    <t xml:space="preserve">shows the same BTC short on his other exchange where he had a sniper entry at 67,119.9 closed at 65,634.5 for +331.94%</t>
  </si>
  <si>
    <t xml:space="preserve">Had a sniper entry on my other exchange but nonetheless we exit with decent profits</t>
  </si>
  <si>
    <t xml:space="preserve">https://discord.com/channels/1042855255089623100/1501271173588193290/1516455826758303744</t>
  </si>
  <si>
    <t xml:space="preserve">claims 12 winning BTC trades out of 12 so far this month</t>
  </si>
  <si>
    <t xml:space="preserve">12/12 BTC wins this month.</t>
  </si>
  <si>
    <t xml:space="preserve">2026-06-16 17:57:27</t>
  </si>
  <si>
    <t xml:space="preserve">will short BTC again if he sees weakness at 67k</t>
  </si>
  <si>
    <t xml:space="preserve">Will short again if I see weakness at 67k</t>
  </si>
  <si>
    <t xml:space="preserve">https://discord.com/channels/1042855255089623100/1501271173588193290/1516456680647430245</t>
  </si>
  <si>
    <t xml:space="preserve">69000</t>
  </si>
  <si>
    <t xml:space="preserve">will long if he can get the 64-65k zone because he believes BTC reaches 69k this week/weekend</t>
  </si>
  <si>
    <t xml:space="preserve">Will long if I can get 64-65k as I believe 69k this week/weekend</t>
  </si>
  <si>
    <t xml:space="preserve">if BTC is already around 67.5-68k before the deal day he expects a move into the 70s</t>
  </si>
  <si>
    <t xml:space="preserve">deal day approaching</t>
  </si>
  <si>
    <t xml:space="preserve">And if we are already around 67.5-68k before the deal day I think we touch 70s</t>
  </si>
  <si>
    <t xml:space="preserve">2026-06-16 17:59:14</t>
  </si>
  <si>
    <t xml:space="preserve">reposts his May 28 prediction that the crypto market bottoms in June 2026 (at least a local bottom) to see if it holds</t>
  </si>
  <si>
    <t xml:space="preserve">believes the June 2026 bottom is in</t>
  </si>
  <si>
    <t xml:space="preserve">Let's see if this prediction holds</t>
  </si>
  <si>
    <t xml:space="preserve">https://discord.com/channels/1042855255089623100/1501271173588193290/1516457130771615744</t>
  </si>
  <si>
    <t xml:space="preserve">spot recommendation: he has held HYPE since 60 (+21.66%) and advises adding on every $10 drop; sees 83-84 short term and 90-100 very soon</t>
  </si>
  <si>
    <t xml:space="preserve">Apart from this one coin I recommend buying in spot is HYPE, I'm holding since 60, just add some on every 10$ drop
Really thinks this goes 90-100 very soon and next short term target would be 83-84</t>
  </si>
  <si>
    <t xml:space="preserve">2026-06-16 18:37:22</t>
  </si>
  <si>
    <t xml:space="preserve">will look for a short at 66.7k if BTC gets there before dropping below 65k, but he is placing no limit orders yet</t>
  </si>
  <si>
    <t xml:space="preserve">Not setting limit but 66.7k is where I'll look for short if we go there before dropping below 65k 
NO LIMITS yet!</t>
  </si>
  <si>
    <t xml:space="preserve">https://discord.com/channels/1042855255089623100/1501271173588193290/1516466726521540781</t>
  </si>
  <si>
    <t xml:space="preserve">small risky short</t>
  </si>
  <si>
    <t xml:space="preserve">already took a small, risky short on PORTAL at CMP 0.01635 targeting 0.0142</t>
  </si>
  <si>
    <t xml:space="preserve">Took a small risky short on PORTAL 
Entry: 0.01635 CMP 
TP: 0.0142
SL: 0.018</t>
  </si>
  <si>
    <t xml:space="preserve">2026-06-16 22:54:59</t>
  </si>
  <si>
    <t xml:space="preserve">PORTAL short 0.8R in profit, take 50% off here</t>
  </si>
  <si>
    <t xml:space="preserve">0.8R up, 50% here, SL to BE</t>
  </si>
  <si>
    <t xml:space="preserve">https://discord.com/channels/1042855255089623100/1501271173588193290/1516531559526568116</t>
  </si>
  <si>
    <t xml:space="preserve">stop moved to breakeven after the 50% trim (published entry 0.01635, his card entry 0.01631)</t>
  </si>
  <si>
    <t xml:space="preserve">2026-06-16 22:57:22</t>
  </si>
  <si>
    <t xml:space="preserve">reworks the WLD ladder to 50% at 0.653, 25% at 0.621, 25% at 0.5846 so there is room to add lower if BTC dips; this event is the 0.621 tranche</t>
  </si>
  <si>
    <t xml:space="preserve">in case BTC decides to dip</t>
  </si>
  <si>
    <t xml:space="preserve">Also guys slight adjustment here
0.653 CMP (50%)
0.621 (25%)
0.5846 (25%)
SL: 0.563
WLD is very strong but in case BTC decides to dip better to add more on lower prices</t>
  </si>
  <si>
    <t xml:space="preserve">https://discord.com/channels/1042855255089623100/1501271173588193290/1516532157911404668</t>
  </si>
  <si>
    <t xml:space="preserve">new third tranche added to the WLD ladder at 0.5846 for 25% of size in case BTC dips</t>
  </si>
  <si>
    <t xml:space="preserve">stop widened slightly from 0.5646 to 0.563 to match the deeper DCA ladder</t>
  </si>
  <si>
    <t xml:space="preserve">SL: 0.563</t>
  </si>
  <si>
    <t xml:space="preserve">2026-06-16 22:57:45</t>
  </si>
  <si>
    <t xml:space="preserve">position is green already, so followers can cut the first WLD tranche from 70% down to 50% of intended size to free room for the lower adds</t>
  </si>
  <si>
    <t xml:space="preserve">It's green rn so you can reduce size from 70% to 50% rn</t>
  </si>
  <si>
    <t xml:space="preserve">https://discord.com/channels/1042855255089623100/1501271173588193290/1516532255831625748</t>
  </si>
  <si>
    <t xml:space="preserve">2026-06-16 23:03:40</t>
  </si>
  <si>
    <t xml:space="preserve">confirms the PORTAL trim is 50% and teaches that he does not take partials himself, but anyone who does should take at least 50%</t>
  </si>
  <si>
    <t xml:space="preserve">Take 50, I don't take partials but I advise if you take partials at least do 50%</t>
  </si>
  <si>
    <t xml:space="preserve">https://discord.com/channels/1042855255089623100/1501271173588193290/1516533745379840031</t>
  </si>
  <si>
    <t xml:space="preserve">fully out of PORTAL at 0.5R on the remainder after having taken 50% off at 0.8R ('out at 0.5' read as 0.5R, not a price)</t>
  </si>
  <si>
    <t xml:space="preserve">Fully out from Portal rn out at 0.5, took 50% at 0.8R</t>
  </si>
  <si>
    <t xml:space="preserve">https://discord.com/channels/1042855255089623100/1501271173588193290/1516548982199947394</t>
  </si>
  <si>
    <t xml:space="preserve">high risk / high reward HBAR long at CMP worth about 1.6R, could extend to 2R on a nice reaction</t>
  </si>
  <si>
    <t xml:space="preserve">Long HBAR
Entry: 0.08123 CMP
TP: 0.08346
SL: 0.0797
High risk high reward trade, around 1.6R might extend to 2 if we get a nice reaction</t>
  </si>
  <si>
    <t xml:space="preserve">2026-06-17 04:40:49</t>
  </si>
  <si>
    <t xml:space="preserve">WLD long up 0.6R (+611.46% on 75x), holding for more</t>
  </si>
  <si>
    <t xml:space="preserve">Up 0.6R, send it higher!</t>
  </si>
  <si>
    <t xml:space="preserve">https://discord.com/channels/1042855255089623100/1501271173588193290/1516618591380836454</t>
  </si>
  <si>
    <t xml:space="preserve">Not a 0.5R scalp but swing, use normal risk 2%</t>
  </si>
  <si>
    <t xml:space="preserve">BTC swing long at CMP 64.7k targeting 67-68k; optional DCA at 63.4k or go fully in here</t>
  </si>
  <si>
    <t xml:space="preserve">Long BTC (swing)
Entry: 64.7k CMP 
TP: 67-68k
SL: 62.8k
Not a 0.5R scalp but swing, use normal risk 2%
You can DCA @ 63.4k if you want but that's optional can go fully here</t>
  </si>
  <si>
    <t xml:space="preserve">2026-06-17 15:20:38</t>
  </si>
  <si>
    <t xml:space="preserve">will also open a separate BTC scalp long in the 63.9-64.5k zone; scalpers can wait for that instead of the swing</t>
  </si>
  <si>
    <t xml:space="preserve">Also I'll open BTC scalp too around 63.9-64.5k if you like scalps you can wait</t>
  </si>
  <si>
    <t xml:space="preserve">HBAR stopped out as expected: it was a high risk trade with a very tight stop; he does not state the R loss</t>
  </si>
  <si>
    <t xml:space="preserve">HBAR stopped as expected was a high risk. SL was pretty tight.</t>
  </si>
  <si>
    <t xml:space="preserve">https://discord.com/channels/1042855255089623100/1501271173588193290/1516780130394046535</t>
  </si>
  <si>
    <t xml:space="preserve">long LDO at CMP 0.288 targeting 0.303</t>
  </si>
  <si>
    <t xml:space="preserve">Long LDO
Entry: 0.288 CMP 
TP: 0.303
SL: 0.268</t>
  </si>
  <si>
    <t xml:space="preserve">entered a TAO long at 249.66 but the move was too fast to post the call; already +256.08% on 100x</t>
  </si>
  <si>
    <t xml:space="preserve">Wanted to post this but it went so fast couldn't, sniped it though.</t>
  </si>
  <si>
    <t xml:space="preserve">2026-06-17 16:53:16</t>
  </si>
  <si>
    <t xml:space="preserve">thinks he sniped the BTC swing entry into the flush while everyone was dumping, though price may visit the 64s once more before going higher</t>
  </si>
  <si>
    <t xml:space="preserve">everyone was dumping it</t>
  </si>
  <si>
    <t xml:space="preserve">Might have sniped it for now, everyone was dumping it aye? 
Though there is a chance we visit, 64s once more before higher!</t>
  </si>
  <si>
    <t xml:space="preserve">https://discord.com/channels/1042855255089623100/1501271173588193290/1516802919666815006</t>
  </si>
  <si>
    <t xml:space="preserve">2026-06-17 19:28:07</t>
  </si>
  <si>
    <t xml:space="preserve">confirms the entry was sniped and price retested entry exactly once before rallying, as he predicted (chart shows the low at 64,525 and a run to 66,090)</t>
  </si>
  <si>
    <t xml:space="preserve">Sniped it, also it came back to entry exactly once as I said once back to entry than higher</t>
  </si>
  <si>
    <t xml:space="preserve">https://discord.com/channels/1042855255089623100/1501271173588193290/1516841886357262448</t>
  </si>
  <si>
    <t xml:space="preserve">2026-06-17 19:29:48</t>
  </si>
  <si>
    <t xml:space="preserve">BTC long almost 1R up, so followers can take 20-25% off here</t>
  </si>
  <si>
    <t xml:space="preserve">Up almost 1R you can take 20-25%</t>
  </si>
  <si>
    <t xml:space="preserve">https://discord.com/channels/1042855255089623100/1501271173588193290/1516842310296404090</t>
  </si>
  <si>
    <t xml:space="preserve">2026-06-17 19:31:19</t>
  </si>
  <si>
    <t xml:space="preserve">scale-out ladder for the BTC long: 20% here at 1R, 30% at 67k and the remaining 50% at 68k</t>
  </si>
  <si>
    <t xml:space="preserve">20% here (1R)
30% @ 67k
50% remaining at 68k</t>
  </si>
  <si>
    <t xml:space="preserve">https://discord.com/channels/1042855255089623100/1501271173588193290/1516842694536724683</t>
  </si>
  <si>
    <t xml:space="preserve">2026-06-17 19:56:33</t>
  </si>
  <si>
    <t xml:space="preserve">stop moved to breakeven ahead of FOMC as a precaution, though he does not expect FOMC to cause a major dump (BE taken as the 64.7k call entry)</t>
  </si>
  <si>
    <t xml:space="preserve">FOMC event risk</t>
  </si>
  <si>
    <t xml:space="preserve">SL to BE due to FOMC, though I don't think FOMC gives us a major dump, probably should continue higher but better be safe.</t>
  </si>
  <si>
    <t xml:space="preserve">https://discord.com/channels/1042855255089623100/1501271173588193290/1516849042934730782</t>
  </si>
  <si>
    <t xml:space="preserve">BTC long taken out at the breakeven stop; he still believes it was only volatility wicks and price goes up, so members may jump back in</t>
  </si>
  <si>
    <t xml:space="preserve">post-FOMC volatility wicks</t>
  </si>
  <si>
    <t xml:space="preserve">BTC stopped, I still beleive its just volatility wicks and we go up so if someone wants to jump back in!</t>
  </si>
  <si>
    <t xml:space="preserve">https://discord.com/channels/1042855255089623100/1501271173588193290/1516867638859530321</t>
  </si>
  <si>
    <t xml:space="preserve">2026-06-17 22:54:34</t>
  </si>
  <si>
    <t xml:space="preserve">expects a bounce around 63.8k and will look to open a scalp long there</t>
  </si>
  <si>
    <t xml:space="preserve">Think we bounce around, 63.8k, will look to open a scalp long</t>
  </si>
  <si>
    <t xml:space="preserve">https://discord.com/channels/1042855255089623100/1501271173588193290/1516893843084152872</t>
  </si>
  <si>
    <t xml:space="preserve">Optional DCA if you don't want to go heavy avoid</t>
  </si>
  <si>
    <t xml:space="preserve">added a small amount to the BTC swing long, average now 64600; the add is optional for followers who don't want size</t>
  </si>
  <si>
    <t xml:space="preserve">Added some for my swing, just a bit 64600 avg
Optional DCA if you don't want to go heavy avoid</t>
  </si>
  <si>
    <t xml:space="preserve">https://discord.com/channels/1042855255089623100/1501271173588193290/1516895379814223984</t>
  </si>
  <si>
    <t xml:space="preserve">2026-06-17 23:04:20</t>
  </si>
  <si>
    <t xml:space="preserve">added again to the BTC swing long at 64.2k; stop 62.8k applies to both swing and scalp</t>
  </si>
  <si>
    <t xml:space="preserve">Added in my swing @ 64.2k</t>
  </si>
  <si>
    <t xml:space="preserve">https://discord.com/channels/1042855255089623100/1501271173588193290/1516896301827227768</t>
  </si>
  <si>
    <t xml:space="preserve">opens the separate BTC scalp long at CMP 64.3k with the same 62.8k stop as the swing</t>
  </si>
  <si>
    <t xml:space="preserve">Also long scalp
Entry: 64.3k CMP 
SL: 62.8k for both</t>
  </si>
  <si>
    <t xml:space="preserve">2026-06-17 23:08:23</t>
  </si>
  <si>
    <t xml:space="preserve">restates the BTC swing after the adds: average entry 64.5k with the target still 67-68k</t>
  </si>
  <si>
    <t xml:space="preserve">Swing avg is 64.5k
TP for swing 67-68k</t>
  </si>
  <si>
    <t xml:space="preserve">https://discord.com/channels/1042855255089623100/1501271173588193290/1516897318148898936</t>
  </si>
  <si>
    <t xml:space="preserve">the BTC scalp filled at 64260 and gets its first target at 65k, worth 0.5R</t>
  </si>
  <si>
    <t xml:space="preserve">Scalp entry @ 64260 
TP for scalp 65k (0.5R)</t>
  </si>
  <si>
    <t xml:space="preserve">hates trading ETH but is trying a long at CMP 1750; will take profit manually with 1800-1820 set for now</t>
  </si>
  <si>
    <t xml:space="preserve">I absolutely hate this coin buy trying a long
Long ETH
Entry: 1750 CMP 
TP: Will take manually but set 1800-1820 for now
SL: 1705</t>
  </si>
  <si>
    <t xml:space="preserve">will try a gold short in the 4299-4300 zone, but only if that level trades before 4270</t>
  </si>
  <si>
    <t xml:space="preserve">Will try a short on XAU if I get 4299-4300 before 4270</t>
  </si>
  <si>
    <t xml:space="preserve">tells members who are shorting LAB to long it instead for now because it looks bullish; stop 12.8-13, no entry price given</t>
  </si>
  <si>
    <t xml:space="preserve">For now try longing it instead of shorting, SL 12.8-13</t>
  </si>
  <si>
    <t xml:space="preserve">LAB will probably trade 20-22 again and that is where to short it (his own chat plan was to short around 22, maybe half now and half at 22, expecting an eventual collapse)</t>
  </si>
  <si>
    <t xml:space="preserve">Since alot of you trying to short LAB, mentioned in chat that LAB seems bullish for now, it'll probably go 20-22$ again try to short from there if you want</t>
  </si>
  <si>
    <t xml:space="preserve">2026-06-18 12:18:30</t>
  </si>
  <si>
    <t xml:space="preserve">tells anyone following Dimitry's LAB setup to respect it and play it full; he is not calling a long, only saying 18 seems realistic to him (ambiguous whether 18 is his preferred long level or his target)</t>
  </si>
  <si>
    <t xml:space="preserve">Guys if you're in Dimitry setup, respect his setup and play it full.
I'm not saying to long it, I'm saying I personally feel more comfortable longing 18$ seems realistic</t>
  </si>
  <si>
    <t xml:space="preserve">https://discord.com/channels/1042855255089623100/1501271173588193290/1517096157069967370</t>
  </si>
  <si>
    <t xml:space="preserve">2026-06-18 18:18:26</t>
  </si>
  <si>
    <t xml:space="preserve">small 30% DCA on the BTC long at 63.3k bringing the average to 63.9k</t>
  </si>
  <si>
    <t xml:space="preserve">Adding a small DCA to BTC here @ 63.3k, added like 30%, avg is 63.9k</t>
  </si>
  <si>
    <t xml:space="preserve">https://discord.com/channels/1042855255089623100/1501271173588193290/1517186739331137546</t>
  </si>
  <si>
    <t xml:space="preserve">2026-06-18 18:30:15</t>
  </si>
  <si>
    <t xml:space="preserve">holding BTC with the stop widened from 62.8k to a 4h close under 62.7k or a hard stop at 62.2k; will announce when he closes</t>
  </si>
  <si>
    <t xml:space="preserve">I'll hold BTC, 4h under 62.7k or hard SL at 62.2k
I'll let you know whenever I close!</t>
  </si>
  <si>
    <t xml:space="preserve">https://discord.com/channels/1042855255089623100/1501271173588193290/1517189714283597915</t>
  </si>
  <si>
    <t xml:space="preserve">counts BTC as stopped for the public record although he personally keeps holding, gambling that tomorrow's deal gives a wick up</t>
  </si>
  <si>
    <t xml:space="preserve">gambling on the deal tomorrow</t>
  </si>
  <si>
    <t xml:space="preserve">You can close BTC, I personally will hold it because I'm gambling on the deal tomorrow might give us a wick up will count it as SL 
Sorry rough day, BTC+ETH stopped, will recover</t>
  </si>
  <si>
    <t xml:space="preserve">https://discord.com/channels/1042855255089623100/1501271173588193290/1517196772563489072</t>
  </si>
  <si>
    <t xml:space="preserve">ETH stopped out; complains the market dumps every time he longs ETH</t>
  </si>
  <si>
    <t xml:space="preserve">market dumped</t>
  </si>
  <si>
    <t xml:space="preserve">That's why I hate ETH whenever I long it market dumps 
Sorry rough day, BTC+ETH stopped, will recover</t>
  </si>
  <si>
    <t xml:space="preserve">2026-06-18 19:02:11</t>
  </si>
  <si>
    <t xml:space="preserve">a gamble if someone wanna take</t>
  </si>
  <si>
    <t xml:space="preserve">personally holding the stopped BTC long until tomorrow's deal, framed explicitly as a gamble for anyone who follows</t>
  </si>
  <si>
    <t xml:space="preserve">deal tomorrow</t>
  </si>
  <si>
    <t xml:space="preserve">Holding personally till tomorrow deal, a gamble if someone wanna take</t>
  </si>
  <si>
    <t xml:space="preserve">https://discord.com/channels/1042855255089623100/1501271173588193290/1517197747575328889</t>
  </si>
  <si>
    <t xml:space="preserve">2026-06-18 19:22:51</t>
  </si>
  <si>
    <t xml:space="preserve">don't want a trade running publicly without SL</t>
  </si>
  <si>
    <t xml:space="preserve">first BTC stop-loss of the month after 14 wins; he still believes his entry gets hit but will not run a public trade without a stop</t>
  </si>
  <si>
    <t xml:space="preserve">BTW first SL of the month on BTC after 14 wins, still believe I'll get my entry but don't want a trade running publicly without SL.</t>
  </si>
  <si>
    <t xml:space="preserve">https://discord.com/channels/1042855255089623100/1501271173588193290/1517202950978801764</t>
  </si>
  <si>
    <t xml:space="preserve">2026-06-18 21:24:32</t>
  </si>
  <si>
    <t xml:space="preserve">points out he began calling a LAB long in chat around 14.8; his own position is entered at 15.679 with price now 17.015</t>
  </si>
  <si>
    <t xml:space="preserve">Started mentioning a long LAB in chat when we were around 14.8</t>
  </si>
  <si>
    <t xml:space="preserve">https://discord.com/channels/1042855255089623100/1501271173588193290/1517233571499343993</t>
  </si>
  <si>
    <t xml:space="preserve">if anyone wants to try</t>
  </si>
  <si>
    <t xml:space="preserve">sees a long opportunity developing: CMP long at 62.8k with stop 60.5k, expecting at least 64k</t>
  </si>
  <si>
    <t xml:space="preserve">Guys I still think a long opportunity is developing here, still think we can go at least 64.
CMP long (62.8k)
SL @ 60.5k if anyone wants to try</t>
  </si>
  <si>
    <t xml:space="preserve">still holding the older BTC long, now quoted at a 63.7k entry, and is done trading for the day</t>
  </si>
  <si>
    <t xml:space="preserve">I'm still holding my old position with 63.7k entry plus I'm done for today will start tomorrow</t>
  </si>
  <si>
    <t xml:space="preserve">fully exited LAB at 18 even though he would not be surprised to see 22 or a new ATH</t>
  </si>
  <si>
    <t xml:space="preserve">LAB I fully exit @ 18, won't be surprised if it goes 22-ATH</t>
  </si>
  <si>
    <t xml:space="preserve">https://discord.com/channels/1042855255089623100/1501271173588193290/1517236590039269416</t>
  </si>
  <si>
    <t xml:space="preserve">2026-06-19 03:14:39</t>
  </si>
  <si>
    <t xml:space="preserve">confirms the LAB long is closed with the card showing entry 15.679 and exit 18.008 (about +14.9%)</t>
  </si>
  <si>
    <t xml:space="preserve">Out.</t>
  </si>
  <si>
    <t xml:space="preserve">https://discord.com/channels/1042855255089623100/1501271173588193290/1517321682618945648</t>
  </si>
  <si>
    <t xml:space="preserve">reminds the channel he is still holding the old BTC long from 63.7k</t>
  </si>
  <si>
    <t xml:space="preserve">Just a reminder guys that I'm holding my old BTC long from 63.7k</t>
  </si>
  <si>
    <t xml:space="preserve">https://discord.com/channels/1042855255089623100/1501271173588193290/1517334787008761967</t>
  </si>
  <si>
    <t xml:space="preserve">confirms he also took the new BTC long at 62.8k with stop 60.5k alongside the old position</t>
  </si>
  <si>
    <t xml:space="preserve">New entry at 62.8k with SL 60.5k</t>
  </si>
  <si>
    <t xml:space="preserve">Don't go in too heavy it's a gamble</t>
  </si>
  <si>
    <t xml:space="preserve">bought RE in spot as an explicit gamble trade targeting 1 dollar and above; no entry price or stop given</t>
  </si>
  <si>
    <t xml:space="preserve">Bought some RE in spot, GAMBLE TRADE.
Targeting 1$+
Don't go in too heavy it's a gamble</t>
  </si>
  <si>
    <t xml:space="preserve">2026-06-19 22:56:43</t>
  </si>
  <si>
    <t xml:space="preserve">those who entered at 62.8k can cut to 50% while in profit, to be re-added lower for a better average and improved R</t>
  </si>
  <si>
    <t xml:space="preserve">Also guys for those who entered at 62.8k
You can reduce size to 50% in profits and add 50% at 61.5k this will improve R and a good entry.</t>
  </si>
  <si>
    <t xml:space="preserve">https://discord.com/channels/1042855255089623100/1501271173588193290/1517619159066742804</t>
  </si>
  <si>
    <t xml:space="preserve">the half that was trimmed should be re-added at 61.5k, improving R and the entry</t>
  </si>
  <si>
    <t xml:space="preserve">You can reduce size to 50% in profits and add 50% at 61.5k this will improve R and a good entry.</t>
  </si>
  <si>
    <t xml:space="preserve">he is not trimming himself; expects a weekend scam pump to give 65-67k</t>
  </si>
  <si>
    <t xml:space="preserve">weekend scam pump may give 65-67k</t>
  </si>
  <si>
    <t xml:space="preserve">I'm holding, weekend scam pump may give 65-67</t>
  </si>
  <si>
    <t xml:space="preserve">2026-06-20 03:43:26</t>
  </si>
  <si>
    <t xml:space="preserve">both the older BTC position and the newer 62.8k entry are in profit; he plans to trim some of both around 64k+</t>
  </si>
  <si>
    <t xml:space="preserve">Both are old position that some of us held + the newer entry 62.8k are in profits, let's see where it goes from here, will trim some around 64k+ for both,</t>
  </si>
  <si>
    <t xml:space="preserve">https://discord.com/channels/1042855255089623100/1501271173588193290/1517691314387292240</t>
  </si>
  <si>
    <t xml:space="preserve">2026-06-20 16:11:38</t>
  </si>
  <si>
    <t xml:space="preserve">took 50% off the RE spot gamble after a 43% move from his 0.75 average, keeping the other half for a 2x or better (his 'move down' wording is unclear)</t>
  </si>
  <si>
    <t xml:space="preserve">Nearly a 50% move down, exactly a 43% move (0.75 avg)
Out 50%, remaining 50% I exit at 2x+</t>
  </si>
  <si>
    <t xml:space="preserve">https://discord.com/channels/1042855255089623100/1501271173588193290/1517879602603884615</t>
  </si>
  <si>
    <t xml:space="preserve">2026-06-20 17:53:47</t>
  </si>
  <si>
    <t xml:space="preserve">the older BTC long (entry 63,667.3, 150x) is back in profit at 63,923.2 for +60.28%</t>
  </si>
  <si>
    <t xml:space="preserve">BTC older trade back in green</t>
  </si>
  <si>
    <t xml:space="preserve">https://discord.com/channels/1042855255089623100/1501271173588193290/1517905310298275972</t>
  </si>
  <si>
    <t xml:space="preserve">2026-06-20 17:54:21</t>
  </si>
  <si>
    <t xml:space="preserve">the newer long from 62.8k is well in profit, so members can move stop to entry (62.8k) to make it risk-free</t>
  </si>
  <si>
    <t xml:space="preserve">New running from 62.8k can do SL to entry</t>
  </si>
  <si>
    <t xml:space="preserve">https://discord.com/channels/1042855255089623100/1501271173588193290/1517905455517794335</t>
  </si>
  <si>
    <t xml:space="preserve">closes the older 150x BTC long fully; card re-posted from the earlier 'BTC older trade back in green' message, so the 63,923.2 mark is the price he references at the exit</t>
  </si>
  <si>
    <t xml:space="preserve">Closes fully</t>
  </si>
  <si>
    <t xml:space="preserve">https://discord.com/channels/1042855255089623100/1501271173588193290/1517916455813779637</t>
  </si>
  <si>
    <t xml:space="preserve">2026-06-20 18:38:55</t>
  </si>
  <si>
    <t xml:space="preserve">banks half of the 62.8k long here</t>
  </si>
  <si>
    <t xml:space="preserve">50% from 62.8k position, 50% at 65-66k</t>
  </si>
  <si>
    <t xml:space="preserve">https://discord.com/channels/1042855255089623100/1501271173588193290/1517916670562275388</t>
  </si>
  <si>
    <t xml:space="preserve">remaining 50% of the 62.8k long is left to run into the 65-66k zone</t>
  </si>
  <si>
    <t xml:space="preserve">2026-06-20 22:22:58</t>
  </si>
  <si>
    <t xml:space="preserve">added 25% at 63.8k, which takes the average entry to 63k</t>
  </si>
  <si>
    <t xml:space="preserve">Added 25% here at 63.8k, new avg is 63k</t>
  </si>
  <si>
    <t xml:space="preserve">https://discord.com/channels/1042855255089623100/1501271173588193290/1517973053559275695</t>
  </si>
  <si>
    <t xml:space="preserve">planned (not yet placed) further 25% add at 61.5k</t>
  </si>
  <si>
    <t xml:space="preserve">25% I will add at 61.5k</t>
  </si>
  <si>
    <t xml:space="preserve">64700, 65000</t>
  </si>
  <si>
    <t xml:space="preserve">deliberately NOT moving SL to entry because he expects 64.7-65k over the weekend; stop stays where it was at 60.5k</t>
  </si>
  <si>
    <t xml:space="preserve">Not moving SL to entry yet as I feel like we get 64.7-65k on weekend
SL remains the same 60.5k</t>
  </si>
  <si>
    <t xml:space="preserve">reports the fill of the 50% he flagged in MSG 563 - the half of the 62.8k position was actually taken off at 64150</t>
  </si>
  <si>
    <t xml:space="preserve">(Already TPed 50% at 64150 from the 62.8k position)</t>
  </si>
  <si>
    <t xml:space="preserve">2026-06-20 22:59:31</t>
  </si>
  <si>
    <t xml:space="preserve">clarifies the 61.5k 25% add is still only planned, not filled; symbol inferred from the BTC thread</t>
  </si>
  <si>
    <t xml:space="preserve">25% I'll add at 61.5k, not added, will add.</t>
  </si>
  <si>
    <t xml:space="preserve">https://discord.com/channels/1042855255089623100/1501271173588193290/1517982250774298676</t>
  </si>
  <si>
    <t xml:space="preserve">2026-06-22 05:30:05</t>
  </si>
  <si>
    <t xml:space="preserve">the DCA is paying off - price came within $200 of the 65k TP without filling it; still holding for the target</t>
  </si>
  <si>
    <t xml:space="preserve">Glad we added at a good time, BTC doing good, 65k TP missed by 200$ but still hopeful we will get it!</t>
  </si>
  <si>
    <t xml:space="preserve">https://discord.com/channels/1042855255089623100/1501271173588193290/1518442927573962883</t>
  </si>
  <si>
    <t xml:space="preserve">65k target reached; he notes the sequence of taking TP, adding again, and getting a second TP out of the same move</t>
  </si>
  <si>
    <t xml:space="preserve">TP hit @ 65k guys, we took TP before then added again to get another TP</t>
  </si>
  <si>
    <t xml:space="preserve">https://discord.com/channels/1042855255089623100/1501271173588193290/1518600735351242923</t>
  </si>
  <si>
    <t xml:space="preserve">2026-06-22 15:58:35</t>
  </si>
  <si>
    <t xml:space="preserve">66000, 67000</t>
  </si>
  <si>
    <t xml:space="preserve">he is fully out; the 66-67k levels are runner targets he offers to members who want to stay in, not his own remaining orders</t>
  </si>
  <si>
    <t xml:space="preserve">Fully out, if anyone wants to keep runners till 66-67</t>
  </si>
  <si>
    <t xml:space="preserve">https://discord.com/channels/1042855255089623100/1501271173588193290/1518601093821497425</t>
  </si>
  <si>
    <t xml:space="preserve">2026-06-22 16:17:13</t>
  </si>
  <si>
    <t xml:space="preserve">you don't add margin to a green trade unless you're confident</t>
  </si>
  <si>
    <t xml:space="preserve">lesson drawn from the trade just closed: only add margin to a position already in profit when you have real conviction - he did because he expected 65-67k</t>
  </si>
  <si>
    <t xml:space="preserve">Told you I'm expecting 65-67k by this weekend/week, you don't add margin to a green trade unless you're confident!</t>
  </si>
  <si>
    <t xml:space="preserve">https://discord.com/channels/1042855255089623100/1501271173588193290/1518605783351165130</t>
  </si>
  <si>
    <t xml:space="preserve">2026-06-22 19:21:41</t>
  </si>
  <si>
    <t xml:space="preserve">BTC could bounce from 64.7k (CMP) but he expects a dip into 63.9-64.2k first and will long from that zone; waiting for now</t>
  </si>
  <si>
    <t xml:space="preserve">BTC can bounce from 64.7k (CMP) but I feel like we can get 63.9-64.2k, will long from there. Waiting.</t>
  </si>
  <si>
    <t xml:space="preserve">2026-06-22 21:04:54</t>
  </si>
  <si>
    <t xml:space="preserve">wants to enter at 63.6k (current market price) but suspects his levels are being front run; no entry stated yet</t>
  </si>
  <si>
    <t xml:space="preserve">I have a feeling I'm being front run here, want to enter at 63.6k CMP</t>
  </si>
  <si>
    <t xml:space="preserve">https://discord.com/channels/1042855255089623100/1501271173588193290/1518678184000884759</t>
  </si>
  <si>
    <t xml:space="preserve">Entry 70% of size, DCA 30% for later</t>
  </si>
  <si>
    <t xml:space="preserve">enters 70% at market with 30% held back to add in the 61.5-62k zone; stop is deliberately wide at 61k because he is playing safe</t>
  </si>
  <si>
    <t xml:space="preserve">Long BTC
Entry: 63940 CMP (70%)
DCA 30% for later
SL: 61k
Yes SL a bit wide but I'm playing safe, will add at 61.5-62k to improve entry</t>
  </si>
  <si>
    <t xml:space="preserve">https://discord.com/channels/1042855255089623100/1501271173588193290/1518744940086169650</t>
  </si>
  <si>
    <t xml:space="preserve">2026-06-23 17:39:50</t>
  </si>
  <si>
    <t xml:space="preserve">green-lights an add at 62.7k market price for anyone wanting to improve their entry on the BTC long; symbol inferred from the running BTC thread</t>
  </si>
  <si>
    <t xml:space="preserve">If anyone wants to add they can here at 62.7k market price</t>
  </si>
  <si>
    <t xml:space="preserve">https://discord.com/channels/1042855255089623100/1501271173588193290/1518988963317022900</t>
  </si>
  <si>
    <t xml:space="preserve">2026-06-24 16:41:56</t>
  </si>
  <si>
    <t xml:space="preserve">still holding, stop unchanged (61k from the MSG 572 call, not restated here so left null) but he will only act on a 4h close; expects a squeeze before 60k breaks</t>
  </si>
  <si>
    <t xml:space="preserve">expects a squeeze before BTC breaks 60k</t>
  </si>
  <si>
    <t xml:space="preserve">Still holding my BTC long, SL remains the same but will wait for 4h close!
I think we will get a squeeze before breaking 60k.</t>
  </si>
  <si>
    <t xml:space="preserve">https://discord.com/channels/1042855255089623100/1501271173588193290/1519336780648808478</t>
  </si>
  <si>
    <t xml:space="preserve">conditional short: only takes it if SPCX gives him 155 before dropping into the 140s; target 135-140. Will post the entry when it happens</t>
  </si>
  <si>
    <t xml:space="preserve">Also SPCX looks like an easy short to 135-140 will short it if I get 155 before 140s
Will update whenever I enter</t>
  </si>
  <si>
    <t xml:space="preserve">relative strength - JUP is holding up against the dump, so he expects a breakout if BTC reverses</t>
  </si>
  <si>
    <t xml:space="preserve">BTC dumping; setup depends on BTC reversing</t>
  </si>
  <si>
    <t xml:space="preserve">Long JUP
Entry: 0.214 CMP 
TP: 0.24
SL: 0.1969
Holding well against this dump, expecting it to give a breakout here if BTC reverses.</t>
  </si>
  <si>
    <t xml:space="preserve">2026-06-24 17:35:38</t>
  </si>
  <si>
    <t xml:space="preserve">calls the low in - thinks BTC has put in its bottom for the day</t>
  </si>
  <si>
    <t xml:space="preserve">BTC bottom should be done now at least for today!</t>
  </si>
  <si>
    <t xml:space="preserve">https://discord.com/channels/1042855255089623100/1501271173588193290/1519350295946068148</t>
  </si>
  <si>
    <t xml:space="preserve">2026-06-24 17:36:22</t>
  </si>
  <si>
    <t xml:space="preserve">states the running average entry is 63.3k after yesterday's add; price came back to his entry today then dumped hard</t>
  </si>
  <si>
    <t xml:space="preserve">Avg is 63.3k btw added yesterday, touched entry today but then dumped hard</t>
  </si>
  <si>
    <t xml:space="preserve">https://discord.com/channels/1042855255089623100/1501271173588193290/1519350480315220200</t>
  </si>
  <si>
    <t xml:space="preserve">2026-06-24 17:43:07</t>
  </si>
  <si>
    <t xml:space="preserve">did not take the stop even though price traded through it, because he had said he would only act on a 4h close</t>
  </si>
  <si>
    <t xml:space="preserve">Mentioned will wait for 4h close hence I didn't take SL</t>
  </si>
  <si>
    <t xml:space="preserve">https://discord.com/channels/1042855255089623100/1501271173588193290/1519352177154326589</t>
  </si>
  <si>
    <t xml:space="preserve">for members who were stopped: re-enter the long, this time using a 59-60k stop (lower bound recorded, full zone 59000-60000). No entry level given</t>
  </si>
  <si>
    <t xml:space="preserve">If you got SL long again with 59-60k SL</t>
  </si>
  <si>
    <t xml:space="preserve">his bottom call was wrong and the 4h is closing under, which was his stated invalidation; takes the loss at -1.25R and apologises</t>
  </si>
  <si>
    <t xml:space="preserve">Was wrong about the bottom, 4h closing under too.
-1.25R for this, apologies</t>
  </si>
  <si>
    <t xml:space="preserve">https://discord.com/channels/1042855255089623100/1501271173588193290/1519370544439361608</t>
  </si>
  <si>
    <t xml:space="preserve">thinks the move made a new daily low and expects a dead cat bounce on the lower timeframes</t>
  </si>
  <si>
    <t xml:space="preserve">I longed BTC
Entry: 59.5k
Think they hit new daily low and a dead cat bounce on LTF</t>
  </si>
  <si>
    <t xml:space="preserve">2026-06-24 20:35:29</t>
  </si>
  <si>
    <t xml:space="preserve">tentative stop for the 59.5k long - he is unsure but has 56-57k in mind (lower bound recorded, full zone 56000-57000)</t>
  </si>
  <si>
    <t xml:space="preserve">ngl not sure about SL but I have 56-57k in my mind</t>
  </si>
  <si>
    <t xml:space="preserve">https://discord.com/channels/1042855255089623100/1501271173588193290/1519395557288972449</t>
  </si>
  <si>
    <t xml:space="preserve">2026-06-24 20:41:28</t>
  </si>
  <si>
    <t xml:space="preserve">formal version of the 59.5k long: enter at market keeping 30-40% back to add either lower or on a bounce; targets 61-63k with stop 57.5k</t>
  </si>
  <si>
    <t xml:space="preserve">Long BTC
Entry: 59.4k CMP
Save 30-40% for DCA I will add some if we go lower or at a bounce
SL: 57.5k 
Targeting 61-63k</t>
  </si>
  <si>
    <t xml:space="preserve">https://discord.com/channels/1042855255089623100/1501271173588193290/1519397061684887693</t>
  </si>
  <si>
    <t xml:space="preserve">the JUP long started well but BTC weakness dragged it into the stop; he does not restate the fill price so no level recorded</t>
  </si>
  <si>
    <t xml:space="preserve">BTC dump dragging alts down; rough month</t>
  </si>
  <si>
    <t xml:space="preserve">JUP stopped out, started great but BTC ruining it. Sorry guy's rough month.</t>
  </si>
  <si>
    <t xml:space="preserve">https://discord.com/channels/1042855255089623100/1501271173588193290/1519399728628891799</t>
  </si>
  <si>
    <t xml:space="preserve">2026-06-24 23:10:48</t>
  </si>
  <si>
    <t xml:space="preserve">shows the long already in profit off the low and hopes this is the bottom</t>
  </si>
  <si>
    <t xml:space="preserve">May this be the bottom, spam AMEN bros</t>
  </si>
  <si>
    <t xml:space="preserve">https://discord.com/channels/1042855255089623100/1501271173588193290/1519434644225790105</t>
  </si>
  <si>
    <t xml:space="preserve">2026-06-24 23:11:06</t>
  </si>
  <si>
    <t xml:space="preserve">image-only post with no text: Blofin-side proof of the same bounce long, entry 59,595.1 vs the 59,214.3 shown on the other exchange card</t>
  </si>
  <si>
    <t xml:space="preserve">[IMAGE 192, no message text: BTCUSDT long 150x entry 59595.1 mark 60793.4 ROI 301.62% (open)]</t>
  </si>
  <si>
    <t xml:space="preserve">https://discord.com/channels/1042855255089623100/1501271173588193290/1519434719203168276</t>
  </si>
  <si>
    <t xml:space="preserve">2026-06-24 23:54:35</t>
  </si>
  <si>
    <t xml:space="preserve">1.1R banked measured from the 59.2k fill and 1R from the 59.5k fill; the new-daily-low-then-bounce thesis played out as he called it</t>
  </si>
  <si>
    <t xml:space="preserve">1.1R from 59.2, 1R from 59.5 done boys, as I said they'll make a new daily low then bounce it</t>
  </si>
  <si>
    <t xml:space="preserve">https://discord.com/channels/1042855255089623100/1501271173588193290/1519445662058680482</t>
  </si>
  <si>
    <t xml:space="preserve">tells members they can take 25-30% off here (lower bound recorded, full range 25-30%); framed as guidance rather than his own fill</t>
  </si>
  <si>
    <t xml:space="preserve">you can take 25-30%</t>
  </si>
  <si>
    <t xml:space="preserve">his own exit plan for the rest: close around 62k, or earlier if he sees a rejection</t>
  </si>
  <si>
    <t xml:space="preserve">I close around 62 (or until I see a rejection)</t>
  </si>
  <si>
    <t xml:space="preserve">2026-06-24 23:55:14</t>
  </si>
  <si>
    <t xml:space="preserve">proof that the entry he published in the channel is the one he is actually in</t>
  </si>
  <si>
    <t xml:space="preserve">Actual entry when I uploaded</t>
  </si>
  <si>
    <t xml:space="preserve">https://discord.com/channels/1042855255089623100/1501271173588193290/1519445822561976340</t>
  </si>
  <si>
    <t xml:space="preserve">Target 1 achieved so he takes the whole position off for now, even though he thinks 62k is still reachable</t>
  </si>
  <si>
    <t xml:space="preserve">Fully closing here for now as our Target 1 is achieved but 62k is very reachable</t>
  </si>
  <si>
    <t xml:space="preserve">https://discord.com/channels/1042855255089623100/1501271173588193290/1519492157579198464</t>
  </si>
  <si>
    <t xml:space="preserve">61800, 62000</t>
  </si>
  <si>
    <t xml:space="preserve">guidance for members still in: bank 50% here at ~61.1k and take the rest at 61.8-62k</t>
  </si>
  <si>
    <t xml:space="preserve">you can take 50% here fully TP at 61.8-62k</t>
  </si>
  <si>
    <t xml:space="preserve">2026-06-25 03:04:47</t>
  </si>
  <si>
    <t xml:space="preserve">shows the published call entry (~59.3k at the time of posting) lines up with his own fill, so members should have the same trade</t>
  </si>
  <si>
    <t xml:space="preserve">Majority of you should have this entry, when posted was around 59.3k</t>
  </si>
  <si>
    <t xml:space="preserve">https://discord.com/channels/1042855255089623100/1501271173588193290/1519493527569043536</t>
  </si>
  <si>
    <t xml:space="preserve">Shitcoin, total gambling don't risk more than 2%</t>
  </si>
  <si>
    <t xml:space="preserve">explicitly a gamble on a shitcoin, sized down to a max 2% risk</t>
  </si>
  <si>
    <t xml:space="preserve">Long TOSHI
Entry: 0.00011
TPs: 0.000126-0.000142
SL: 0.00009
Shitcoin, total gambling don't risk more than 2%</t>
  </si>
  <si>
    <t xml:space="preserve">small size</t>
  </si>
  <si>
    <t xml:space="preserve">personal, small-size long from 61.2k taken ahead of any published setup</t>
  </si>
  <si>
    <t xml:space="preserve">Personally long on BTC from 61.2k but a small size</t>
  </si>
  <si>
    <t xml:space="preserve">will only publish a proper setup if BTC dumps to around 60.6k</t>
  </si>
  <si>
    <t xml:space="preserve">will post a proper setup if we dump around 60.6k</t>
  </si>
  <si>
    <t xml:space="preserve">2026-06-25 15:39:09</t>
  </si>
  <si>
    <t xml:space="preserve">Enter 50% here, save 50% for DCA; for a safer entry just enter when I DCA</t>
  </si>
  <si>
    <t xml:space="preserve">half-size entry at market with the other half reserved for a DCA he will announce; cautious members are told to wait for that DCA instead</t>
  </si>
  <si>
    <t xml:space="preserve">Long BTC 
Entry: 61.3k CMP (50%)
Save DCA for 50%
SL: 58.6k
For a safer entry just enter when I DCA</t>
  </si>
  <si>
    <t xml:space="preserve">https://discord.com/channels/1042855255089623100/1501271173588193290/1519683367040188488</t>
  </si>
  <si>
    <t xml:space="preserve">2026-06-25 15:42:38</t>
  </si>
  <si>
    <t xml:space="preserve">RISKY TRADE</t>
  </si>
  <si>
    <t xml:space="preserve">retroactively flags the 61.3k BTC long posted three minutes earlier as a risky trade; symbol inferred from the message it points at</t>
  </si>
  <si>
    <t xml:space="preserve">^ RISKY TRADE ^</t>
  </si>
  <si>
    <t xml:space="preserve">https://discord.com/channels/1042855255089623100/1501271173588193290/1519684244295909397</t>
  </si>
  <si>
    <t xml:space="preserve">no edge at this price, so he goes flat at effectively breakeven (61,253.1 in, 61,270.6 out) rather than hold</t>
  </si>
  <si>
    <t xml:space="preserve">Closed at BE for now</t>
  </si>
  <si>
    <t xml:space="preserve">https://discord.com/channels/1042855255089623100/1501271173588193290/1519689227799888014</t>
  </si>
  <si>
    <t xml:space="preserve">two-way plan after going flat: long from lower (no level given) or short from 62k+ - only the short leg carries a price, so it is recorded on this event</t>
  </si>
  <si>
    <t xml:space="preserve">will look to long from lower or short from 62+</t>
  </si>
  <si>
    <t xml:space="preserve">2026-06-25 16:05:43</t>
  </si>
  <si>
    <t xml:space="preserve">still believes the setup works but it would take too long to play out from 61.3k, so he will re-long from around 60k instead</t>
  </si>
  <si>
    <t xml:space="preserve">The setup is fine I think this works out btw but will have to long for a long time, will just long from lower around 60</t>
  </si>
  <si>
    <t xml:space="preserve">DCA 50% (half the size held back for a DCA)</t>
  </si>
  <si>
    <t xml:space="preserve">re-longs BTC lower after the breakeven exit, half size in now with 50% reserved for a DCA; no DCA level given</t>
  </si>
  <si>
    <t xml:space="preserve">Long BTC
Entry: 58.2k CMP 
DCA 50%
SL: 56k</t>
  </si>
  <si>
    <t xml:space="preserve">https://discord.com/channels/1042855255089623100/1501271173588193290/1519703224897241119</t>
  </si>
  <si>
    <t xml:space="preserve">2026-06-25 16:58:43</t>
  </si>
  <si>
    <t xml:space="preserve">clarifies that the 58.2k in the call is the current market price while his own fill is 58.5k</t>
  </si>
  <si>
    <t xml:space="preserve">58.2k is the CMP, mine is 58.5k</t>
  </si>
  <si>
    <t xml:space="preserve">https://discord.com/channels/1042855255089623100/1501271173588193290/1519703393063534754</t>
  </si>
  <si>
    <t xml:space="preserve">2026-06-25 17:10:34</t>
  </si>
  <si>
    <t xml:space="preserve">banks 70% of the fresh long at ~59.5k</t>
  </si>
  <si>
    <t xml:space="preserve">70% here, remaining at 60k</t>
  </si>
  <si>
    <t xml:space="preserve">https://discord.com/channels/1042855255089623100/1501271173588193290/1519706372655284456</t>
  </si>
  <si>
    <t xml:space="preserve">remaining 30% left to close at 60k</t>
  </si>
  <si>
    <t xml:space="preserve">closes everything at 59.1k because his own average entry was poor; tells members whose entry is 58.4k or lower to keep running</t>
  </si>
  <si>
    <t xml:space="preserve">Okay I closed all at 59.1k because my entry is bad, if your entry is 58.4k or lower keep it running</t>
  </si>
  <si>
    <t xml:space="preserve">https://discord.com/channels/1042855255089623100/1501271173588193290/1519708337221009442</t>
  </si>
  <si>
    <t xml:space="preserve">2026-06-25 17:21:57</t>
  </si>
  <si>
    <t xml:space="preserve">says something is not listed on Blofin so he cancelled it - AMBIGUOUS: he names no instrument and the surrounding thread is BTC (which is on Blofin), so the symbol cannot be determined</t>
  </si>
  <si>
    <t xml:space="preserve">Not available on BLOFIN so just cancelled</t>
  </si>
  <si>
    <t xml:space="preserve">https://discord.com/channels/1042855255089623100/1501271173588193290/1519709239126266019</t>
  </si>
  <si>
    <t xml:space="preserve">2026-06-25 17:37:58</t>
  </si>
  <si>
    <t xml:space="preserve">the 60k target on the scaled BTC long filled at 60,008.6; he notes he caught both yesterday's and today's bottom bounce. Card entry 58,305.1 differs from the 58,616.4 shown 27 minutes earlier - recorded as posted</t>
  </si>
  <si>
    <t xml:space="preserve">60k hit, caught both yesterday's + today's bottom bounce</t>
  </si>
  <si>
    <t xml:space="preserve">https://discord.com/channels/1042855255089623100/1501271173588193290/1519713271895293992</t>
  </si>
  <si>
    <t xml:space="preserve">2026-06-25 18:39:49</t>
  </si>
  <si>
    <t xml:space="preserve">conditional re-entry: doubts BTC returns to 58k today, but if it does he will run the same setup again</t>
  </si>
  <si>
    <t xml:space="preserve">Don't think BTC comes to 58k today now, if it does, will play same setup</t>
  </si>
  <si>
    <t xml:space="preserve">https://discord.com/channels/1042855255089623100/1501271173588193290/1519728837150249164</t>
  </si>
  <si>
    <t xml:space="preserve">bullish into the weekend - expects BTC to grind up from here to around 62k</t>
  </si>
  <si>
    <t xml:space="preserve">really think BTC will move up from here to around 62k by the weekend</t>
  </si>
  <si>
    <t xml:space="preserve">tight-range long at market for 61k with a 58.2k invalidation, sized at half his normal risk</t>
  </si>
  <si>
    <t xml:space="preserve">Long BTC 
Entry: 59.8k CMP 
TP: 61k
SL: 58.2k
Half risk trade</t>
  </si>
  <si>
    <t xml:space="preserve">price came within $200 of the 61k target without filling it, so he takes the half-risk long off flat rather than risk a reversal; entry taken from the call he is replying to</t>
  </si>
  <si>
    <t xml:space="preserve">BTC missed target by 200$ will close this on BE for now</t>
  </si>
  <si>
    <t xml:space="preserve">https://discord.com/channels/1042855255089623100/1501271173588193290/1520064585850290318</t>
  </si>
  <si>
    <t xml:space="preserve">75, 85</t>
  </si>
  <si>
    <t xml:space="preserve">set-and-forget swing with 10% margin on a side app</t>
  </si>
  <si>
    <t xml:space="preserve">discloses a 10x SOL swing long he had mentioned in chat and forgotten about; calls SOL the strongest mainstream alt and expects 75-85 in July (forecast levels, not resting orders)</t>
  </si>
  <si>
    <t xml:space="preserve">I mentioned a few days ago in chat that I have long sol with a 10x and forgot, SOL is the strongest don't miss out, you'll see it 75-85 easily in July</t>
  </si>
  <si>
    <t xml:space="preserve">2026-06-26 16:56:14</t>
  </si>
  <si>
    <t xml:space="preserve">image-only post with no text: Blofin card evidencing the open 10x SOL long he had just described</t>
  </si>
  <si>
    <t xml:space="preserve">[IMAGE 201, no message text: SOLUSDT long 10x entry 67.55 mark 70.3 ROI 40.71% (open)]</t>
  </si>
  <si>
    <t xml:space="preserve">https://discord.com/channels/1042855255089623100/1501271173588193290/1520065157294854234</t>
  </si>
  <si>
    <t xml:space="preserve">2026-06-26 17:15:43</t>
  </si>
  <si>
    <t xml:space="preserve">screenshot of his own earlier message shows he added to SOL at 66 - the bottom - but he regrets not publishing a long call there</t>
  </si>
  <si>
    <t xml:space="preserve">Really bought yesterday's bottom, regret not giving a long here.</t>
  </si>
  <si>
    <t xml:space="preserve">https://discord.com/channels/1042855255089623100/1501271173588193290/1520070058137747557</t>
  </si>
  <si>
    <t xml:space="preserve">2026-06-26 18:39:27</t>
  </si>
  <si>
    <t xml:space="preserve">thinks the dump is done for the weekend and BTC heads to at least 62k, so he will look for another BTC long; no entry level given yet</t>
  </si>
  <si>
    <t xml:space="preserve">weekend; dump likely over</t>
  </si>
  <si>
    <t xml:space="preserve">Feels like dumps over for the weekend and we should be heading to 62k at least, will look for a BTC long again.</t>
  </si>
  <si>
    <t xml:space="preserve">flags that the TOSHI gamble long is in profit and running</t>
  </si>
  <si>
    <t xml:space="preserve">TOSHI running!</t>
  </si>
  <si>
    <t xml:space="preserve">2026-06-26 18:42:00</t>
  </si>
  <si>
    <t xml:space="preserve">expects SOL 75-78 by the weekend (lower bound recorded, full range 75-78); notes he is long from the bottom and nobody followed him in</t>
  </si>
  <si>
    <t xml:space="preserve">SOL to 75-78 by weekend most likely, feels bad being in a long alone from the bottom</t>
  </si>
  <si>
    <t xml:space="preserve">https://discord.com/channels/1042855255089623100/1501271173588193290/1520091772611723474</t>
  </si>
  <si>
    <t xml:space="preserve">Risky trade invest max of a 5% of your spot; officially a spot call</t>
  </si>
  <si>
    <t xml:space="preserve">he has already bought BEAT spot around 2.6 expecting a 40-100% scam pump; a leveraged version is allowed with 2 as the stop, but he publishes it as a spot call</t>
  </si>
  <si>
    <t xml:space="preserve">Bought some BEAT in spot around 2.6
Risky trade invest max of a 5% of your spot
Can also long with 2 as SL but officially it's a spot call.
Expecting a spam pump a 40-100% scam pump.</t>
  </si>
  <si>
    <t xml:space="preserve">a swing idea offered to members rather than a trade he is taking - he says he will scalp later instead; long side implied by TP above and SL below entry</t>
  </si>
  <si>
    <t xml:space="preserve">BTC swing idea
Entry: 60k CMP 
TP: 65k
SL: 56800
Just an idea if anyone wants to swing, I'll take a scalp later on.</t>
  </si>
  <si>
    <t xml:space="preserve">https://discord.com/channels/1042855255089623100/1501271173588193290/1520267462292144128</t>
  </si>
  <si>
    <t xml:space="preserve">2026-06-28 16:24:41</t>
  </si>
  <si>
    <t xml:space="preserve">TOSHI pumped off his entry zone - a 25% spot move worth 1.5R; chart also shows heavily negative funding (-1.1492%)</t>
  </si>
  <si>
    <t xml:space="preserve">TOSHI up 25% in spot move + 1.5R move</t>
  </si>
  <si>
    <t xml:space="preserve">https://discord.com/channels/1042855255089623100/1501271173588193290/1520781991736250500</t>
  </si>
  <si>
    <t xml:space="preserve">2026-06-28 16:24:44</t>
  </si>
  <si>
    <t xml:space="preserve">image-only post with no text: Blofin card proving the 50x TOSHI long caught the pump</t>
  </si>
  <si>
    <t xml:space="preserve">[IMAGE 204, no message text: TOSHIUSDT long 50x entry 0.0001101 mark 0.0001314 ROI 965.92% (open)]</t>
  </si>
  <si>
    <t xml:space="preserve">https://discord.com/channels/1042855255089623100/1501271173588193290/1520782003539279924</t>
  </si>
  <si>
    <t xml:space="preserve">2026-06-28 17:33:19</t>
  </si>
  <si>
    <t xml:space="preserve">moves the TOSHI stop above entry (0.0001101) to lock in profit</t>
  </si>
  <si>
    <t xml:space="preserve">SL to 0.0001126 in profits</t>
  </si>
  <si>
    <t xml:space="preserve">https://discord.com/channels/1042855255089623100/1501271173588193290/1520799264299814952</t>
  </si>
  <si>
    <t xml:space="preserve">takes only 20% off at around 1R, leaving the bulk to run on the profit stop</t>
  </si>
  <si>
    <t xml:space="preserve">Take 20% here only around 1R</t>
  </si>
  <si>
    <t xml:space="preserve">DCA 50% @ 62k; you can enter around DCA for a better R</t>
  </si>
  <si>
    <t xml:space="preserve">he wants to buy the 57k region anyway, so he shorts into it; entry 59700 CMP (or 60k as an alternative), manual TP around 56-57k, wide 64k stop</t>
  </si>
  <si>
    <t xml:space="preserve">Short BTC (swing)
Entry: 59700 CMP or 60k
DCA 50% @ 62k
Will TP manually somewhere around 56-57k
SL: 64k
I want to long from 57k region so why not try a short, you can enter around DCA for a better R</t>
  </si>
  <si>
    <t xml:space="preserve">2026-06-29 02:54:44</t>
  </si>
  <si>
    <t xml:space="preserve">will run a long alongside the swing short, but is waiting for a new daily low to trigger it; no level given</t>
  </si>
  <si>
    <t xml:space="preserve">I'll long too, waiting for a new daily low for that</t>
  </si>
  <si>
    <t xml:space="preserve">wanted a 59k scalp long but price moved up too fast for him to post it - the setup was missed, not taken</t>
  </si>
  <si>
    <t xml:space="preserve">crazy wicks up and down</t>
  </si>
  <si>
    <t xml:space="preserve">Wanted to scalp long at 59k but went up so fast couldn't update, crazy wicks up down.</t>
  </si>
  <si>
    <t xml:space="preserve">https://discord.com/channels/1042855255089623100/1501271173588193290/1520982719801327636</t>
  </si>
  <si>
    <t xml:space="preserve">price ran $500 while he was writing the post, so he got in at 59,200 with a resting DCA below; expects a good pump and hopes the DCA fills</t>
  </si>
  <si>
    <t xml:space="preserve">Price went way up fast, was writing and it was 500$ up, this will pump good I just hope it fills DCA</t>
  </si>
  <si>
    <t xml:space="preserve">https://discord.com/channels/1042855255089623100/1501271173588193290/1520990245573623900</t>
  </si>
  <si>
    <t xml:space="preserve">2026-06-29 20:22:36</t>
  </si>
  <si>
    <t xml:space="preserve">names HYPE alongside SOL as an alt not to miss; no levels or position given for HYPE</t>
  </si>
  <si>
    <t xml:space="preserve">HYPE and SOL don't miss on these!</t>
  </si>
  <si>
    <t xml:space="preserve">https://discord.com/channels/1042855255089623100/1501271173588193290/1521204253857681418</t>
  </si>
  <si>
    <t xml:space="preserve">the SOL swing long is up 110%; he expects 80+ by the weekend (a forecast, not a resting order). Card entry 68.46 differs from the 67.55 shown on 26 Jun - recorded as posted</t>
  </si>
  <si>
    <t xml:space="preserve">Kept telling everyone to get SOL it's gonna run the hardest, HYPE and SOL don't miss on these!
80+ by this weekend in my opinion</t>
  </si>
  <si>
    <t xml:space="preserve">2026-06-29 20:33:21</t>
  </si>
  <si>
    <t xml:space="preserve">broad market call: July should be a relief/pump month and better than June</t>
  </si>
  <si>
    <t xml:space="preserve">expects July to be a pumpy relief month after a poor June</t>
  </si>
  <si>
    <t xml:space="preserve">July will be a pumpy pumpy month, at least better than June I'm telling you, it's a relief month.</t>
  </si>
  <si>
    <t xml:space="preserve">https://discord.com/channels/1042855255089623100/1501271173588193290/1521206960035467455</t>
  </si>
  <si>
    <t xml:space="preserve">2026-06-29 20:47:37</t>
  </si>
  <si>
    <t xml:space="preserve">refines the July call: at most the first 7-10 days bearish, then a hard run up</t>
  </si>
  <si>
    <t xml:space="preserve">first 7-10 days of July bearish, then a hard run up</t>
  </si>
  <si>
    <t xml:space="preserve">Maximum of the first 7-10 days bearish, then a hard run up!</t>
  </si>
  <si>
    <t xml:space="preserve">https://discord.com/channels/1042855255089623100/1501271173588193290/1521210547419484381</t>
  </si>
  <si>
    <t xml:space="preserve">new long at market with a 56.3k stop, run alongside the swing short from 60k; no target given here (a 59180 scalp target follows in MSG 629)</t>
  </si>
  <si>
    <t xml:space="preserve">Long BTC 
Entry: 58.3k CMP 
SL: 56.3k</t>
  </si>
  <si>
    <t xml:space="preserve">57550</t>
  </si>
  <si>
    <t xml:space="preserve">fixes a hard target of 57550 on the swing short, replacing the 'manually somewhere around 56-57k' from the MSG 620 call; he cites his fill as 60k (the call said 59700 CMP or 60k)</t>
  </si>
  <si>
    <t xml:space="preserve">Short running from 60k, TP @ 57550</t>
  </si>
  <si>
    <t xml:space="preserve">2026-06-30 16:02:27</t>
  </si>
  <si>
    <t xml:space="preserve">posts the 57550 target directly under the original swing-short call so members see it against the setup; supersedes the 56-57k manual TP</t>
  </si>
  <si>
    <t xml:space="preserve">TP @ 57550</t>
  </si>
  <si>
    <t xml:space="preserve">https://discord.com/channels/1042855255089623100/1501271173588193290/1521501170852434084</t>
  </si>
  <si>
    <t xml:space="preserve">2026-06-30 16:44:44</t>
  </si>
  <si>
    <t xml:space="preserve">59180</t>
  </si>
  <si>
    <t xml:space="preserve">reframes the 58.3k long as a scalp with a first target of 59180; entry taken from the call he is replying to</t>
  </si>
  <si>
    <t xml:space="preserve">Scalp, TP @ 59180</t>
  </si>
  <si>
    <t xml:space="preserve">https://discord.com/channels/1042855255089623100/1501271173588193290/1521511811126657194</t>
  </si>
  <si>
    <t xml:space="preserve">A bit risky</t>
  </si>
  <si>
    <t xml:space="preserve">relative strength play - HYPE is holding well and a BTC bounce from the 57-58k region should send it higher</t>
  </si>
  <si>
    <t xml:space="preserve">expects a BTC bounce around 57-58k to lift HYPE</t>
  </si>
  <si>
    <t xml:space="preserve">Long HYPE
Entry: 64.8 CMP 
TP: 68
SL: 62.7
A bit risky but HYPEs holding well, BTC bounce around 57-58k may send it higher</t>
  </si>
  <si>
    <t xml:space="preserve">2026-06-30 17:22:10</t>
  </si>
  <si>
    <t xml:space="preserve">the 59180 scalp target filled almost instantly and he took 50% off; the crop shows the closed portion at an average 59,104.4</t>
  </si>
  <si>
    <t xml:space="preserve">Long Scalp TP got hit instantly, out 50%</t>
  </si>
  <si>
    <t xml:space="preserve">https://discord.com/channels/1042855255089623100/1501271173588193290/1521521232489611396</t>
  </si>
  <si>
    <t xml:space="preserve">target for the remaining 50% moved up to around 59.5k after the first TP filled</t>
  </si>
  <si>
    <t xml:space="preserve">remaining around 59.5k</t>
  </si>
  <si>
    <t xml:space="preserve">stop tightened to 57k (called at 56.3k in msg 627) now that half is booked</t>
  </si>
  <si>
    <t xml:space="preserve">Moving SL to 57k</t>
  </si>
  <si>
    <t xml:space="preserve">plans to put 25% of the size back on at 58.2k if price comes back down</t>
  </si>
  <si>
    <t xml:space="preserve">will add 25% back at 58.2k if we go back</t>
  </si>
  <si>
    <t xml:space="preserve">2026-06-30 17:22:41</t>
  </si>
  <si>
    <t xml:space="preserve">this was without DCA, 1 entry was in heavy</t>
  </si>
  <si>
    <t xml:space="preserve">explains the unusual partial: the position was a single heavy entry with no DCA saved, so he trimmed; still holding the rest</t>
  </si>
  <si>
    <t xml:space="preserve">I don't take partials usually but this was without DCA, 1 entry was in heavy
Still holding</t>
  </si>
  <si>
    <t xml:space="preserve">https://discord.com/channels/1042855255089623100/1501271173588193290/1521521363695964220</t>
  </si>
  <si>
    <t xml:space="preserve">2026-06-30 17:23:50</t>
  </si>
  <si>
    <t xml:space="preserve">conditional exit: if there is a hard rejection off the 50 EMA at 59.3k, get out there - he may not be able to update in time</t>
  </si>
  <si>
    <t xml:space="preserve">EMA 50 @ 59.3k if you see a hard rejection exit there, I'll try to update in shower rn so</t>
  </si>
  <si>
    <t xml:space="preserve">https://discord.com/channels/1042855255089623100/1501271173588193290/1521521651060052028</t>
  </si>
  <si>
    <t xml:space="preserve">recaps that his 50% came off at the top before the dump, and anyone who took the full 59.2k TP is completely out</t>
  </si>
  <si>
    <t xml:space="preserve">Got 50% at top then dumped, if you took 100% TP at 59.2k</t>
  </si>
  <si>
    <t xml:space="preserve">re-longs BTC at market after the dump off 59.2k</t>
  </si>
  <si>
    <t xml:space="preserve">Long again
Entry: 58.4k CMP
SL: 57k</t>
  </si>
  <si>
    <t xml:space="preserve">anyone still in the older long can add back at 58k; he adds back the 25% he trimmed, the other 50% stays TPed</t>
  </si>
  <si>
    <t xml:space="preserve">If you're in the older trade just add some back at 58k, I'll add 25% back, 50% I took TP</t>
  </si>
  <si>
    <t xml:space="preserve">closes the re-long; card shows the 150x long from 58,372.7 at 58,957.8 (+150.34%) as he takes profit</t>
  </si>
  <si>
    <t xml:space="preserve">Closed this after re-longing</t>
  </si>
  <si>
    <t xml:space="preserve">https://discord.com/channels/1042855255089623100/1501271173588193290/1521694009968295996</t>
  </si>
  <si>
    <t xml:space="preserve">first of two BTC long scalps worth about 0.5R each - 150x from 58,486.2 at 58,950.3 (+119.03%)</t>
  </si>
  <si>
    <t xml:space="preserve">Caught 2 long scalps of around 0.5Rs</t>
  </si>
  <si>
    <t xml:space="preserve">https://discord.com/channels/1042855255089623100/1501271173588193290/1521695843718008913</t>
  </si>
  <si>
    <t xml:space="preserve">second of the two ~0.5R long scalps - same card as msg 635, 150x from 58,372.7 at 58,957.8 (+150.34%)</t>
  </si>
  <si>
    <t xml:space="preserve">the running BTC short is in profit and came very close to its target without filling it</t>
  </si>
  <si>
    <t xml:space="preserve">and short in profit almost touched our TP, almost!</t>
  </si>
  <si>
    <t xml:space="preserve">takes the short off in profit after price bounced short of the target rather than waiting; card shows the 150x short from 59,972.9 closed at 59,318.1 (+163.77%) - he does not restate which TP he means</t>
  </si>
  <si>
    <t xml:space="preserve">Short bounced near TP but in profit!</t>
  </si>
  <si>
    <t xml:space="preserve">https://discord.com/channels/1042855255089623100/1501271173588193290/1521695945069170769</t>
  </si>
  <si>
    <t xml:space="preserve">2026-07-01 04:58:53</t>
  </si>
  <si>
    <t xml:space="preserve">confirms both longs are out - the first one was closed earlier at 59.2k</t>
  </si>
  <si>
    <t xml:space="preserve">Incase anyone misses, longs are closed.
One was closed at 59.2k earlier</t>
  </si>
  <si>
    <t xml:space="preserve">https://discord.com/channels/1042855255089623100/1501271173588193290/1521696567462068316</t>
  </si>
  <si>
    <t xml:space="preserve">the second long (the re-long shown in msg 635) was closed at 59k just now</t>
  </si>
  <si>
    <t xml:space="preserve">One at 59k rn.</t>
  </si>
  <si>
    <t xml:space="preserve">he had flagged the trade as risky and hopes people managed risk</t>
  </si>
  <si>
    <t xml:space="preserve">the HYPE long (entry 64.8, SL 62.7 from msg 630) was stopped out; no levels restated in this message</t>
  </si>
  <si>
    <t xml:space="preserve">HYPE stopped mentioned it was risky so hopefully risk was managed.</t>
  </si>
  <si>
    <t xml:space="preserve">https://discord.com/channels/1042855255089623100/1501271173588193290/1521878459138445590</t>
  </si>
  <si>
    <t xml:space="preserve">shorts JUP at market keeping a quarter of the size back for a DCA; no target given</t>
  </si>
  <si>
    <t xml:space="preserve">Short JUP
Entry: 0.239 CMP
Save 25% for DCA
SL: 0.2703</t>
  </si>
  <si>
    <t xml:space="preserve">MEXC card posted with the message shows a closed 250x BTC long, average entry 58,637.9 and average close 59,939.6 (+554.97%); the close is only stated by the card, not in the text</t>
  </si>
  <si>
    <t xml:space="preserve">Personally longing BTC I think BTC has given it's move down and we will see 62k this week.</t>
  </si>
  <si>
    <t xml:space="preserve">is personally long BTC again because he thinks the move down is done and expects 62k this week; no levels given</t>
  </si>
  <si>
    <t xml:space="preserve">expects BTC at 62k this week</t>
  </si>
  <si>
    <t xml:space="preserve">the short's target was missed by about $200, which annoys him, but a full DCA fill would be welcome</t>
  </si>
  <si>
    <t xml:space="preserve">Short TP missed by 200$ annoying, but a  DCA full will be nice</t>
  </si>
  <si>
    <t xml:space="preserve">the BEAT spot buy around 2.6 gave exactly the 40% pump he called and he took profit; exit price not given</t>
  </si>
  <si>
    <t xml:space="preserve">As mentioned, BEAT gave exactly a 40% pump from our entry earlier, I TPed</t>
  </si>
  <si>
    <t xml:space="preserve">https://discord.com/channels/1042855255089623100/1501271173588193290/1521884104709246986</t>
  </si>
  <si>
    <t xml:space="preserve">still expects a further 'scam pump' on BEAT up to $4 even though he is out</t>
  </si>
  <si>
    <t xml:space="preserve">Still expecting a more scam pump upto 4$ on it</t>
  </si>
  <si>
    <t xml:space="preserve">2026-07-01 17:57:23</t>
  </si>
  <si>
    <t xml:space="preserve">the BTC long never came near its stop, so it was a big win for anyone who took it</t>
  </si>
  <si>
    <t xml:space="preserve">And if you longed big win for you, never hit SL.</t>
  </si>
  <si>
    <t xml:space="preserve">https://discord.com/channels/1042855255089623100/1501271173588193290/1521892481598226644</t>
  </si>
  <si>
    <t xml:space="preserve">shorts BTC at market with a tight 59k target</t>
  </si>
  <si>
    <t xml:space="preserve">Short BTC
59.8k CMP
TP: 59k
SL: 61k</t>
  </si>
  <si>
    <t xml:space="preserve">2026-07-01 18:09:17</t>
  </si>
  <si>
    <t xml:space="preserve">clarifies the new short is a scalp and that the older swing short is still running alongside it</t>
  </si>
  <si>
    <t xml:space="preserve">Scalp, swing running</t>
  </si>
  <si>
    <t xml:space="preserve">https://discord.com/channels/1042855255089623100/1501271173588193290/1521895476993982544</t>
  </si>
  <si>
    <t xml:space="preserve">2026-07-01 18:10:15</t>
  </si>
  <si>
    <t xml:space="preserve">optional - the trade can also be run without a DCA</t>
  </si>
  <si>
    <t xml:space="preserve">optional 25% add at 60250 for the scalp short</t>
  </si>
  <si>
    <t xml:space="preserve">You can add 25% at 60250 if you want, otherwise can just do without DCA</t>
  </si>
  <si>
    <t xml:space="preserve">https://discord.com/channels/1042855255089623100/1501271173588193290/1521895722461692115</t>
  </si>
  <si>
    <t xml:space="preserve">2026-07-01 19:01:27</t>
  </si>
  <si>
    <t xml:space="preserve">calls the trade risky now and says anyone who wants to exit can</t>
  </si>
  <si>
    <t xml:space="preserve">the 60250 DCA from msg 646 filled and the blended entry is now 60050</t>
  </si>
  <si>
    <t xml:space="preserve">DCA filled and at entry 60050, if anyone wants to exit this trade is risky.</t>
  </si>
  <si>
    <t xml:space="preserve">https://discord.com/channels/1042855255089623100/1501271173588193290/1521908605786525866</t>
  </si>
  <si>
    <t xml:space="preserve">pulls the target in from 59k to about 59500 to take 0.5R now that the trade looks risky</t>
  </si>
  <si>
    <t xml:space="preserve">I'll exit for a 0.5R around 59500</t>
  </si>
  <si>
    <t xml:space="preserve">2026-07-01 23:53:58</t>
  </si>
  <si>
    <t xml:space="preserve">SOL swing update: his 75 call was done at the weekend, 78 now, and he expects 80-82 by the coming weekend; card shows the 10x long from 68.53 at 77.46 (+130.23%)</t>
  </si>
  <si>
    <t xml:space="preserve">Well 75 was done at weekend, 78 now, 80-82 by this weekend</t>
  </si>
  <si>
    <t xml:space="preserve">https://discord.com/channels/1042855255089623100/1501271173588193290/1521982219034427674</t>
  </si>
  <si>
    <t xml:space="preserve">he had already warned the trade was risky</t>
  </si>
  <si>
    <t xml:space="preserve">the BTC short (SL 61k from msg 644) was stopped; it had been in profit and back at entry for a while but the move looked like a breakout and he took the chance</t>
  </si>
  <si>
    <t xml:space="preserve">SL on our BTC short, was in profits and entry for a while mentioned it's risky now, looked like a breakout wanted to take a chance.</t>
  </si>
  <si>
    <t xml:space="preserve">https://discord.com/channels/1042855255089623100/1501271173588193290/1522004604768747550</t>
  </si>
  <si>
    <t xml:space="preserve">2026-07-02 01:23:16</t>
  </si>
  <si>
    <t xml:space="preserve">admits he counter-traded his own call - he had said 62k was incoming and now sees 62-64k as due (range 62000-64000)</t>
  </si>
  <si>
    <t xml:space="preserve">That said, I simply counter trade myself mentioned 62k is incoming 
62-64k is due now</t>
  </si>
  <si>
    <t xml:space="preserve">https://discord.com/channels/1042855255089623100/1501271173588193290/1522004695873491156</t>
  </si>
  <si>
    <t xml:space="preserve">closes the SOL swing at 82, the top of the 80-82 zone he had been calling; notes he kept telling people to buy SOL at 66-67 right before the pump</t>
  </si>
  <si>
    <t xml:space="preserve">Kept mentioning to buy SOL @ 66-67 right before pump</t>
  </si>
  <si>
    <t xml:space="preserve">https://discord.com/channels/1042855255089623100/1501271173588193290/1522198606180778106</t>
  </si>
  <si>
    <t xml:space="preserve">short ETH from his 1660 limit or 1656 CMP ('pr' is a typo for 'or'), first target 1622</t>
  </si>
  <si>
    <t xml:space="preserve">Short ETH
Entry: 1660 pr 1656 CMP
TP1 @ 1622
SL: 1690</t>
  </si>
  <si>
    <t xml:space="preserve">2026-07-02 15:22:21</t>
  </si>
  <si>
    <t xml:space="preserve">corrects the limit for the ETH short from 1660 to 1662, though entering at CMP is fine</t>
  </si>
  <si>
    <t xml:space="preserve">Sorry limit is 1662 but can enter at CMP</t>
  </si>
  <si>
    <t xml:space="preserve">https://discord.com/channels/1042855255089623100/1501271173588193290/1522215857973887027</t>
  </si>
  <si>
    <t xml:space="preserve">2026-07-02 16:28:38</t>
  </si>
  <si>
    <t xml:space="preserve">frustration that ETH trades never work out for him - implies the ETH short is going against him</t>
  </si>
  <si>
    <t xml:space="preserve">Yeah never winning on ETH</t>
  </si>
  <si>
    <t xml:space="preserve">https://discord.com/channels/1042855255089623100/1501271173588193290/1522232535629828179</t>
  </si>
  <si>
    <t xml:space="preserve">2026-07-02 16:29:21</t>
  </si>
  <si>
    <t xml:space="preserve">his 62k call played out, and price got there without giving any pullback</t>
  </si>
  <si>
    <t xml:space="preserve">62k was indeed incoming didn't get a pullback at all</t>
  </si>
  <si>
    <t xml:space="preserve">https://discord.com/channels/1042855255089623100/1501271173588193290/1522232715468869885</t>
  </si>
  <si>
    <t xml:space="preserve">2026-07-02 16:29:43</t>
  </si>
  <si>
    <t xml:space="preserve">expects at most a pullback into 59-60k (range 59000-60000) somewhere here and then a run to 66k</t>
  </si>
  <si>
    <t xml:space="preserve">Sometime here, a pullback to 59-60k at most then 66k</t>
  </si>
  <si>
    <t xml:space="preserve">https://discord.com/channels/1042855255089623100/1501271173588193290/1522232808960036934</t>
  </si>
  <si>
    <t xml:space="preserve">shorts ETH again after the first attempt - his own entry is 1702, CMP is 1697; calls it one more try, no target given</t>
  </si>
  <si>
    <t xml:space="preserve">ETH short again
Entry: 1702 (my entry) or 1697 CMP
SL: 1735
One more try</t>
  </si>
  <si>
    <t xml:space="preserve">closes the ETH short around break even because he is not confident; card shows the 150x short from 1,702.00 at 1,699.37 (+23.1%)</t>
  </si>
  <si>
    <t xml:space="preserve">Closed ETH around break even, not feeling very confident, already had a SL playing safe.</t>
  </si>
  <si>
    <t xml:space="preserve">https://discord.com/channels/1042855255089623100/1501271173588193290/1522390007971713084</t>
  </si>
  <si>
    <t xml:space="preserve">offers a swing short with 1780 as the stop for anyone who wants it, but he is not taking it himself</t>
  </si>
  <si>
    <t xml:space="preserve">Can try a swing short with 1780 as SL but I'm out</t>
  </si>
  <si>
    <t xml:space="preserve">longs XRP at market; target to be posted once it starts moving</t>
  </si>
  <si>
    <t xml:space="preserve">Long XRP
Entry: 1.086 CMP
Will update TP once we start moving!
SL: 1.0211</t>
  </si>
  <si>
    <t xml:space="preserve">2026-07-03 09:25:45</t>
  </si>
  <si>
    <t xml:space="preserve">sets TP1 at 1.1269 and a TP2 at 1.16 for those who want to hold; card shows the 125x long from 1.0870 at 1.1052 (+209.34%)</t>
  </si>
  <si>
    <t xml:space="preserve">TP @ 1.1269 
For those who want to hold TP2 @ 1.16</t>
  </si>
  <si>
    <t xml:space="preserve">https://discord.com/channels/1042855255089623100/1501271173588193290/1522488502024147024</t>
  </si>
  <si>
    <t xml:space="preserve">2026-07-03 13:07:10</t>
  </si>
  <si>
    <t xml:space="preserve">1.1269</t>
  </si>
  <si>
    <t xml:space="preserve">clarifies he has taken no profit yet - TP1 is still 1.1269 and there is nothing before it</t>
  </si>
  <si>
    <t xml:space="preserve">Haven't TPed guys, TP1 is 1.1269 nothing before this</t>
  </si>
  <si>
    <t xml:space="preserve">https://discord.com/channels/1042855255089623100/1501271173588193290/1522544225290289212</t>
  </si>
  <si>
    <t xml:space="preserve">TP1 filled; card shows the 125x long from 1.0870 closed at 1.1270 (+459.98%)</t>
  </si>
  <si>
    <t xml:space="preserve">XRP TP hit!</t>
  </si>
  <si>
    <t xml:space="preserve">https://discord.com/channels/1042855255089623100/1501271173588193290/1522675053815267370</t>
  </si>
  <si>
    <t xml:space="preserve">2026-07-03 23:53:23</t>
  </si>
  <si>
    <t xml:space="preserve">expects 64k this weekend and 66k by next week; repeats his June call that July is a pumpy relief month, backed by a screenshot of those older messages</t>
  </si>
  <si>
    <t xml:space="preserve">July as a relief/bounce month</t>
  </si>
  <si>
    <t xml:space="preserve">64k this weekend, 66k by next week most probably.
It's a pumpy relief month.</t>
  </si>
  <si>
    <t xml:space="preserve">https://discord.com/channels/1042855255089623100/1501271173588193290/1522706848959037440</t>
  </si>
  <si>
    <t xml:space="preserve">shorts ETH at 1750 CMP or 1760 higher up; stop is a 4h close above 1780 with a hard stop at 1800</t>
  </si>
  <si>
    <t xml:space="preserve">Short ETH
Entry: 1750 CMP or 1760
TP: 1700
SL: 4h close above 1780 or a hard SL @ 1800</t>
  </si>
  <si>
    <t xml:space="preserve">longs TAO at market; target to follow once it moves</t>
  </si>
  <si>
    <t xml:space="preserve">Long TAO
Entry: 212.4 CMP
TP once it moves some
SL: 201.76</t>
  </si>
  <si>
    <t xml:space="preserve">2026-07-04 15:29:11</t>
  </si>
  <si>
    <t xml:space="preserve">wants out of the ETH short around break even: it has gone sideways and he thinks it is just preparing for another move up</t>
  </si>
  <si>
    <t xml:space="preserve">Better if we get out of ETH it's been going sideways and I think just preparing for another move up, will exit around BE.</t>
  </si>
  <si>
    <t xml:space="preserve">https://discord.com/channels/1042855255089623100/1501271173588193290/1522942351973286050</t>
  </si>
  <si>
    <t xml:space="preserve">2026-07-04 18:13:03</t>
  </si>
  <si>
    <t xml:space="preserve">1.16</t>
  </si>
  <si>
    <t xml:space="preserve">the 1.16 second target was reached for anyone who held past TP1; crop shows entry 1.0868 and average close 1.162</t>
  </si>
  <si>
    <t xml:space="preserve">XRP full TP if someone held</t>
  </si>
  <si>
    <t xml:space="preserve">https://discord.com/channels/1042855255089623100/1501271173588193290/1522983588046307388</t>
  </si>
  <si>
    <t xml:space="preserve">2026-07-04 18:15:33</t>
  </si>
  <si>
    <t xml:space="preserve">219.4, 223</t>
  </si>
  <si>
    <t xml:space="preserve">TP1 219.4, where he personally exits the whole position, and TP2 223 for holders; card shows the 100x long from 212.45 at 215.07 (+123.25%)</t>
  </si>
  <si>
    <t xml:space="preserve">TAO TP1 @ 219.4 (I fully exit here personally)
TP2 @ 223</t>
  </si>
  <si>
    <t xml:space="preserve">https://discord.com/channels/1042855255089623100/1501271173588193290/1522984219150647457</t>
  </si>
  <si>
    <t xml:space="preserve">2026-07-04 18:18:40</t>
  </si>
  <si>
    <t xml:space="preserve">exiting near break even earlier was fine; anyone still in should keep holding because he is still in and will exit manually and post when he closes</t>
  </si>
  <si>
    <t xml:space="preserve">If someone exit ETH around BE earlier good.
If you didn't, keep holding, I'm still holding I'll manually exit and update when I close!</t>
  </si>
  <si>
    <t xml:space="preserve">https://discord.com/channels/1042855255089623100/1501271173588193290/1522985001774485644</t>
  </si>
  <si>
    <t xml:space="preserve">takes profit at 218.36, just under the 219.4 TP1, because price almost rejected from the target; card shows the 100x long from 212.45 closed at 218.36 (+278.02%)</t>
  </si>
  <si>
    <t xml:space="preserve">TPed on TAO, almost rejected from TP, decent win!</t>
  </si>
  <si>
    <t xml:space="preserve">https://discord.com/channels/1042855255089623100/1501271173588193290/1523019813197316169</t>
  </si>
  <si>
    <t xml:space="preserve">flagged as risky</t>
  </si>
  <si>
    <t xml:space="preserve">shorts ZEC and labels the setup risky; target to be posted once it moves</t>
  </si>
  <si>
    <t xml:space="preserve">Short ZEC (risky)
Entry: 469
SL: 492.6</t>
  </si>
  <si>
    <t xml:space="preserve">if he doesn't update, take a small TP or move SL to entry at 0.5R</t>
  </si>
  <si>
    <t xml:space="preserve">fallback management if he cannot post an update: bank a small profit or move the stop to entry once the trade is 0.5R in profit</t>
  </si>
  <si>
    <t xml:space="preserve">TP will be updated once we start moving, if I don't update, take a small TP or just move SL to entry at 0.5R</t>
  </si>
  <si>
    <t xml:space="preserve">2026-07-05 02:20:44</t>
  </si>
  <si>
    <t xml:space="preserve">stop moved to entry; the card gives his fill as 468.70 (the call said 469)</t>
  </si>
  <si>
    <t xml:space="preserve">Move SL to entry</t>
  </si>
  <si>
    <t xml:space="preserve">https://discord.com/channels/1042855255089623100/1501271173588193290/1523106318733541466</t>
  </si>
  <si>
    <t xml:space="preserve">sets the ZEC target at 453.23; card shows the 75x short from 468.70 at 462.71 (+95.89%)</t>
  </si>
  <si>
    <t xml:space="preserve">setting TP @ 453.23</t>
  </si>
  <si>
    <t xml:space="preserve">take 10% to cover fees in case it stops at break even</t>
  </si>
  <si>
    <t xml:space="preserve">optional 10% off here so fees are covered if the trade ends up stopping at break even</t>
  </si>
  <si>
    <t xml:space="preserve">Can take 10% to get your fee in case it stops BE</t>
  </si>
  <si>
    <t xml:space="preserve">back-to-back wins on XRP, TAO and ZEC</t>
  </si>
  <si>
    <t xml:space="preserve">Some good back to back wins on
XRP, TAO, ZEC</t>
  </si>
  <si>
    <t xml:space="preserve">https://discord.com/channels/1042855255089623100/1501271173588193290/1523152379120193729</t>
  </si>
  <si>
    <t xml:space="preserve">the 453.23 target filled; card shows the 75x short from 468.70 closed at 453.04 (+250.72%)</t>
  </si>
  <si>
    <t xml:space="preserve">ZEC TP hit</t>
  </si>
  <si>
    <t xml:space="preserve">closes the JUP short manually because it is going nowhere; card shows the 50x short from 0.2380 at 0.2358 (+44.25%)</t>
  </si>
  <si>
    <t xml:space="preserve">Closed this short, not going anywhere</t>
  </si>
  <si>
    <t xml:space="preserve">https://discord.com/channels/1042855255089623100/1501271173588193290/1523171084533497857</t>
  </si>
  <si>
    <t xml:space="preserve">2026-07-05 12:51:48</t>
  </si>
  <si>
    <t xml:space="preserve">the ETH short is back in profit, which is why he told people not to take the stop; they can safely close here while he keeps holding; card shows the 150x short from 1,759.84 at 1,753.36 (+55.25%)</t>
  </si>
  <si>
    <t xml:space="preserve">Back in profits that's why I asked not to take SL yet, you can safely close now.
Personally I'll hold</t>
  </si>
  <si>
    <t xml:space="preserve">https://discord.com/channels/1042855255089623100/1501271173588193290/1523265131314810913</t>
  </si>
  <si>
    <t xml:space="preserve">longs HYPE at market, no target given yet</t>
  </si>
  <si>
    <t xml:space="preserve">Long HYPE
Entry: 68.8 CMP
SL: 65.11</t>
  </si>
  <si>
    <t xml:space="preserve">2026-07-05 13:17:20</t>
  </si>
  <si>
    <t xml:space="preserve">a win on the HYPE long would make five in a row</t>
  </si>
  <si>
    <t xml:space="preserve">If we win this it's 5 wins in a row, we chill then</t>
  </si>
  <si>
    <t xml:space="preserve">https://discord.com/channels/1042855255089623100/1501271173588193290/1523271556623499266</t>
  </si>
  <si>
    <t xml:space="preserve">2026-07-05 13:27:37</t>
  </si>
  <si>
    <t xml:space="preserve">use the weekend size, don't go too heavy</t>
  </si>
  <si>
    <t xml:space="preserve">reminds people to size down for a weekend trade</t>
  </si>
  <si>
    <t xml:space="preserve">Just use the weekend size, don't go too heavy, good luck!</t>
  </si>
  <si>
    <t xml:space="preserve">https://discord.com/channels/1042855255089623100/1501271173588193290/1523274144664522873</t>
  </si>
  <si>
    <t xml:space="preserve">2026-07-05 16:12:28</t>
  </si>
  <si>
    <t xml:space="preserve">first target for the HYPE long set at 70.8</t>
  </si>
  <si>
    <t xml:space="preserve">HYPE TP @ 70.8</t>
  </si>
  <si>
    <t xml:space="preserve">https://discord.com/channels/1042855255089623100/1501271173588193290/1523315632517546134</t>
  </si>
  <si>
    <t xml:space="preserve">weekend hot streak - counts JUP, XRP, TAO, ZEC and now HYPE as consecutive wins (JUP was actually closed manually for a small gain, not a TP)</t>
  </si>
  <si>
    <t xml:space="preserve">JUP, XRP. TAO, ZEC and now HYPE!</t>
  </si>
  <si>
    <t xml:space="preserve">https://discord.com/channels/1042855255089623100/1501271173588193290/1523442001591140454</t>
  </si>
  <si>
    <t xml:space="preserve">the 70.8 target filled; card shows the 75x long from 68.787 closed at 70.796 (+219.04%)</t>
  </si>
  <si>
    <t xml:space="preserve">HYPE TP done, hot streak on a weekend.</t>
  </si>
  <si>
    <t xml:space="preserve">2026-07-06 00:36:12</t>
  </si>
  <si>
    <t xml:space="preserve">has been buying HYPE heavily since 60 and telling the group to buy SOL and HYPE; thinks HYPE makes a new all-time high this month</t>
  </si>
  <si>
    <t xml:space="preserve">As you know I have been buying HYPE heavy since 60 and been telling you to buy SOL &amp; HYPE
Think we see ATH on HYPE this month too!</t>
  </si>
  <si>
    <t xml:space="preserve">https://discord.com/channels/1042855255089623100/1501271173588193290/1523442402705145907</t>
  </si>
  <si>
    <t xml:space="preserve">plans to add more spot HYPE at 52-53 (recorded as written; the level sits well under the ~70 price and his 'buying since 60' comment, so 62-63 may have been intended)</t>
  </si>
  <si>
    <t xml:space="preserve">I'll add more at 52-53!</t>
  </si>
  <si>
    <t xml:space="preserve">shorts OP at market, no target given</t>
  </si>
  <si>
    <t xml:space="preserve">Short OP
Entry: 0.1068 CMP
SL: 0.1123</t>
  </si>
  <si>
    <t xml:space="preserve">swing long on ME that can take a week or two to play out</t>
  </si>
  <si>
    <t xml:space="preserve">Long ME (swing)
Entry: 0.0644 CMP
SL: 0.0493
Can take a week or 2</t>
  </si>
  <si>
    <t xml:space="preserve">OP reached target while he was asleep so he could not update in time; still worth about 0.5R+; card shows the 75x short from 0.1067 closed at 0.1034 (+231.95%) - no TP level was ever published</t>
  </si>
  <si>
    <t xml:space="preserve">TP hit on OP, I slept couldn't update timely but still around 0.5+ R</t>
  </si>
  <si>
    <t xml:space="preserve">https://discord.com/channels/1042855255089623100/1501271173588193290/1523677589452095658</t>
  </si>
  <si>
    <t xml:space="preserve">2026-07-06 16:12:02</t>
  </si>
  <si>
    <t xml:space="preserve">re-posts the ETH short to show it is now well in profit and still open - 150x from 1,759.84 at 1,736.90 (+195.5%)</t>
  </si>
  <si>
    <t xml:space="preserve">Oh by the way</t>
  </si>
  <si>
    <t xml:space="preserve">https://discord.com/channels/1042855255089623100/1501271173588193290/1523677909842268388</t>
  </si>
  <si>
    <t xml:space="preserve">2026-07-06 16:31:45</t>
  </si>
  <si>
    <t xml:space="preserve">start to July: exchange statistics panel shows 11 closed orders, 11 winners, 100% win rate on 5,163.94 volume for the past week</t>
  </si>
  <si>
    <t xml:space="preserve">What a start to July, 100% WR past week.</t>
  </si>
  <si>
    <t xml:space="preserve">https://discord.com/channels/1042855255089623100/1501271173588193290/1523682871821340743</t>
  </si>
  <si>
    <t xml:space="preserve">2026-07-06 16:32:15</t>
  </si>
  <si>
    <t xml:space="preserve">I risk only 3-5% per trade</t>
  </si>
  <si>
    <t xml:space="preserve">points out the run comes with only 3-5% risk per trade; the attached chart shows account PnL +30.92% from 07-02 to 07-06 against BTC +3.33%</t>
  </si>
  <si>
    <t xml:space="preserve">This is where I risk only 3-5% per trade</t>
  </si>
  <si>
    <t xml:space="preserve">https://discord.com/channels/1042855255089623100/1501271173588193290/1523682998124417115</t>
  </si>
  <si>
    <t xml:space="preserve">shorts XLM at market with a tight target, labelling the setup risky</t>
  </si>
  <si>
    <t xml:space="preserve">Short XLM (risky)
Entry: 0.1993 CMP
TP: 0.19276
SL: 0.20923</t>
  </si>
  <si>
    <t xml:space="preserve">2026-07-07 01:40:58</t>
  </si>
  <si>
    <t xml:space="preserve">claims his Sunday roadmap played out exactly - 64k, a Monday dump to 60-61k, then back to 64-65k; screenshot of the original forecast attached</t>
  </si>
  <si>
    <t xml:space="preserve">It can't get any more accurate than this
Mentioned on Sunday, we go 64k -&gt; dump to 60-61k on Monday -&gt; back to 64-65k</t>
  </si>
  <si>
    <t xml:space="preserve">https://discord.com/channels/1042855255089623100/1501271173588193290/1523821087757041878</t>
  </si>
  <si>
    <t xml:space="preserve">2026-07-07 01:41:43</t>
  </si>
  <si>
    <t xml:space="preserve">explains he is not shorting because he is confident BTC pumps to around 65k; the attached screenshot shows he said he would only short if price reached 63.5-64k</t>
  </si>
  <si>
    <t xml:space="preserve">Someone asked me earlier why am I not shorting and I said I'm confident BTC will pump around 65k</t>
  </si>
  <si>
    <t xml:space="preserve">https://discord.com/channels/1042855255089623100/1501271173588193290/1523821274499911942</t>
  </si>
  <si>
    <t xml:space="preserve">2026-07-07 01:42:19</t>
  </si>
  <si>
    <t xml:space="preserve">he had marked the XLM short risky because he expects a pump</t>
  </si>
  <si>
    <t xml:space="preserve">the pump he expects is exactly why he called the XLM short risky; he is still in it and going for an eighth straight win</t>
  </si>
  <si>
    <t xml:space="preserve">expects BTC to pump toward 65k</t>
  </si>
  <si>
    <t xml:space="preserve">Hence this is the reason I mentioned XLM short is risky due to expecting a pump, anyhow still in it
Let's see if we get our 8th win in a row</t>
  </si>
  <si>
    <t xml:space="preserve">https://discord.com/channels/1042855255089623100/1501271173588193290/1523821429089374350</t>
  </si>
  <si>
    <t xml:space="preserve">XLM target filled and the win streak continues; card shows the 75x short from 0.19789 closed at 0.19291 (+188.93%)</t>
  </si>
  <si>
    <t xml:space="preserve">And the streak continues, XLM TP hit</t>
  </si>
  <si>
    <t xml:space="preserve">https://discord.com/channels/1042855255089623100/1501271173588193290/1524015421693628467</t>
  </si>
  <si>
    <t xml:space="preserve">2026-07-08 17:39:26</t>
  </si>
  <si>
    <t xml:space="preserve">rallies the group for a tenth win in the streak</t>
  </si>
  <si>
    <t xml:space="preserve">Who's ready to make it to the 10th streak?</t>
  </si>
  <si>
    <t xml:space="preserve">https://discord.com/channels/1042855255089623100/1501271173588193290/1524424681145237654</t>
  </si>
  <si>
    <t xml:space="preserve">shorts AVAX at 6.42 CMP or with a limit higher at 6.46 (recorded in dca_price as the alternative fill level)</t>
  </si>
  <si>
    <t xml:space="preserve">Short AVAX
Entry: 6.42 CMP or limit @ 6.46
TP: 6.22
SL: 6.752</t>
  </si>
  <si>
    <t xml:space="preserve">stopped out and apologises - the first stop-loss of the month, ending the win streak; he does not name the trade, but the AVAX short from msg 694 (SL 6.752) is the one that was running</t>
  </si>
  <si>
    <t xml:space="preserve">Unfortunately we got stopped, first SL of the month, sorry.</t>
  </si>
  <si>
    <t xml:space="preserve">https://discord.com/channels/1042855255089623100/1501271173588193290/1524688045566328933</t>
  </si>
  <si>
    <t xml:space="preserve">longs SOL at market; target to be posted once it starts moving</t>
  </si>
  <si>
    <t xml:space="preserve">Long SOL
Entry: 77.9 CMP
SL: 73
Will update TP once we start moving</t>
  </si>
  <si>
    <t xml:space="preserve">target is small; you can enter at the DCA or 62.8k instead</t>
  </si>
  <si>
    <t xml:space="preserve">small-target BTC long at 63.2k CMP with a DCA at 62570; entering at the DCA or at 62.8k is also fine</t>
  </si>
  <si>
    <t xml:space="preserve">Trying  a BTC long if anyone wants to join
Entry: 63.2k CMP
DCA: 62570
TP: 64k-64.2k
SL: 61700
Target is small, you can enter at DCA or 62.8k if you want</t>
  </si>
  <si>
    <t xml:space="preserve">the 64k target was reached and the long taken off; card shows the 150x long from 63,229.9 at 63,998.4 (+182.32%)</t>
  </si>
  <si>
    <t xml:space="preserve">BTC TP hit</t>
  </si>
  <si>
    <t xml:space="preserve">https://discord.com/channels/1042855255089623100/1501271173588193290/1524971803544649870</t>
  </si>
  <si>
    <t xml:space="preserve">if you like scalps skip this or just buy it in spot</t>
  </si>
  <si>
    <t xml:space="preserve">long-term swing long on GENIUS - his own entry is 0.359 with CMP at 0.364; no target given</t>
  </si>
  <si>
    <t xml:space="preserve">Long GENIUS (Swing)
Entry: 0.359 (my entry) or 0.364 CMP
SL: 0.2864
Long term trade, if you like scalps skip this or just buy in spot</t>
  </si>
  <si>
    <t xml:space="preserve">2026-07-10 21:17:56</t>
  </si>
  <si>
    <t xml:space="preserve">shitcoins so don't go too heavy, 2% at max</t>
  </si>
  <si>
    <t xml:space="preserve">caps size on the GENIUS-type shitcoin swing at 2%</t>
  </si>
  <si>
    <t xml:space="preserve">Shitcoins so don't go too heavy 2% at max</t>
  </si>
  <si>
    <t xml:space="preserve">https://discord.com/channels/1042855255089623100/1501271173588193290/1525204445791523048</t>
  </si>
  <si>
    <t xml:space="preserve">2026-07-11 23:34:03</t>
  </si>
  <si>
    <t xml:space="preserve">not forcing any trades</t>
  </si>
  <si>
    <t xml:space="preserve">after the early-month win streak he is not forcing trades; expects a pump to 65.5-66k+ over the weekend and coming week but is waiting for a pullback before longing (symbol not named, BTC inferred from the price levels)</t>
  </si>
  <si>
    <t xml:space="preserve">weekend and coming week</t>
  </si>
  <si>
    <t xml:space="preserve">We had a nice win streak at the start of the month so not forcing any trades.
Expecting a pump to 65.5-66k+ at weekend and coming week but waiting for a pullback to get some longs.</t>
  </si>
  <si>
    <t xml:space="preserve">https://discord.com/channels/1042855255089623100/1501271173588193290/1525601088634617856</t>
  </si>
  <si>
    <t xml:space="preserve">new BTC long setup, no reason given</t>
  </si>
  <si>
    <t xml:space="preserve">Long BTC 
Entry: 62800
TP: 64000-64600
SL: 61500</t>
  </si>
  <si>
    <t xml:space="preserve">2026-07-13 06:33:45</t>
  </si>
  <si>
    <t xml:space="preserve">one-word follow-up to the call clarifying the 62800 entry is at current market price</t>
  </si>
  <si>
    <t xml:space="preserve">https://discord.com/channels/1042855255089623100/1501271173588193290/1526069098059010068</t>
  </si>
  <si>
    <t xml:space="preserve">new EIGEN long at current market price, no reason given</t>
  </si>
  <si>
    <t xml:space="preserve">Long EIGEN
Entry: 0.241 CMP 
TP: 0.266
SL: 0.22</t>
  </si>
  <si>
    <t xml:space="preserve">2026-07-14 03:29:19</t>
  </si>
  <si>
    <t xml:space="preserve">go half than usual on trades until things settle</t>
  </si>
  <si>
    <t xml:space="preserve">market is very news-driven with war headlines, so halve normal size until it settles; expects Trump to say something bullish on Thursday</t>
  </si>
  <si>
    <t xml:space="preserve">news-oriented market, war news, Trump speaks Thursday</t>
  </si>
  <si>
    <t xml:space="preserve">Market's very news oriented rn, war news here and there so go half than usual on trades until things settle.
Also Trump speaks on Thursday probably says something bullish</t>
  </si>
  <si>
    <t xml:space="preserve">https://discord.com/channels/1042855255089623100/1501271173588193290/1526385069114003759</t>
  </si>
  <si>
    <t xml:space="preserve">not calling it officially because two shitcoin positions are already running, but flags TRIA as a CMP long with 0.0067 as the stop; no entry price given</t>
  </si>
  <si>
    <t xml:space="preserve">Already 2 shitcoins running so not giving now, but keep eye on the coin TRIA
Can use 0.0067 as SL and CMP long</t>
  </si>
  <si>
    <t xml:space="preserve">a 20% spot move was good enough for a scalp so he closed; share card shows 25x long from 0.008487 at mark 0.009649, +342.56% ROI</t>
  </si>
  <si>
    <t xml:space="preserve">20% spot move, good enough for a scalp, I closed!</t>
  </si>
  <si>
    <t xml:space="preserve">https://discord.com/channels/1042855255089623100/1501271173588193290/1526429227144974448</t>
  </si>
  <si>
    <t xml:space="preserve">2026-07-14 07:58:58</t>
  </si>
  <si>
    <t xml:space="preserve">63100, 63500</t>
  </si>
  <si>
    <t xml:space="preserve">still holding the BTC long from around 62.7k; would close early in the 63.1-63.5k area if he sees weakness (conditional exit, below the posted 64000-64600 TP)</t>
  </si>
  <si>
    <t xml:space="preserve">Still holding BTC, Entry is around 62.7k, will close earlier around 63.1-63.5k if I see weakness</t>
  </si>
  <si>
    <t xml:space="preserve">https://discord.com/channels/1042855255089623100/1501271173588193290/1526452928091783279</t>
  </si>
  <si>
    <t xml:space="preserve">took profit before the 64k target, which was almost hit; card shows the 150x long closed at 63781.6 from 62775.4 for +240.40% ROI</t>
  </si>
  <si>
    <t xml:space="preserve">TP taken on BTC, 64k was almost hit</t>
  </si>
  <si>
    <t xml:space="preserve">https://discord.com/channels/1042855255089623100/1501271173588193290/1526577097122775241</t>
  </si>
  <si>
    <t xml:space="preserve">2026-07-14 23:10:12</t>
  </si>
  <si>
    <t xml:space="preserve">all posted TPs on the BTC long were reached, although he had already closed the position earlier at 63781.6</t>
  </si>
  <si>
    <t xml:space="preserve">BTC all TPs were hit, I closed earlier.</t>
  </si>
  <si>
    <t xml:space="preserve">63100, 63700</t>
  </si>
  <si>
    <t xml:space="preserve">wants to scalp short BTC down to 63.1-63.7k but is too tired to take it now; will update if he enters</t>
  </si>
  <si>
    <t xml:space="preserve">I want to scalp short BTC till 63.1k-63.7k but too tired at the moment if I enter will update</t>
  </si>
  <si>
    <t xml:space="preserve">Save 50% for DCA</t>
  </si>
  <si>
    <t xml:space="preserve">scalp short at CMP targeting 63k; he labels 66200 as 'TP' but it sits above entry on a short so it is the stop (likely a label typo). Alternative entry 65-65.1k, which he skips to avoid being front-run. Calls it risky because he actually expects BTC higher, around 66+ to 67; 50% of size held back for a DCA (no DCA price given)</t>
  </si>
  <si>
    <t xml:space="preserve">expects BTC to run higher to 66-67k</t>
  </si>
  <si>
    <t xml:space="preserve">Short BTC 
Entry: 64850 CMP 
Targeting 63k
TP: 66200
Save 50% for DCA.
Also a good price to enter is 65-65.1k but I don't want to take my chances front ran.
Risky I expect BTC to run higher around 66+ to 67 but trying a scalp.</t>
  </si>
  <si>
    <t xml:space="preserve">https://discord.com/channels/1042855255089623100/1501271173588193290/1526704892742209717</t>
  </si>
  <si>
    <t xml:space="preserve">2026-07-15 00:42:23</t>
  </si>
  <si>
    <t xml:space="preserve">confirms current market price is 64850, i.e. the short entry level just posted</t>
  </si>
  <si>
    <t xml:space="preserve">CMP is 64850</t>
  </si>
  <si>
    <t xml:space="preserve">https://discord.com/channels/1042855255089623100/1501271173588193290/1526705447816527973</t>
  </si>
  <si>
    <t xml:space="preserve">2026-07-15 06:05:13</t>
  </si>
  <si>
    <t xml:space="preserve">notes his call from two days earlier played out: a pullback that gave a longing opportunity, then 65k in the current week (screenshot of his own 07/12 message re-posted as proof)</t>
  </si>
  <si>
    <t xml:space="preserve">BTW it happened as mentioned 2 days ago, a pullback for longing opportunity then 65k in the coming week (current week)</t>
  </si>
  <si>
    <t xml:space="preserve">https://discord.com/channels/1042855255089623100/1501271173588193290/1526786690759266395</t>
  </si>
  <si>
    <t xml:space="preserve">2026-07-15 06:05:15</t>
  </si>
  <si>
    <t xml:space="preserve">image-only post: re-posts his 07/12 message stating a long bias to at least 65k because the 4h timeframe looks much cleaner for longs than shorts</t>
  </si>
  <si>
    <t xml:space="preserve">4h timeframe</t>
  </si>
  <si>
    <t xml:space="preserve">[IMAGE 238: Screenshot of Paladin's Discord message from 07/12/2026 1:58 AM stating a long bias to at least 65k because the 4h timeframe looks much cleaner for longs than shorts]</t>
  </si>
  <si>
    <t xml:space="preserve">https://discord.com/channels/1042855255089623100/1501271173588193290/1526786700016095243</t>
  </si>
  <si>
    <t xml:space="preserve">2026-07-15 10:13:22</t>
  </si>
  <si>
    <t xml:space="preserve">go small risk or enter when I DCA</t>
  </si>
  <si>
    <t xml:space="preserve">BTC short is in small profit; repeats it is a risky setup so size small or wait for his DCA, since he thinks 67k should be touched, at least 66+</t>
  </si>
  <si>
    <t xml:space="preserve">expects 67k touched, at least 66+</t>
  </si>
  <si>
    <t xml:space="preserve">BTC position in small profits rn, a reminder that it's a risky setup so go small risk or enter when I DCA 
67k should be touched in my opinion at least a 66+</t>
  </si>
  <si>
    <t xml:space="preserve">https://discord.com/channels/1042855255089623100/1501271173588193290/1526849138153492550</t>
  </si>
  <si>
    <t xml:space="preserve">SOL is showing strength, so either direction on BTC works out for him (he holds an open SOL long)</t>
  </si>
  <si>
    <t xml:space="preserve">SOL showing strength too so either way is fine</t>
  </si>
  <si>
    <t xml:space="preserve">2026-07-15 18:46:27</t>
  </si>
  <si>
    <t xml:space="preserve">risking 0.6+</t>
  </si>
  <si>
    <t xml:space="preserve">very small DCA of about 20% at 65k instead of the planned full 50%, because he expects BTC at 67k</t>
  </si>
  <si>
    <t xml:space="preserve">expecting BTC at 67k</t>
  </si>
  <si>
    <t xml:space="preserve">DCAed BTC, very small DCA like 20% entry is 65k, risking 0.6+ 
Didn't DCA 50% full because expecting BTC at 67k</t>
  </si>
  <si>
    <t xml:space="preserve">https://discord.com/channels/1042855255089623100/1501271173588193290/1526978262000210010</t>
  </si>
  <si>
    <t xml:space="preserve">2026-07-16 07:43:47</t>
  </si>
  <si>
    <t xml:space="preserve">firms the short target up from the originally stated 'targeting 63k' to 63250; no reason given</t>
  </si>
  <si>
    <t xml:space="preserve">Will TP short around 63250</t>
  </si>
  <si>
    <t xml:space="preserve">https://discord.com/channels/1042855255089623100/1501271173588193290/1527173883747110983</t>
  </si>
  <si>
    <t xml:space="preserve">closed for a very small profit because he has a feeling BTC wants 66k today - better out here than in the red; card shows 150x short from 64948.66 at last 64896.8, +11.92% ROI</t>
  </si>
  <si>
    <t xml:space="preserve">thinks BTC wants 66k today</t>
  </si>
  <si>
    <t xml:space="preserve">Closed for a very small profit, I have a feeling BTC wants 66k today better close here than in red</t>
  </si>
  <si>
    <t xml:space="preserve">https://discord.com/channels/1042855255089623100/1501271173588193290/1527193416922828830</t>
  </si>
  <si>
    <t xml:space="preserve">2026-07-16 10:34:47</t>
  </si>
  <si>
    <t xml:space="preserve">posts an 'all this overthinking and I still make the worst decisions' meme as a reply to his own BTC short close - self-criticism about exiting early, no trade action</t>
  </si>
  <si>
    <t xml:space="preserve">[IMAGE 240: Wojak meme captioned 'All this overthinking and I still make the worst decisions', posted as a reply to his BTC short close]</t>
  </si>
  <si>
    <t xml:space="preserve">https://discord.com/channels/1042855255089623100/1501271173588193290/1527216919307096144</t>
  </si>
  <si>
    <t xml:space="preserve">2026-07-16 11:30:25</t>
  </si>
  <si>
    <t xml:space="preserve">his roadmap (65k, then 63k, then higher - screenshot shows 65.3-65.6k, pullback to 62-63k, then 66-67k) played out exactly, but he chickened out of the BTC short at the last moment and regrets it</t>
  </si>
  <si>
    <t xml:space="preserve">Mentioned it last week, will go 65k then to 63k then higher, MOVED EXACTLY like that but chickened out from BTC short at the lost moment, feels awful</t>
  </si>
  <si>
    <t xml:space="preserve">https://discord.com/channels/1042855255089623100/1501271173588193290/1527230920023609345</t>
  </si>
  <si>
    <t xml:space="preserve">new BTC scalp long at CMP with a DCA at 62811; no target given yet</t>
  </si>
  <si>
    <t xml:space="preserve">Long BTC (scalp)
Entry: 63469 CMP 
DCA: 62811
SL: 62k</t>
  </si>
  <si>
    <t xml:space="preserve">companion swing version of the BTC long for those who want a longer hold</t>
  </si>
  <si>
    <t xml:space="preserve">And if you want swing 
Entry: 63323 CMP 
TP: 65-66k
SL: 61.3k</t>
  </si>
  <si>
    <t xml:space="preserve">2026-07-17 05:15:42</t>
  </si>
  <si>
    <t xml:space="preserve">first target for the BTC scalp long (reply to the scalp call, which had no TP)</t>
  </si>
  <si>
    <t xml:space="preserve">Setting 64260 for a scalp TP rn</t>
  </si>
  <si>
    <t xml:space="preserve">https://discord.com/channels/1042855255089623100/1501271173588193290/1527499006589145150</t>
  </si>
  <si>
    <t xml:space="preserve">2026-07-17 11:32:06</t>
  </si>
  <si>
    <t xml:space="preserve">still holding the BTC long; expects a bounce from the 62.3-61.8k area, otherwise 59k is the next level down</t>
  </si>
  <si>
    <t xml:space="preserve">BTC pulling back toward 62.3-61.8k, 59k next if it fails</t>
  </si>
  <si>
    <t xml:space="preserve">Still holding my long, expecting a bounce from 62.3-61.8k otherwise 59k is next</t>
  </si>
  <si>
    <t xml:space="preserve">https://discord.com/channels/1042855255089623100/1501271173588193290/1527593728745668688</t>
  </si>
  <si>
    <t xml:space="preserve">advises widening the 62k stop on the scalp long (no new level given) or waiting for a 4h close instead, because he expects the bounce to come from 62.3-61.8k</t>
  </si>
  <si>
    <t xml:space="preserve">If you're using 62k as SL try lowering it or wait for a 4h close!</t>
  </si>
  <si>
    <t xml:space="preserve">BTC scalp TP hit with the DCA filled, so bigger gains; average entry was 63.1k. Card shows a 150x long at +171.25% ROI (price section cropped). See MSG 726 - he later corrects that 64200 was hit, not 64260</t>
  </si>
  <si>
    <t xml:space="preserve">BTC TP hit with a DCA filled so good gains! 
Avg was 63.1k</t>
  </si>
  <si>
    <t xml:space="preserve">https://discord.com/channels/1042855255089623100/1501271173588193290/1527744291626291353</t>
  </si>
  <si>
    <t xml:space="preserve">2026-07-17 21:40:07</t>
  </si>
  <si>
    <t xml:space="preserve">correction to the previous message: price reached 64200, not the 64260 TP, so the order may not have filled; price is still near 64.1k and followers can close manually</t>
  </si>
  <si>
    <t xml:space="preserve">Sorry guys, 64200 was hit, not 64260
It's still almost there (64.1k) you can manually close!</t>
  </si>
  <si>
    <t xml:space="preserve">https://discord.com/channels/1042855255089623100/1501271173588193290/1527746743192522762</t>
  </si>
  <si>
    <t xml:space="preserve">2026-07-17 22:00:10</t>
  </si>
  <si>
    <t xml:space="preserve">stop to breakeven on the swing long; he says 'SL to BE' without a number - 63323 is the swing entry from MSG 722</t>
  </si>
  <si>
    <t xml:space="preserve">If you're in swing, move SL to BE and first TP @ 65k</t>
  </si>
  <si>
    <t xml:space="preserve">https://discord.com/channels/1042855255089623100/1501271173588193290/1527751790018298098</t>
  </si>
  <si>
    <t xml:space="preserve">splits the swing's 65-66k target: first TP at 65k</t>
  </si>
  <si>
    <t xml:space="preserve">new ZEC long at CMP, no target given yet</t>
  </si>
  <si>
    <t xml:space="preserve">Long ZEC
Entry: 544 CMP 
SL: 530</t>
  </si>
  <si>
    <t xml:space="preserve">takes profit on the ZEC long at 560 (no target had been posted); MSG 731 confirms he exited 100%</t>
  </si>
  <si>
    <t xml:space="preserve">TP for zec here @ 560</t>
  </si>
  <si>
    <t xml:space="preserve">https://discord.com/channels/1042855255089623100/1501271173588193290/1528052712988741742</t>
  </si>
  <si>
    <t xml:space="preserve">2026-07-18 17:56:37</t>
  </si>
  <si>
    <t xml:space="preserve">image-only post: PnL card for the ZEC 75x long at +147.51% ROI, proof of the take-profit just announced</t>
  </si>
  <si>
    <t xml:space="preserve">[IMAGE 243: Cropped PnL share card, ZECUSDT long 75x, +147.51% ROI, posted without message text]</t>
  </si>
  <si>
    <t xml:space="preserve">https://discord.com/channels/1042855255089623100/1501271173588193290/1528052883902173194</t>
  </si>
  <si>
    <t xml:space="preserve">2026-07-18 17:59:57</t>
  </si>
  <si>
    <t xml:space="preserve">gives 574 as the next target for anyone taking partials, while confirming he exited 100% at 560</t>
  </si>
  <si>
    <t xml:space="preserve">Next TP should be 574 if you wanna do partials, I exit 100%</t>
  </si>
  <si>
    <t xml:space="preserve">https://discord.com/channels/1042855255089623100/1501271173588193290/1528053721450151956</t>
  </si>
  <si>
    <t xml:space="preserve">2026-07-19 01:28:16</t>
  </si>
  <si>
    <t xml:space="preserve">BTC swing is almost 1R up - followers can take TP here or hold for the 65k first target</t>
  </si>
  <si>
    <t xml:space="preserve">BTC swing almost 1R up if you want to take TP, otherwise 65k is first!</t>
  </si>
  <si>
    <t xml:space="preserve">https://discord.com/channels/1042855255089623100/1501271173588193290/1528166545849847909</t>
  </si>
  <si>
    <t xml:space="preserve">2026-07-19 08:34:26</t>
  </si>
  <si>
    <t xml:space="preserve">66000</t>
  </si>
  <si>
    <t xml:space="preserve">took 50% off manually at 64.9k because 65k was almost touched; the remainder targets 66k</t>
  </si>
  <si>
    <t xml:space="preserve">65k was almost touched, took 50% manual TP earlier @ 64.9k
Remaining at 66k!</t>
  </si>
  <si>
    <t xml:space="preserve">https://discord.com/channels/1042855255089623100/1501271173588193290/1528273795054436473</t>
  </si>
  <si>
    <t xml:space="preserve">2026-07-20 03:08:51</t>
  </si>
  <si>
    <t xml:space="preserve">66200</t>
  </si>
  <si>
    <t xml:space="preserve">expects BTC to head to 65.5k now, so takes another 20% off the swing (70% out in total); remainder targets 66.2k</t>
  </si>
  <si>
    <t xml:space="preserve">expects 65.5k next</t>
  </si>
  <si>
    <t xml:space="preserve">Should be heading to 65.5k now
I'll take 20% more from my swing, a total of 70% will be out, remaining at 66.2k</t>
  </si>
  <si>
    <t xml:space="preserve">https://discord.com/channels/1042855255089623100/1501271173588193290/1528554244712562860</t>
  </si>
  <si>
    <t xml:space="preserve">2026-07-20 03:23:14</t>
  </si>
  <si>
    <t xml:space="preserve">first swing TP (65k) officially hit; card shows entry 63244.7, exit 65024.1, +204.89% ROI</t>
  </si>
  <si>
    <t xml:space="preserve">BTC swing first TP officially hit.</t>
  </si>
  <si>
    <t xml:space="preserve">https://discord.com/channels/1042855255089623100/1501271173588193290/1528557867093856386</t>
  </si>
  <si>
    <t xml:space="preserve">2026-07-20 03:28:34</t>
  </si>
  <si>
    <t xml:space="preserve">re-posts his one-line BTC prediction from a week earlier (65.3-65.6k over the weekend, pullback to 62-63k, then 66-67k) as proof price moved exactly as called; the 66-67k leg is still ahead</t>
  </si>
  <si>
    <t xml:space="preserve">Gave BTC prediction a week ago, no messy charts, no long explanation, just one line.
Now tell me didn't BTC move exactly as I mentioned?</t>
  </si>
  <si>
    <t xml:space="preserve">https://discord.com/channels/1042855255089623100/1501271173588193290/1528559209409417396</t>
  </si>
  <si>
    <t xml:space="preserve">2026-07-20 03:28:37</t>
  </si>
  <si>
    <t xml:space="preserve">image-only post: annotated 4H chart with EMA 20/50/200 marking the 65.5k high (65590.8) and 62k low (62504.0), captioned 'Back on the way to 66k' at 64883.9</t>
  </si>
  <si>
    <t xml:space="preserve">EMA, 4h timeframe</t>
  </si>
  <si>
    <t xml:space="preserve">[IMAGE 246: Annotated BTCUSDT Perp 4H chart with EMA-20/50/200, 65.5k high (65,590.8) and 62k low (62,504.0) marked, 'Back on the way to 66k' at 64,883.9]</t>
  </si>
  <si>
    <t xml:space="preserve">https://discord.com/channels/1042855255089623100/1501271173588193290/1528559220172001350</t>
  </si>
  <si>
    <t xml:space="preserve">2026-07-20 14:59:05</t>
  </si>
  <si>
    <t xml:space="preserve">don't force short, at least not before 65.5k</t>
  </si>
  <si>
    <t xml:space="preserve">expects 66-67k this week/weekend because BTC looks awesome on the daily; warns against forcing shorts before 65.5k</t>
  </si>
  <si>
    <t xml:space="preserve">this week/weekend</t>
  </si>
  <si>
    <t xml:space="preserve">66-67 this week/weekend 
BTC looks awesome on the daily, don't force short, at least not before 65.5k!</t>
  </si>
  <si>
    <t xml:space="preserve">https://discord.com/channels/1042855255089623100/1501271173588193290/1528732984306302996</t>
  </si>
  <si>
    <t xml:space="preserve">2026-07-20 19:01:04</t>
  </si>
  <si>
    <t xml:space="preserve">another 20% taken off the swing; the rest is set for a full exit at 66.2k. Card shows entry 63244.7 with last price 65578.6, position still open</t>
  </si>
  <si>
    <t xml:space="preserve">Hello darlings, took another 20% from the swing, full exit @ 66.2k</t>
  </si>
  <si>
    <t xml:space="preserve">https://discord.com/channels/1042855255089623100/1501271173588193290/1528793879304732755</t>
  </si>
  <si>
    <t xml:space="preserve">closing SOL around breakeven - it nearly hit the stop twice; he calls it a messy trade and apologises. Card: 125x long, entry 77.90, close 77.99, +14.22% ROI</t>
  </si>
  <si>
    <t xml:space="preserve">Guys closing SOL around BE for now, almost hit SL twice but we survived, sorry for this messy trade</t>
  </si>
  <si>
    <t xml:space="preserve">https://discord.com/channels/1042855255089623100/1501271173588193290/1528928848467460147</t>
  </si>
  <si>
    <t xml:space="preserve">2026-07-21 04:02:05</t>
  </si>
  <si>
    <t xml:space="preserve">posted right after the SOL close: price looks pumpy but he would rather wait for a new trade or a better entry</t>
  </si>
  <si>
    <t xml:space="preserve">Looks pumpy now but I want to find a new trade or a better entry</t>
  </si>
  <si>
    <t xml:space="preserve">https://discord.com/channels/1042855255089623100/1501271173588193290/1528930031668035836</t>
  </si>
  <si>
    <t xml:space="preserve">2026-07-21 04:03:37</t>
  </si>
  <si>
    <t xml:space="preserve">strong BTC close; sticks with his 66k/67k call for this week, most likely 67k by the weekend</t>
  </si>
  <si>
    <t xml:space="preserve">66-67k this week, 67k by weekend</t>
  </si>
  <si>
    <t xml:space="preserve">Great closing on BTC, 66/67 this week as mentioned, 67 by weekend most likely</t>
  </si>
  <si>
    <t xml:space="preserve">https://discord.com/channels/1042855255089623100/1501271173588193290/1528930417355526365</t>
  </si>
  <si>
    <t xml:space="preserve">final swing target 66.2k hit - the whole 3k move captured for 1.7R</t>
  </si>
  <si>
    <t xml:space="preserve">BTC full TP hit @ 66.2k!
MashaAllah brothers caught the whole 3k move and a 1.7R</t>
  </si>
  <si>
    <t xml:space="preserve">https://discord.com/channels/1042855255089623100/1501271173588193290/1529033536621908081</t>
  </si>
  <si>
    <t xml:space="preserve">flips from the long into a counter-trend short: BTC looks beautiful on the daily and 67k is coming this week, but he expects a pullback to 65k first (no TP posted, 65k is the implied target)</t>
  </si>
  <si>
    <t xml:space="preserve">BTC daily strong, 67k expected within the week</t>
  </si>
  <si>
    <t xml:space="preserve">Switching to short
Short BTC 
Entry: 66250 CMP 
DCA: 67k 
SL: 67600
BTC on daily looks beautiful for higher, 67k definitely we're going within this week but I think we can get a pullback to 65k first</t>
  </si>
  <si>
    <t xml:space="preserve">2026-07-21 10:56:22</t>
  </si>
  <si>
    <t xml:space="preserve">alternative entry zone 66.5-67k for the short (lower bound recorded); entering there removes the need for the DCA</t>
  </si>
  <si>
    <t xml:space="preserve">66.5-67k is a better entry you can enter there as well without a need of DCA!</t>
  </si>
  <si>
    <t xml:space="preserve">https://discord.com/channels/1042855255089623100/1501271173588193290/1529034287821754430</t>
  </si>
  <si>
    <t xml:space="preserve">announces he has shorted ZEC with a 573.2 stop; entry price not given yet, full setup to follow (posted in MSG 747)</t>
  </si>
  <si>
    <t xml:space="preserve">ZEC shorted
SL is 573.2
Will post full setup in a while</t>
  </si>
  <si>
    <t xml:space="preserve">2026-07-21 13:58:19</t>
  </si>
  <si>
    <t xml:space="preserve">the promised full setup for the ZEC short taken in MSG 746; stop restated as 573 (was 573.2), no reason given</t>
  </si>
  <si>
    <t xml:space="preserve">Short ZEC
Entry: 545 
TP: 526.46
SL: 573</t>
  </si>
  <si>
    <t xml:space="preserve">https://discord.com/channels/1042855255089623100/1501271173588193290/1529080078418317313</t>
  </si>
  <si>
    <t xml:space="preserve">2026-07-21 17:03:18</t>
  </si>
  <si>
    <t xml:space="preserve">smaller DCA than usual - only 25% of the planned DCA</t>
  </si>
  <si>
    <t xml:space="preserve">will only add 25% of the planned DCA at 67k because BTC looks strong and he does not want to lose much</t>
  </si>
  <si>
    <t xml:space="preserve">BTC looks strong</t>
  </si>
  <si>
    <t xml:space="preserve">I'll only add 25% of the DCA @ 67k, small DCA because BTC looks strong and I don't want to lose much 
Smaller DCA than usual.</t>
  </si>
  <si>
    <t xml:space="preserve">https://discord.com/channels/1042855255089623100/1501271173588193290/1529126629966614588</t>
  </si>
  <si>
    <t xml:space="preserve">ZEC short target reached; card shows 75x short entered 543.18, closed 527.22 for +220.48% ROI</t>
  </si>
  <si>
    <t xml:space="preserve">https://discord.com/channels/1042855255089623100/1501271173588193290/1529413193502298242</t>
  </si>
  <si>
    <t xml:space="preserve">don't go too heavy on this</t>
  </si>
  <si>
    <t xml:space="preserve">short ENA at 0.08825 CMP or 0.08892 limit; ENA is looking strong so he tells followers not to size heavy. No TP posted</t>
  </si>
  <si>
    <t xml:space="preserve">Short ENA 
Entry: 0.08892 or 0.08825 CMP 
SL: 0.09264
ENA looking strong, don't go too heavy on this.</t>
  </si>
  <si>
    <t xml:space="preserve">ENA short stopped out - the second stop of the month; reminds followers he had warned not to size heavy. No R or loss figure given</t>
  </si>
  <si>
    <t xml:space="preserve">Sorry guys ENA stopped, 2nd SL of the month so far.
Hopefully you didn't go heavy as mentioned!</t>
  </si>
  <si>
    <t xml:space="preserve">https://discord.com/channels/1042855255089623100/1501271173588193290/1529714574956302337</t>
  </si>
  <si>
    <t xml:space="preserve">2026-07-23 08:04:33</t>
  </si>
  <si>
    <t xml:space="preserve">65120, 64840</t>
  </si>
  <si>
    <t xml:space="preserve">first target 65120 on the BTC short with an optional second TP at 64840; card shows the open 150x short from 66137.7 at mark 65552.1, +132.80% ROI</t>
  </si>
  <si>
    <t xml:space="preserve">Targeting 65120 for this, can take 2nd TP at 64840</t>
  </si>
  <si>
    <t xml:space="preserve">https://discord.com/channels/1042855255089623100/1501271173588193290/1529715823353008201</t>
  </si>
  <si>
    <t xml:space="preserve">2026-07-23 09:16:01</t>
  </si>
  <si>
    <t xml:space="preserve">64400, 65000</t>
  </si>
  <si>
    <t xml:space="preserve">would like to hold the short down to around 64.4k, but expects a bounce around 65k so will probably exit there instead; will update when he takes profit</t>
  </si>
  <si>
    <t xml:space="preserve">bounce around 65k likely</t>
  </si>
  <si>
    <t xml:space="preserve">I'll update when I TP though, I would like around 64.4k but we get a bounce around 65k likely so I exit there probably, will update!</t>
  </si>
  <si>
    <t xml:space="preserve">https://discord.com/channels/1042855255089623100/1501271173588193290/1529733812425064569</t>
  </si>
  <si>
    <t xml:space="preserve">2026-07-23 10:18:00</t>
  </si>
  <si>
    <t xml:space="preserve">65120</t>
  </si>
  <si>
    <t xml:space="preserve">took 70% off at his 65120 first target; the share card for the 150x short from 66137.7 reports a close price of 65409.7 and +165.11% ROI</t>
  </si>
  <si>
    <t xml:space="preserve">Took 70% fully at 65120, SL to BE</t>
  </si>
  <si>
    <t xml:space="preserve">https://discord.com/channels/1042855255089623100/1501271173588193290/1529749407724212285</t>
  </si>
  <si>
    <t xml:space="preserve">stop to breakeven on the remaining 30% after the partial; he gives no number - 66137.7 is the entry from the share card</t>
  </si>
  <si>
    <t xml:space="preserve">new NEAR long at CMP, no target given yet</t>
  </si>
  <si>
    <t xml:space="preserve">Long NEAR
Entry: 1.871 CMP 
SL: 1.775</t>
  </si>
  <si>
    <t xml:space="preserve">64840</t>
  </si>
  <si>
    <t xml:space="preserve">full TP on the BTC short completed (he does not name the level; 64840 was the stated second target); notes followers who took the better 66.6k entry he flagged did even better</t>
  </si>
  <si>
    <t xml:space="preserve">BTC full TP done! 
Hopefully some of you had better entry as I mentioned to enter around 66.6k!</t>
  </si>
  <si>
    <t xml:space="preserve">flags he will flip and enter a long soon after closing the short; no levels given</t>
  </si>
  <si>
    <t xml:space="preserve">Will be entering a long soon</t>
  </si>
  <si>
    <t xml:space="preserve">SL is wide, if you don't know how to risk 1-2% don't take this trade, on SL maximum loss should be 2%; saving 20-30% for DCA is optional</t>
  </si>
  <si>
    <t xml:space="preserve">XRP swing long at CMP; the stop is wide so position sizing must keep the maximum loss to 2%; he will hold 20-30% back for an optional DCA (no DCA level given)</t>
  </si>
  <si>
    <t xml:space="preserve">Long XRP (swing)
Entry: 1.112 CMP 
TP: 1.176
SL: 1.04 
SL is wide, if you don't know how to risk 1-2% don't this take trade, on SL maximum loss should be 2% 
I'll save 20-30% for DCA but that's optional</t>
  </si>
  <si>
    <t xml:space="preserve">2026-07-23 20:27:44</t>
  </si>
  <si>
    <t xml:space="preserve">1.935, 1.96</t>
  </si>
  <si>
    <t xml:space="preserve">NEAR is holding really well, so if BTC reverses the TP should come easily; he targets 1.96 but has the order at 1.935 for now and suggests splitting 50-50 between the two</t>
  </si>
  <si>
    <t xml:space="preserve">waiting on a BTC reversal</t>
  </si>
  <si>
    <t xml:space="preserve">Surprisingly NEAR is holding really well, if BTC reverses we can get an easy TP on NEAR
Targeting 1.96 but have set TP 1.935 for now, you can do 50-50%</t>
  </si>
  <si>
    <t xml:space="preserve">https://discord.com/channels/1042855255089623100/1501271173588193290/1529902852007395443</t>
  </si>
  <si>
    <t xml:space="preserve">2026-07-23 21:10:11</t>
  </si>
  <si>
    <t xml:space="preserve">expects a BTC bounce and suggests a scalp long from here (CMP 64.6k); as written 'from 64.6 (CMP) to 64.3k' is contradictory for a bounce - he most likely means a dip to 64.3k first, or the levels are transposed</t>
  </si>
  <si>
    <t xml:space="preserve">Expecting BTC bounce from 64.6 (CMP) to 64.3k, can try scalp long from here</t>
  </si>
  <si>
    <t xml:space="preserve">https://discord.com/channels/1042855255089623100/1501271173588193290/1529913534929047612</t>
  </si>
  <si>
    <t xml:space="preserve">Keeping 50% for DCA</t>
  </si>
  <si>
    <t xml:space="preserve">BTC scalp long at 64700 CMP, or a 64.4k limit; 50% of size held for a DCA in the 64.1-64.2k zone (lower bound recorded), and no DCA needed for anyone filled on the limit</t>
  </si>
  <si>
    <t xml:space="preserve">Long BTC 
Entry: 64700 CMP or 64.4k
Scalp TP: 65.5k
SL: 63.5k
Keeping 50% for DCA in case we go @ 64.1-64.2k, if you're entering from limit no need to DCA</t>
  </si>
  <si>
    <t xml:space="preserve">https://discord.com/channels/1042855255089623100/1501271173588193290/1529918138525946086</t>
  </si>
  <si>
    <t xml:space="preserve">2026-07-24 07:41:07</t>
  </si>
  <si>
    <t xml:space="preserve">still holding the BTC scalp and now trying for 65.7k instead of the posted 65.5k target; will update when he takes profit</t>
  </si>
  <si>
    <t xml:space="preserve">Holding BTC scalp, will update when I TP, trying for 65.7k</t>
  </si>
  <si>
    <t xml:space="preserve">https://discord.com/channels/1042855255089623100/1501271173588193290/1530072314182500352</t>
  </si>
  <si>
    <t xml:space="preserve">took profit at his 65.7k target; tells followers they can extend the TP to 66.1k but should take something off. Card: 150x long from 64790.5, mark 65716.4, +214.37% ROI</t>
  </si>
  <si>
    <t xml:space="preserve">TPed at 65.7k, you can extend TP to 66.1k but do take something</t>
  </si>
  <si>
    <t xml:space="preserve">https://discord.com/channels/1042855255089623100/1501271173588193290/1530111478575927336</t>
  </si>
  <si>
    <t xml:space="preserve">will personally keep 25% for DCA but optional</t>
  </si>
  <si>
    <t xml:space="preserve">new INJ long at CMP, no target given yet; 25% of size held back for an optional DCA (no level given)</t>
  </si>
  <si>
    <t xml:space="preserve">Long INJ
Entry: 5.42 CMP 
SL: 5.07
Will personally keep 25% for DCA but optional</t>
  </si>
  <si>
    <t xml:space="preserve">re-issues the same BTC long setup after the good exit; 'Entry: 64.7' is 64.7k shorthand and 'TP SL same' means the 65.5k TP and 63.5k SL from MSG 760 (numbers not restated; the DCA is now 64.1k and he tightens the SL to 63400 in MSG 765/766)</t>
  </si>
  <si>
    <t xml:space="preserve">Great exit on our BTC long, will use this setup again
Entry: 64.7
DCA: 64.1k
TP SL same</t>
  </si>
  <si>
    <t xml:space="preserve">2026-07-24 16:39:45</t>
  </si>
  <si>
    <t xml:space="preserve">sets the BTC DCA level at 64050, slightly below the 64.1k he posted an hour earlier; no reason given</t>
  </si>
  <si>
    <t xml:space="preserve">BTC DCA @ 64050
SL @ 63400</t>
  </si>
  <si>
    <t xml:space="preserve">https://discord.com/channels/1042855255089623100/1501271173588193290/1530207867095879740</t>
  </si>
  <si>
    <t xml:space="preserve">BTC stop moved from 63.5k down to 63400 alongside the lower DCA level</t>
  </si>
  <si>
    <t xml:space="preserve">optional DCA</t>
  </si>
  <si>
    <t xml:space="preserve">added about 20% to INJ, bringing the average entry to around 5.36; he flags this DCA as optional for followers</t>
  </si>
  <si>
    <t xml:space="preserve">INJ I added just a bit like 20% avg should be around 5.36
XRP and INJ are optional DCAs</t>
  </si>
  <si>
    <t xml:space="preserve">will add 25% to the XRP swing at 1.082; flagged as an optional DCA</t>
  </si>
  <si>
    <t xml:space="preserve">XRP I'll add 25% at 1.082
XRP and INJ are optional DCAs</t>
  </si>
  <si>
    <t xml:space="preserve">2026-07-24 18:02:46</t>
  </si>
  <si>
    <t xml:space="preserve">restates the stop at 63400 for the BTC long (symbol not named, inferred from MSG 765)</t>
  </si>
  <si>
    <t xml:space="preserve">SL is 63400</t>
  </si>
  <si>
    <t xml:space="preserve">https://discord.com/channels/1042855255089623100/1501271173588193290/1530228761067257928</t>
  </si>
  <si>
    <t xml:space="preserve">Gold looks good for a long from 4065 CMP with a tight 4045 stop, but he is not officially calling it because he doesn't trade Gold much</t>
  </si>
  <si>
    <t xml:space="preserve">Gold looks good for a long if anyone trades Gold here can try long from 4065 CMP with a tight SL 4045
I don't trade Gold too much so not officially calling but looks decent</t>
  </si>
  <si>
    <t xml:space="preserve">2026-07-24 18:19:25</t>
  </si>
  <si>
    <t xml:space="preserve">Gold long is almost 1R in profit so the stop can go to entry; card (XAUUSDT 100x) shows entry 4066.90, mark 4080.98, +34.63% ROI - the entry is taken from that card, he gave no number</t>
  </si>
  <si>
    <t xml:space="preserve">Almost 1R done on Gold, can move SL to entry.</t>
  </si>
  <si>
    <t xml:space="preserve">https://discord.com/channels/1042855255089623100/1501271173588193290/1530232950388428921</t>
  </si>
  <si>
    <t xml:space="preserve">closes the ME swing long early because too many trades are running and it is getting messy; card: 50x long, entry 0.06447, close 0.06680, +179.96% ROI</t>
  </si>
  <si>
    <t xml:space="preserve">Too many trades running it's getting messy so closing this now</t>
  </si>
  <si>
    <t xml:space="preserve">https://discord.com/channels/1042855255089623100/1501271173588193290/1530463190947987577</t>
  </si>
  <si>
    <t xml:space="preserve">same reasoning as the ME close - GENIUS has started moving but he has held it too long, so he is closing it; card shows the 20x long from 0.3509 at 0.3816, +172.22% ROI (still open on the card)</t>
  </si>
  <si>
    <t xml:space="preserve">Same goes for GENIUS, started moving but holding for too long.</t>
  </si>
  <si>
    <t xml:space="preserve">https://discord.com/channels/1042855255089623100/1501271173588193290/1530464377055219742</t>
  </si>
  <si>
    <t xml:space="preserve">for anyone not closing, move the stop to entry; no number given and the entry is ambiguous (posted as 0.359 or 0.364 CMP in MSG 699, while his own card shows 0.3509), so stop left null</t>
  </si>
  <si>
    <t xml:space="preserve">If not closing then move SL to entry and exit at 0.4-0.44</t>
  </si>
  <si>
    <t xml:space="preserve">0.4, 0.44</t>
  </si>
  <si>
    <t xml:space="preserve">exit zone 0.4-0.44 for anyone who keeps holding GENIUS instead of closing with him</t>
  </si>
  <si>
    <t xml:space="preserve">new swing long called at CMP, no target given yet</t>
  </si>
  <si>
    <t xml:space="preserve">Long BNB (swing) Entry: 565 CMP SL: 540</t>
  </si>
  <si>
    <t xml:space="preserve">breaking out, taking a long with a tight SL</t>
  </si>
  <si>
    <t xml:space="preserve">Trying a long on EDU Entry: 0.0337 CMP TP: 0.035 SL: 0.03192 Breaking out, trying a long with tight SL!</t>
  </si>
  <si>
    <t xml:space="preserve">2026-07-25 13:37:50</t>
  </si>
  <si>
    <t xml:space="preserve">Don't go heavy, I'm using half risk for this</t>
  </si>
  <si>
    <t xml:space="preserve">sizing instruction for the EDU breakout long posted a minute earlier; symbol inferred from the preceding call</t>
  </si>
  <si>
    <t xml:space="preserve">Don't go heavy, I'm using half risk for this!</t>
  </si>
  <si>
    <t xml:space="preserve">https://discord.com/channels/1042855255089623100/1501271173588193290/1530524475999912057</t>
  </si>
  <si>
    <t xml:space="preserve">exited just short of 1R rather than waiting for the 0.035 TP; share card shows the realised fill at 0.03504</t>
  </si>
  <si>
    <t xml:space="preserve">Almost at 1R I'm out</t>
  </si>
  <si>
    <t xml:space="preserve">https://discord.com/channels/1042855255089623100/1501271173588193290/1530548939701358704</t>
  </si>
  <si>
    <t xml:space="preserve">2026-07-25 15:51:13</t>
  </si>
  <si>
    <t xml:space="preserve">tightening his personal stop from 5.07 to 5.00, expecting a weekend bounce that would let him exit at breakeven</t>
  </si>
  <si>
    <t xml:space="preserve">weekend bounce expected</t>
  </si>
  <si>
    <t xml:space="preserve">I'm personally moving my INJ SL to 5$ we should get a weekend bounce and can exit BE</t>
  </si>
  <si>
    <t xml:space="preserve">https://discord.com/channels/1042855255089623100/1501271173588193290/1530558041932431421</t>
  </si>
  <si>
    <t xml:space="preserve">2026-07-26 06:40:00</t>
  </si>
  <si>
    <t xml:space="preserve">plans to close the BTC long around 65k; states the blended entry should be 64350 for anyone who took the 50% DCA</t>
  </si>
  <si>
    <t xml:space="preserve">Will close BTC around 65k Avg should be 64350, if you DCAed 50%</t>
  </si>
  <si>
    <t xml:space="preserve">https://discord.com/channels/1042855255089623100/1501271173588193290/1530781712542466189</t>
  </si>
  <si>
    <t xml:space="preserve">Just risk 2-3% per setup, use a risk calculator if you don't know how to; risk 2% per trade</t>
  </si>
  <si>
    <t xml:space="preserve">risk-sizing reminder attached to the INJ loss - a single stop should only cost 2-3% of the account</t>
  </si>
  <si>
    <t xml:space="preserve">Just risk 2-3% per setup please, use a risk calculator if you don't know how to. Risk 2% per trade</t>
  </si>
  <si>
    <t xml:space="preserve">https://discord.com/channels/1042855255089623100/1501271173588193290/1530863435317903441</t>
  </si>
  <si>
    <t xml:space="preserve">stopped out on bad price action despite what he calls an A+ setup (daily support plus aligned EMAs, breaking out); price had pumped back to entry while the market was dumping. Stop-out price not stated - his last stated stop was 5.00 from MSG 775</t>
  </si>
  <si>
    <t xml:space="preserve">Got stopped on INJ, really bad PA Was an A+ setup, daily support + EMA's were aligned, was breaking out, pumped back to entry when market was dumping but idk what happened</t>
  </si>
  <si>
    <t xml:space="preserve">2026-07-26 13:05:19</t>
  </si>
  <si>
    <t xml:space="preserve">de-risking by moving the stop to breakeven; BE taken as the 565.35 entry shown on his own share card (mark 571.95 at the time)</t>
  </si>
  <si>
    <t xml:space="preserve">Moving SL to BE on this one, de risking.</t>
  </si>
  <si>
    <t xml:space="preserve">https://discord.com/channels/1042855255089623100/1501271173588193290/1530878680333684797</t>
  </si>
  <si>
    <t xml:space="preserve">closed the BTC long in profit; notes the same setup was used and closed profitably twice</t>
  </si>
  <si>
    <t xml:space="preserve">BTC closed @ 64.8k We used the same setup twice and closed in profits!</t>
  </si>
  <si>
    <t xml:space="preserve">https://discord.com/channels/1042855255089623100/1501271173588193290/1530978270160486534</t>
  </si>
  <si>
    <t xml:space="preserve">2026-07-26 19:41:53</t>
  </si>
  <si>
    <t xml:space="preserve">share cards documenting the close just announced (150x, entry 64,489.7, close 64,791.9, +70.28%), posted next to a re-post of the earlier 07-24 BTC long card (entry 64,790.5, mark 65,716.4, +214.37%) to show the same setup working twice</t>
  </si>
  <si>
    <t xml:space="preserve">Used same setup for both</t>
  </si>
  <si>
    <t xml:space="preserve">https://discord.com/channels/1042855255089623100/1501271173588193290/1530978478122336388</t>
  </si>
  <si>
    <t xml:space="preserve">claims 6 out of 6 BTC trades won in the last week off the same setup</t>
  </si>
  <si>
    <t xml:space="preserve">won 6 out of 6 BTC trades last week!</t>
  </si>
  <si>
    <t xml:space="preserve">2026-07-26 19:42:40</t>
  </si>
  <si>
    <t xml:space="preserve">acknowledges BTC may extend to 65.5k after his exit, but he was only reusing the setup so he is fine with leaving it</t>
  </si>
  <si>
    <t xml:space="preserve">There's a small chance BTC might extend to 65.5k but it's okay I was just reusing this setup anyway</t>
  </si>
  <si>
    <t xml:space="preserve">https://discord.com/channels/1042855255089623100/1501271173588193290/1530978674764021925</t>
  </si>
  <si>
    <t xml:space="preserve">2026-07-27 05:40:00</t>
  </si>
  <si>
    <t xml:space="preserve">BTC tapped exactly the 65.5k he flagged (screenshot shows 24h high 65,555.00, low 64,256.80); he stays bullish for higher</t>
  </si>
  <si>
    <t xml:space="preserve">24h high</t>
  </si>
  <si>
    <t xml:space="preserve">Went EXACTLY there, looks good for higher in my opinion</t>
  </si>
  <si>
    <t xml:space="preserve">https://discord.com/channels/1042855255089623100/1501271173588193290/1531128999038681261</t>
  </si>
  <si>
    <t xml:space="preserve">2026-07-27 05:58:03</t>
  </si>
  <si>
    <t xml:space="preserve">1.875</t>
  </si>
  <si>
    <t xml:space="preserve">after coming within $0.001 of the 1.775 stop the long recovered to near breakeven, so he plans to close around BE at 1.875 (call entry 1.871)</t>
  </si>
  <si>
    <t xml:space="preserve">From $0.001 away from SL to almost BE Gonna close around BE @ 1.875</t>
  </si>
  <si>
    <t xml:space="preserve">https://discord.com/channels/1042855255089623100/1501271173588193290/1531133544028569610</t>
  </si>
  <si>
    <t xml:space="preserve">2026-07-27 06:16:35</t>
  </si>
  <si>
    <t xml:space="preserve">expects 66.5k next on BTC, likely today or tomorrow</t>
  </si>
  <si>
    <t xml:space="preserve">66.5k should be next now, should come today/tomorrow most likely</t>
  </si>
  <si>
    <t xml:space="preserve">https://discord.com/channels/1042855255089623100/1501271173588193290/1531138206907629739</t>
  </si>
  <si>
    <t xml:space="preserve">took profit on the BNB swing long; his cropped card shows entry 565.46 and average close 577.32</t>
  </si>
  <si>
    <t xml:space="preserve">TPed on BNB @ 577.3</t>
  </si>
  <si>
    <t xml:space="preserve">https://discord.com/channels/1042855255089623100/1501271173588193290/1531183825919676416</t>
  </si>
  <si>
    <t xml:space="preserve">2026-07-27 09:18:19</t>
  </si>
  <si>
    <t xml:space="preserve">Blofin card for the same closed BNB long posted with no text; its close of 576.08 is lower than the 577.3 he quoted a minute earlier (different account/average)</t>
  </si>
  <si>
    <t xml:space="preserve">[IMAGE: BNBUSDT long 75x entry 565.35 close 576.08 ROI 142.34% (closed)]</t>
  </si>
  <si>
    <t xml:space="preserve">https://discord.com/channels/1042855255089623100/1501271173588193290/1531183941451649094</t>
  </si>
  <si>
    <t xml:space="preserve">2026-07-27 09:18:38</t>
  </si>
  <si>
    <t xml:space="preserve">580</t>
  </si>
  <si>
    <t xml:space="preserve">gives a second target of 580 for anyone still holding BNB after his own exit</t>
  </si>
  <si>
    <t xml:space="preserve">Next TP can be 580 if anyone wants to hold</t>
  </si>
  <si>
    <t xml:space="preserve">https://discord.com/channels/1042855255089623100/1501271173588193290/1531184018916249782</t>
  </si>
  <si>
    <t xml:space="preserve">2026-07-27 09:23:49</t>
  </si>
  <si>
    <t xml:space="preserve">reflection on the batch of trades: would have liked to hold BNB longer, but NEAR and BTC survived and only INJ was lost</t>
  </si>
  <si>
    <t xml:space="preserve">Wanted to hold BNB for longer but I'm really happy we survived NEAR and BTC, just lost INJ, better than losing all 3</t>
  </si>
  <si>
    <t xml:space="preserve">https://discord.com/channels/1042855255089623100/1501271173588193290/1531185323554377819</t>
  </si>
  <si>
    <t xml:space="preserve">2026-07-27 09:24:31</t>
  </si>
  <si>
    <t xml:space="preserve">reiterates BTC is going to 66k+; warns against shorting blindly</t>
  </si>
  <si>
    <t xml:space="preserve">Btw as mentioned, BTC 66k+, it's going Don't short blindly</t>
  </si>
  <si>
    <t xml:space="preserve">https://discord.com/channels/1042855255089623100/1501271173588193290/1531185499815805058</t>
  </si>
  <si>
    <t xml:space="preserve">expects ETH above 2k; warns against shorting blindly</t>
  </si>
  <si>
    <t xml:space="preserve">ETH 2k+ Don't short blindly</t>
  </si>
  <si>
    <t xml:space="preserve">DCA is optional</t>
  </si>
  <si>
    <t xml:space="preserve">short-term counter-trend scalp: entry 65.2k CMP or 65.3k limit, exit around 64.5k; stop is a 4h close above 66.2k or a hard SL at 66.5k; optional DCA if price runs to 65.8-66k</t>
  </si>
  <si>
    <t xml:space="preserve">Short BTC Entry: 65.2k CMP or 65.3k limit SL: 4h above 66.2k or hard SL at 66.5k Just a short term scalp I'll exit around 64.5k DCA is optional but I'll add if we go 65.8-66k</t>
  </si>
  <si>
    <t xml:space="preserve">2026-07-27 12:36:25</t>
  </si>
  <si>
    <t xml:space="preserve">BTC bouncing off the EMA 20 so the short is going against him and a DCA will likely be needed; he flags the setup as risky</t>
  </si>
  <si>
    <t xml:space="preserve">BTC bouncing from EMA 20, we will need a DCA. Risky setup</t>
  </si>
  <si>
    <t xml:space="preserve">https://discord.com/channels/1042855255089623100/1501271173588193290/1531233793447559199</t>
  </si>
  <si>
    <t xml:space="preserve">new short at CMP with no target given; recommends half risk</t>
  </si>
  <si>
    <t xml:space="preserve">Short ZEC Entry: 502 CMP SL: 525.5 Half risk is recommended on this.</t>
  </si>
  <si>
    <t xml:space="preserve">closing for a very small profit because XRP is a slow mover and he needs room for the new trades; card shows 1.1069 to 1.1081</t>
  </si>
  <si>
    <t xml:space="preserve">Closing XRP in very small profits rn, slow mover and we have new trades</t>
  </si>
  <si>
    <t xml:space="preserve">https://discord.com/channels/1042855255089623100/1501271173588193290/1531240416563826728</t>
  </si>
  <si>
    <t xml:space="preserve">will look to re-long XRP lower at 1.08</t>
  </si>
  <si>
    <t xml:space="preserve">Will look to long @ 1.08</t>
  </si>
  <si>
    <t xml:space="preserve">shitcoin so investing very small amount</t>
  </si>
  <si>
    <t xml:space="preserve">bought BTW in spot at 0.095 with a very small size because it is a shitcoin; a leveraged long is possible with a 0.07 SL but he frames it as a spot-focused setup</t>
  </si>
  <si>
    <t xml:space="preserve">Bought BTW @ 0.095 in spot, shitcoin so investing very small amount Can long with a 0.07 SL but this is spot focused setup.</t>
  </si>
  <si>
    <t xml:space="preserve">the scalp short's 64.5k target from the call was reached</t>
  </si>
  <si>
    <t xml:space="preserve">BTC TP hit @ 64.5k</t>
  </si>
  <si>
    <t xml:space="preserve">https://discord.com/channels/1042855255089623100/1501271173588193290/1531326281474379960</t>
  </si>
  <si>
    <t xml:space="preserve">closed the ZEC short at the same time as the BTC short</t>
  </si>
  <si>
    <t xml:space="preserve">ZEC also closed at 483</t>
  </si>
  <si>
    <t xml:space="preserve">2026-07-27 18:44:22</t>
  </si>
  <si>
    <t xml:space="preserve">share card posted without text documenting the closed ZEC short (75x, 501.92 to 482.14); the card fill 482.14 is slightly better than the 483 he quoted</t>
  </si>
  <si>
    <t xml:space="preserve">[IMAGE: ZECUSDT short 75x entry 501.92 close 482.14 ROI 295.56% (closed)]</t>
  </si>
  <si>
    <t xml:space="preserve">https://discord.com/channels/1042855255089623100/1501271173588193290/1531326393814745300</t>
  </si>
  <si>
    <t xml:space="preserve">2026-07-27 18:44:26</t>
  </si>
  <si>
    <t xml:space="preserve">share card posted without text documenting the closed BTC scalp short (150x, 65,213.3 to 64,551.1), closed simultaneously with ZEC</t>
  </si>
  <si>
    <t xml:space="preserve">[IMAGE: BTCUSDT short 150x entry 65213.3 close 64551.1 ROI 152.31% (closed)]</t>
  </si>
  <si>
    <t xml:space="preserve">https://discord.com/channels/1042855255089623100/1501271173588193290/1531326407685443824</t>
  </si>
  <si>
    <t xml:space="preserve">2026-07-27 18:46:36</t>
  </si>
  <si>
    <t xml:space="preserve">notes BTW moved about 30% while he was away; no action taken on his side</t>
  </si>
  <si>
    <t xml:space="preserve">BTW also moved like 30% I was away hope you took something</t>
  </si>
  <si>
    <t xml:space="preserve">https://discord.com/channels/1042855255089623100/1501271173588193290/1531326954404450474</t>
  </si>
  <si>
    <t xml:space="preserve">NEAR stopped out after pumping from within 0.001 of the stop to within 0.01 of breakeven; stop taken as the 1.775 from the original call, not restated here. He offsets it against the ZEC and BTC wins</t>
  </si>
  <si>
    <t xml:space="preserve">Sorry about NEAR it stopped, pumped from 0.001 away from SL to 0.01 away from BE Giving us some proper blue balls but ZEC and BTC made up for it.</t>
  </si>
  <si>
    <t xml:space="preserve">https://discord.com/channels/1042855255089623100/1501271173588193290/1531327387751551067</t>
  </si>
  <si>
    <t xml:space="preserve">2026-07-27 19:04:34</t>
  </si>
  <si>
    <t xml:space="preserve">calls it a month: 30 TPs, 4 SLs, +11.9R, 90% winrate, with an 11-trade win streak in the first half of the month</t>
  </si>
  <si>
    <t xml:space="preserve">I think I'll call it a month here 30 TPs 4 SLs +11.9R Winrate 90% Had a 11 win streak the first half month</t>
  </si>
  <si>
    <t xml:space="preserve">https://discord.com/channels/1042855255089623100/1501271173588193290/1531331477005144194</t>
  </si>
  <si>
    <t xml:space="preserve">2026-07-27 19:08:58</t>
  </si>
  <si>
    <t xml:space="preserve">explains his R accounting: he takes no partials and only one TP, so R is easy to calculate honestly; traders who take partials inflate R. His average is a small 0.5-0.8R but the TP count means two wins cover one stop, and holding for one TP avoids round-tripping profits</t>
  </si>
  <si>
    <t xml:space="preserve">Btw I'm very honest about my R Since I don't take partials and take only 1TP so calculating my real R is very easy! Yes my R is small 0.5-0.8R on avg but there are so many TPs that 2 trades cover 1SL easily.</t>
  </si>
  <si>
    <t xml:space="preserve">https://discord.com/channels/1042855255089623100/1501271173588193290/1531332583957204992</t>
  </si>
  <si>
    <t xml:space="preserve">2026-07-27 19:23:53</t>
  </si>
  <si>
    <t xml:space="preserve">War news so gotta be careful</t>
  </si>
  <si>
    <t xml:space="preserve">waiting to long BTC on a bounce from the 63.5-64k zone (63.5-64.3k on a good bounce); entry field holds the lower bound of that zone. War news means caution</t>
  </si>
  <si>
    <t xml:space="preserve">war news</t>
  </si>
  <si>
    <t xml:space="preserve">About BTC, expecting a bounce around 63.5-64k, I'll be looking to long around in this range 63.5-64.3k upon a good bounce War news so gotta be careful</t>
  </si>
  <si>
    <t xml:space="preserve">30% saving for DCA</t>
  </si>
  <si>
    <t xml:space="preserve">takes the planned BTC long from the 63.5-64k bounce idea at 63.1k, keeping 30% of size back for a DCA (no DCA level given)</t>
  </si>
  <si>
    <t xml:space="preserve">Long BTC Entry: 63.1k 30% saving for DCA SL: 61.5k</t>
  </si>
  <si>
    <t xml:space="preserve">https://discord.com/channels/1042855255089623100/1501271173588193290/1531483420864024722</t>
  </si>
  <si>
    <t xml:space="preserve">2026-07-28 05:31:36</t>
  </si>
  <si>
    <t xml:space="preserve">notes a tighter stop at 61.7k would improve R, but he is keeping his 61.5k stop to play safe - so his stop is unchanged</t>
  </si>
  <si>
    <t xml:space="preserve">Can use 61.7k to improve R a bit but I just wanna play safe here.</t>
  </si>
  <si>
    <t xml:space="preserve">https://discord.com/channels/1042855255089623100/1501271173588193290/1531489274145407057</t>
  </si>
  <si>
    <t xml:space="preserve">2026-07-28 05:32:19</t>
  </si>
  <si>
    <t xml:space="preserve">clarifies the 63.1k BTC entry is a CMP (market) order, not a limit - he always writes limit when it is one - and price is still only about $50 away so followers can get in</t>
  </si>
  <si>
    <t xml:space="preserve">It's a CMP order, if it's a limit I always write limit, you can still get in just 50$ away</t>
  </si>
  <si>
    <t xml:space="preserve">https://discord.com/channels/1042855255089623100/1501271173588193290/1531489453833719959</t>
  </si>
  <si>
    <t xml:space="preserve">2026-07-28 11:38:05</t>
  </si>
  <si>
    <t xml:space="preserve">first target given for the 63.1k BTC long; symbol inferred from the open position</t>
  </si>
  <si>
    <t xml:space="preserve">Targeting around 64.2k+</t>
  </si>
  <si>
    <t xml:space="preserve">https://discord.com/channels/1042855255089623100/1501271173588193290/1531581504105353357</t>
  </si>
  <si>
    <t xml:space="preserve">either half risk or skip</t>
  </si>
  <si>
    <t xml:space="preserve">openly a gamble trade because he is opening it right before FOMC with markets looking weak; he is in anyway</t>
  </si>
  <si>
    <t xml:space="preserve">right before FOMC, markets looking weak</t>
  </si>
  <si>
    <t xml:space="preserve">Long SOL Entry: 73.18 SL: 69.4 Now this is a pure gamble trade because I'm opening it right before FOMC and markets looking weak, either half risk or skip but I'm in</t>
  </si>
  <si>
    <t xml:space="preserve">2026-07-28 14:41:06</t>
  </si>
  <si>
    <t xml:space="preserve">one-word follow-up clarifying the 73.18 SOL entry is at market (CMP)</t>
  </si>
  <si>
    <t xml:space="preserve">https://discord.com/channels/1042855255089623100/1501271173588193290/1531627560486834288</t>
  </si>
  <si>
    <t xml:space="preserve">2026-07-28 18:53:12</t>
  </si>
  <si>
    <t xml:space="preserve">64250, 65000</t>
  </si>
  <si>
    <t xml:space="preserve">first TP at 64250; swingers can move the target to 65k. The FOMC pump he expected is happening. Symbol inferred from the open 63.1k BTC long</t>
  </si>
  <si>
    <t xml:space="preserve">pumping around FOMC as expected</t>
  </si>
  <si>
    <t xml:space="preserve">64250 the first place you can TP If you want to swing, you can move TP to 65k As expected we gonna pump around FOMC</t>
  </si>
  <si>
    <t xml:space="preserve">https://discord.com/channels/1042855255089623100/1501271173588193290/1531691003579334766</t>
  </si>
  <si>
    <t xml:space="preserve">2026-07-28 19:14:04</t>
  </si>
  <si>
    <t xml:space="preserve">stop to breakeven on the SOL gamble long now that it is in profit; BE taken as the 73.19 entry on his card (the call said 73.18)</t>
  </si>
  <si>
    <t xml:space="preserve">Set SL to BE</t>
  </si>
  <si>
    <t xml:space="preserve">https://discord.com/channels/1042855255089623100/1501271173588193290/1531696255858638968</t>
  </si>
  <si>
    <t xml:space="preserve">2026-07-28 19:55:32</t>
  </si>
  <si>
    <t xml:space="preserve">expects another 20-30% pump in BTW after the earlier 30% move</t>
  </si>
  <si>
    <t xml:space="preserve">BTW again looking nice for a 20-30% pump</t>
  </si>
  <si>
    <t xml:space="preserve">https://discord.com/channels/1042855255089623100/1501271173588193290/1531706689030717620</t>
  </si>
  <si>
    <t xml:space="preserve">2026-07-28 20:06:58</t>
  </si>
  <si>
    <t xml:space="preserve">took 70% off at what he calls 64k (card shows the realised fill at 63,939.0 from entry 63,182.1), leaving the remaining 30% for 65k</t>
  </si>
  <si>
    <t xml:space="preserve">TPed 70% on BTC @ 64k, leaving some for 65k</t>
  </si>
  <si>
    <t xml:space="preserve">https://discord.com/channels/1042855255089623100/1501271173588193290/1531709566587375908</t>
  </si>
  <si>
    <t xml:space="preserve">two management options for followers: take 50% here without moving the SL to entry and fully exit at 65k, or fully exit now and re-enter at 63.1k with the same setup targeting 65k</t>
  </si>
  <si>
    <t xml:space="preserve">You can either 50% here and not move SL to entry and fully exit at 65k Or Just fully exit and enter again at 63.1k with same setup and TP at 65k</t>
  </si>
  <si>
    <t xml:space="preserve">2026-07-28 20:10:41</t>
  </si>
  <si>
    <t xml:space="preserve">no BTC stop-outs at all this month across 10+ BTC trades</t>
  </si>
  <si>
    <t xml:space="preserve">Not a single BTC SL this month out of 10+ trades</t>
  </si>
  <si>
    <t xml:space="preserve">will try one more BTC long if price drops before FOMC; 64.1-64.2k is currently a wall (price_ref holds the lower bound) and reclaiming it opens 65-66k quickly</t>
  </si>
  <si>
    <t xml:space="preserve">support/resistance, FOMC</t>
  </si>
  <si>
    <t xml:space="preserve">before FOMC</t>
  </si>
  <si>
    <t xml:space="preserve">going to try one more long if it goes down before FOMC For now 64.1-64.2k is a wall, reclaim that and 65-66k in no time</t>
  </si>
  <si>
    <t xml:space="preserve">2026-07-29 09:53:40</t>
  </si>
  <si>
    <t xml:space="preserve">64900, 65000</t>
  </si>
  <si>
    <t xml:space="preserve">still holding the remaining 30% of yesterday's long, planning to exit into 64.9-65k; thinks FOMC pumps</t>
  </si>
  <si>
    <t xml:space="preserve">BTC looks ready for higher, I'm still holding 30% from yesterday for 64.9-65k where I'll exit. FOMC pumps I think</t>
  </si>
  <si>
    <t xml:space="preserve">https://discord.com/channels/1042855255089623100/1501271173588193290/1531917612097863722</t>
  </si>
  <si>
    <t xml:space="preserve">control risk today, you can never be right 100%</t>
  </si>
  <si>
    <t xml:space="preserve">new limit long; he would have preferred 63.7-63.9k but doubts price returns there, and stresses risk control despite being confident in the pump</t>
  </si>
  <si>
    <t xml:space="preserve">Long BTC Entry limit: 64160 DCA: 63460 SL: 62550 Originally I want to enter 63.9-63.7k but not sure if we get it. As much as I'm confident we pump you can never be right 100% control risk today</t>
  </si>
  <si>
    <t xml:space="preserve">https://discord.com/channels/1042855255089623100/1501271173588193290/1531929849806061688</t>
  </si>
  <si>
    <t xml:space="preserve">2026-07-29 10:45:11</t>
  </si>
  <si>
    <t xml:space="preserve">confirms the limit entry was nudged slightly lower to 64160 (the call as posted already shows 64160, so the original message was likely edited)</t>
  </si>
  <si>
    <t xml:space="preserve">Slightly lowered to 64160</t>
  </si>
  <si>
    <t xml:space="preserve">https://discord.com/channels/1042855255089623100/1501271173588193290/1531930575714385970</t>
  </si>
  <si>
    <t xml:space="preserve">2026-07-29 10:49:13</t>
  </si>
  <si>
    <t xml:space="preserve">40% entry, 60% DCA</t>
  </si>
  <si>
    <t xml:space="preserve">says the 64160 entry is not good; better to enter the 63.7-63.9k zone (entry field holds the lower bound) or to split 40% at entry and 60% at the DCA</t>
  </si>
  <si>
    <t xml:space="preserve">As mentioned the entry isn't good Better entry is at 63.7-63.9k, you can enter there Or 40% entry, 60% DCA</t>
  </si>
  <si>
    <t xml:space="preserve">https://discord.com/channels/1042855255089623100/1501271173588193290/1531931592967327825</t>
  </si>
  <si>
    <t xml:space="preserve">2026-07-29 11:02:47</t>
  </si>
  <si>
    <t xml:space="preserve">price is front-running the limit entry, i.e. moving up without filling the order; symbol inferred from the pending BTC limit long</t>
  </si>
  <si>
    <t xml:space="preserve">We getting front run</t>
  </si>
  <si>
    <t xml:space="preserve">https://discord.com/channels/1042855255089623100/1501271173588193290/1531935007743152159</t>
  </si>
  <si>
    <t xml:space="preserve">2026-07-29 11:07:06</t>
  </si>
  <si>
    <t xml:space="preserve">expects BTC 66k+ and most likely 67k by this week or weekend</t>
  </si>
  <si>
    <t xml:space="preserve">66k+ (67k most likely) BTC By this week/weekend most likely</t>
  </si>
  <si>
    <t xml:space="preserve">https://discord.com/channels/1042855255089623100/1501271173588193290/1531936093291810906</t>
  </si>
  <si>
    <t xml:space="preserve">expects ETH above 2k by this week or weekend</t>
  </si>
  <si>
    <t xml:space="preserve">2k+ ETH By this week/weekend most likely</t>
  </si>
  <si>
    <t xml:space="preserve">exits the last piece (the 30% runner) of the 63,182.1 long in full; card mark 64,652.4. Followers can hold to 64.9k if they want</t>
  </si>
  <si>
    <t xml:space="preserve">Exiting my last BTC position fully here, you can hold till 64.9k if you want</t>
  </si>
  <si>
    <t xml:space="preserve">https://discord.com/channels/1042855255089623100/1501271173588193290/1531967593995567274</t>
  </si>
  <si>
    <t xml:space="preserve">cancels the unfilled BTC limit long order given earlier (64160 entry, DCA 63460, SL 62550 from MSG 817)</t>
  </si>
  <si>
    <t xml:space="preserve">Cancel the BTC order given a while ago</t>
  </si>
  <si>
    <t xml:space="preserve">asks the channel whether to gamble a BTC long, a minute before posting the call</t>
  </si>
  <si>
    <t xml:space="preserve">So should we gamble a long on BTC or no?</t>
  </si>
  <si>
    <t xml:space="preserve">GAMBLE ENTER AT YOUR OWN RISK!</t>
  </si>
  <si>
    <t xml:space="preserve">re-opens the BTC long at market after the limit order was cancelled, explicitly framed as a gamble</t>
  </si>
  <si>
    <t xml:space="preserve">Long BTC Entry: 64.1k CMP DCA: 63440 SL: 62550 GAMBLE ENTER AT YOUR OWN RISK!</t>
  </si>
  <si>
    <t xml:space="preserve">https://discord.com/channels/1042855255089623100/1501271173588193290/1532016689284386896</t>
  </si>
  <si>
    <t xml:space="preserve">2026-07-29 16:32:39</t>
  </si>
  <si>
    <t xml:space="preserve">alternative single entry at 63.7k with no DCA needed; he took the higher 64.1k entry to play safe</t>
  </si>
  <si>
    <t xml:space="preserve">Can enter at 63.7k as well (no DCA needed then) I'm just playing safe</t>
  </si>
  <si>
    <t xml:space="preserve">https://discord.com/channels/1042855255089623100/1501271173588193290/1532018021013651528</t>
  </si>
  <si>
    <t xml:space="preserve">2026-07-29 19:05:03</t>
  </si>
  <si>
    <t xml:space="preserve">if you aren't in, light - just do 25-30% DCA, a small DCA</t>
  </si>
  <si>
    <t xml:space="preserve">sizing guidance for the gamble long: keep the DCA small, 25-30%</t>
  </si>
  <si>
    <t xml:space="preserve">This is a gamble trade so if you aren't in light just do 25-30% DCA, a small DCA</t>
  </si>
  <si>
    <t xml:space="preserve">https://discord.com/channels/1042855255089623100/1501271173588193290/1532056374396059900</t>
  </si>
  <si>
    <t xml:space="preserve">2026-07-29 19:53:33</t>
  </si>
  <si>
    <t xml:space="preserve">if you enter at DCA lower your SL a bit or keep it manual to survive wicks</t>
  </si>
  <si>
    <t xml:space="preserve">praises members who waited for the DCA level rather than chasing his entry, and tells them to widen or manually manage the stop so wicks do not take them out</t>
  </si>
  <si>
    <t xml:space="preserve">In chat a couple of you guys have mentioned entering at DCA, great, that's the right place Anyhow if you enter at DCA lower your SL a bit or keep it manual to survive wicks I guess</t>
  </si>
  <si>
    <t xml:space="preserve">https://discord.com/channels/1042855255089623100/1501271173588193290/1532068577295728684</t>
  </si>
  <si>
    <t xml:space="preserve">2026-07-30 04:58:45</t>
  </si>
  <si>
    <t xml:space="preserve">the DCA filled and the position is in nice profit; those who entered only at the DCA are better off. Level taken as the 63440 DCA from the call, not restated here</t>
  </si>
  <si>
    <t xml:space="preserve">BTC in nice profits after filling DCA If you entered from DCA even greater</t>
  </si>
  <si>
    <t xml:space="preserve">https://discord.com/channels/1042855255089623100/1501271173588193290/1532205782354104512</t>
  </si>
  <si>
    <t xml:space="preserve">64300, 63400</t>
  </si>
  <si>
    <t xml:space="preserve">followers can exit here at 64.3k; his own stated exit of '63.4k+' is recorded verbatim but is almost certainly a typo for 64.4k+, since the long is already in profit above 64.3k and 63.4k is below his DCA</t>
  </si>
  <si>
    <t xml:space="preserve">Can exit here @ 64.3k, I'll exit at 63.4k+</t>
  </si>
  <si>
    <t xml:space="preserve">2026-07-30 12:29:31</t>
  </si>
  <si>
    <t xml:space="preserve">64600</t>
  </si>
  <si>
    <t xml:space="preserve">wanted to hold for 65k but the profits from the DCA filled at the bottom are too good to ignore, so he pulls the exit in to 64.6k</t>
  </si>
  <si>
    <t xml:space="preserve">This is with a DCA filled at the bottom so profits are really good, wanna hold until 65k but profits look to good to ignore, closing soon @ 64.6k</t>
  </si>
  <si>
    <t xml:space="preserve">https://discord.com/channels/1042855255089623100/1501271173588193290/1532319220459769978</t>
  </si>
  <si>
    <t xml:space="preserve">2026-07-30 12:40:20</t>
  </si>
  <si>
    <t xml:space="preserve">takes 50% off the gamble long; card shows blended entry 63,812.5 (after the DCA) and mark 64,578.7 at the time</t>
  </si>
  <si>
    <t xml:space="preserve">Close 50% here, gamble was a GO!</t>
  </si>
  <si>
    <t xml:space="preserve">https://discord.com/channels/1042855255089623100/1501271173588193290/1532321942512730284</t>
  </si>
  <si>
    <t xml:space="preserve">2026-07-30 12:42:08</t>
  </si>
  <si>
    <t xml:space="preserve">alternative to the 50% partial: fully exit whenever he does, since he thinks 65k is coming</t>
  </si>
  <si>
    <t xml:space="preserve">Or just fully exit when I do, I think 65k coming</t>
  </si>
  <si>
    <t xml:space="preserve">https://discord.com/channels/1042855255089623100/1501271173588193290/1532322397489860758</t>
  </si>
  <si>
    <t xml:space="preserve">2026-07-30 14:39:57</t>
  </si>
  <si>
    <t xml:space="preserve">expects 67-68k (price_ref holds the lower bound of that range) before BTC sees 60k again; symbol inferred from context and price scale</t>
  </si>
  <si>
    <t xml:space="preserve">67-68k before 60k is what I think</t>
  </si>
  <si>
    <t xml:space="preserve">https://discord.com/channels/1042855255089623100/1501271173588193290/1532352045393121321</t>
  </si>
  <si>
    <t xml:space="preserve">closed the remainder of the gamble long at 64,800 as the move toward 65k he called played out</t>
  </si>
  <si>
    <t xml:space="preserve">Fully TPed, told ya 65k is coming</t>
  </si>
  <si>
    <t xml:space="preserve">https://discord.com/channels/1042855255089623100/1501271173588193290/1532356267325001952</t>
  </si>
  <si>
    <t xml:space="preserve">50% for DCA</t>
  </si>
  <si>
    <t xml:space="preserve">flips short on BTC with a limit entry, holding half the size back for a DCA (level not given yet)</t>
  </si>
  <si>
    <t xml:space="preserve">Short BTC Entry: 65.2k limit 50% for DCA SL: 66600</t>
  </si>
  <si>
    <t xml:space="preserve">revises the short six minutes after the call: entry taken at market 65k instead of the 65.2k limit, DCA 65.4k, stop tightened to 66.5k</t>
  </si>
  <si>
    <t xml:space="preserve">Entry is 65k CMP DCA @ 65.4k SL @ 66.5k</t>
  </si>
  <si>
    <t xml:space="preserve">https://discord.com/channels/1042855255089623100/1501271173588193290/1532388379612680262</t>
  </si>
  <si>
    <t xml:space="preserve">2026-07-30 17:05:18</t>
  </si>
  <si>
    <t xml:space="preserve">followers can use a tighter 66k stop to improve R; he is personally using 66.5k, which is the stop recorded here</t>
  </si>
  <si>
    <t xml:space="preserve">You can short using 66k as SL to improve R I'm using 66.5k</t>
  </si>
  <si>
    <t xml:space="preserve">https://discord.com/channels/1042855255089623100/1501271173588193290/1532388626485219619</t>
  </si>
  <si>
    <t xml:space="preserve">2026-07-30 17:11:59</t>
  </si>
  <si>
    <t xml:space="preserve">sets a resting TP at 64250 because he may be away for a couple of hours; alternative is to move the stop instead</t>
  </si>
  <si>
    <t xml:space="preserve">I might not be available for a couple hrs so setting TP @ 64250 or just move SL then</t>
  </si>
  <si>
    <t xml:space="preserve">https://discord.com/channels/1042855255089623100/1501271173588193290/1532390305264042104</t>
  </si>
  <si>
    <t xml:space="preserve">wanted an ETH short with a 1950 stop but is outside and too late, so the idea is flagged and not taken - no entry given</t>
  </si>
  <si>
    <t xml:space="preserve">Wanted to short ETH with SL 1950 but got late I'm outside so hard to do</t>
  </si>
  <si>
    <t xml:space="preserve">the resting TP from MSG 837 filled overnight; he quotes the fill as 64.2k although the order was set at 64250</t>
  </si>
  <si>
    <t xml:space="preserve">The given TP on BTC was hit @ 64.2k</t>
  </si>
  <si>
    <t xml:space="preserve">https://discord.com/channels/1042855255089623100/1501271173588193290/1532618064221180016</t>
  </si>
  <si>
    <t xml:space="preserve">flips long again at market right after the short's TP; he flags the setup as slightly risky</t>
  </si>
  <si>
    <t xml:space="preserve">Long BTC Entry: 63969 CMP TP 65k SL: 62.7k Slightly risky setup</t>
  </si>
  <si>
    <t xml:space="preserve">2026-07-31 11:34:09</t>
  </si>
  <si>
    <t xml:space="preserve">go half risk</t>
  </si>
  <si>
    <t xml:space="preserve">monthly close today can pump or dump fast, which is why the BTC long is risky; position currently at breakeven</t>
  </si>
  <si>
    <t xml:space="preserve">monthly close today, can pump or dump real fast</t>
  </si>
  <si>
    <t xml:space="preserve">Just a reminder monthly close today, can pump or dump real fast that's why risky, at BE, go half risk</t>
  </si>
  <si>
    <t xml:space="preserve">https://discord.com/channels/1042855255089623100/1501271173588193290/1532667674151223316</t>
  </si>
  <si>
    <t xml:space="preserve">600, 603</t>
  </si>
  <si>
    <t xml:space="preserve">BNB looks very good for a long towards 600-603 by the weekend; will only long if he gets the 582-586 zone</t>
  </si>
  <si>
    <t xml:space="preserve">expects the move by the weekend</t>
  </si>
  <si>
    <t xml:space="preserve">BNB looks very good for a long, looks like 600-603 by weekend  Will long if I can get 582-586</t>
  </si>
  <si>
    <t xml:space="preserve">ARKM looking nice - long from CMP with the daily low 0.093 as SL; not an official setup, he is chilling after 40+ setups this month</t>
  </si>
  <si>
    <t xml:space="preserve">ARKM looking nice, if anyone wants so long from CMP with daily low as SL 0.093  Not an official setup, had 40+ setups this month gonna chill rn</t>
  </si>
  <si>
    <t xml:space="preserve">stopped out on the setup he had flagged as risky; first SL on BTC in a month and a risk he took himself (SL level not restated here - it was 62.7k in the original call)</t>
  </si>
  <si>
    <t xml:space="preserve">BTC stopped out as mentioned risky setup, first SL on BTC since a month and that I took risk myself.</t>
  </si>
  <si>
    <t xml:space="preserve">https://discord.com/channels/1042855255089623100/1501271173588193290/1532751771888517360</t>
  </si>
  <si>
    <t xml:space="preserve">will look to long BTC again around 62.2k after the stop</t>
  </si>
  <si>
    <t xml:space="preserve">Will look to long again around 62.2k</t>
  </si>
  <si>
    <t xml:space="preserve">2026-07-31 17:22:19</t>
  </si>
  <si>
    <t xml:space="preserve">limit long on BNB, the 582-586 zone he had been waiting for</t>
  </si>
  <si>
    <t xml:space="preserve">Limit long BNB  Entry: 586.6   TP: 600  SL: 570</t>
  </si>
  <si>
    <t xml:space="preserve">https://discord.com/channels/1042855255089623100/1501271173588193290/1532755293811904575</t>
  </si>
  <si>
    <t xml:space="preserve">will long BTC once he sees some stability; thinks price moves to 63.5-64.1k on the weekend before heading down</t>
  </si>
  <si>
    <t xml:space="preserve">Also I'll long BTC after seeing some stability, think we move to 63.5-64.1k on weekend before heading down</t>
  </si>
  <si>
    <t xml:space="preserve">I risk 2% on ALTs, 3-5% on BTC</t>
  </si>
  <si>
    <t xml:space="preserve">opening a UNI short to hedge his long; SL is a 4h close above 4.44</t>
  </si>
  <si>
    <t xml:space="preserve">Gonna hedge my long  Short UNI   Entry: 4.25 CMP  SL: 4h close above 4.44  I risk 2% on ALTs, 3-5% on BTC</t>
  </si>
  <si>
    <t xml:space="preserve">took the 0.5R move off from 0.096 - he only wanted to scalp it</t>
  </si>
  <si>
    <t xml:space="preserve">ARKM moved 0.5R from 0.096, I TPed just wanted to scalp</t>
  </si>
  <si>
    <t xml:space="preserve">https://discord.com/channels/1042855255089623100/1501271173588193290/1532774341559976006</t>
  </si>
  <si>
    <t xml:space="preserve">advice for followers still in: move SL to entry (0.096)</t>
  </si>
  <si>
    <t xml:space="preserve">you can move SL to entry</t>
  </si>
  <si>
    <t xml:space="preserve">0.1</t>
  </si>
  <si>
    <t xml:space="preserve">advice for followers: set TP at 0.1, it looks good</t>
  </si>
  <si>
    <t xml:space="preserve">set TP @ 0.1 looks good</t>
  </si>
  <si>
    <t xml:space="preserve">2026-07-31 22:53:47</t>
  </si>
  <si>
    <t xml:space="preserve">July stats: 45 trades, 40 wins, 5 SLs, 23.5R without partials, 89% win rate, 93% win rate on BTC; July was pumpy and he used the pump</t>
  </si>
  <si>
    <t xml:space="preserve">July was pumpy</t>
  </si>
  <si>
    <t xml:space="preserve">July Stats  45 Trades  40 Wins  5 SLs  23.5R (Without Partials)  89% Win Rate  93% Win Rate BTC</t>
  </si>
  <si>
    <t xml:space="preserve">https://discord.com/channels/1042855255089623100/1501271173588193290/1532838710645882950</t>
  </si>
  <si>
    <t xml:space="preserve">2026-07-31 23:05:23</t>
  </si>
  <si>
    <t xml:space="preserve">promotes the X account he just created</t>
  </si>
  <si>
    <t xml:space="preserve">Also guys many of you asked about my X so I just created one, would appreciate a follow  https://x.com/Paladinccore</t>
  </si>
  <si>
    <t xml:space="preserve">https://discord.com/channels/1042855255089623100/1501271173588193290/1532841631534026784</t>
  </si>
  <si>
    <t xml:space="preserve">morning check-in: both open positions (the BNB long and the UNI short) are running in decent profit</t>
  </si>
  <si>
    <t xml:space="preserve">GM guys both are long and short are running in decent profits</t>
  </si>
  <si>
    <t xml:space="preserve">https://discord.com/channels/1042855255089623100/1501271173588193290/1533000080259289209</t>
  </si>
  <si>
    <t xml:space="preserve">booked profit on the UNI hedge short here; share card still shows the position open at mark 4.088</t>
  </si>
  <si>
    <t xml:space="preserve">I have TPed UNI here</t>
  </si>
  <si>
    <t xml:space="preserve">3.99</t>
  </si>
  <si>
    <t xml:space="preserve">for followers: take 50% here and TP fully at 3.99</t>
  </si>
  <si>
    <t xml:space="preserve">you can do 50% and TP fully @ 3.99</t>
  </si>
  <si>
    <t xml:space="preserve">a swing long can be taken from CMP 63k with 61.4k as SL - offered as an option rather than his own focus</t>
  </si>
  <si>
    <t xml:space="preserve">A swing on BTC can be taken from CMP (63k) with an SL of 61.4k</t>
  </si>
  <si>
    <t xml:space="preserve">more interested in HYPE - thinks it is do or die for HYPE so a long would be nice here</t>
  </si>
  <si>
    <t xml:space="preserve">But I'm more interested in HYPE I think it's a do or die for HYPE so a long would be nice here.</t>
  </si>
  <si>
    <t xml:space="preserve">I'll keep only 25% funds for DCA</t>
  </si>
  <si>
    <t xml:space="preserve">long HYPE from 52.4 CMP or limit at 52.05, optional DCA at 50</t>
  </si>
  <si>
    <t xml:space="preserve">Long HYPE  Entry: 52.4 CMP or limit @ 52.05 Optional DCA: 50 (I'll keep only 25% funds for DCA)  SL: 48.6</t>
  </si>
  <si>
    <t xml:space="preserve">https://discord.com/channels/1042855255089623100/1501271173588193290/1533034195759403159</t>
  </si>
  <si>
    <t xml:space="preserve">I'm using 1% margin with Max Lev</t>
  </si>
  <si>
    <t xml:space="preserve">started an ETH short from 1840 after Saylor's sell news dumped BTC; he has no SL for it, floated maybe 2k</t>
  </si>
  <si>
    <t xml:space="preserve">Personally I have started a ETH short from 1840, I don't have a SL for this, maybe 2k?  But I'm using 1% margin with Max Lev if anyone wants to join</t>
  </si>
  <si>
    <t xml:space="preserve">2026-08-01 22:23:54</t>
  </si>
  <si>
    <t xml:space="preserve">I'll add 1% more around 2k if we get but if you have SL no addition</t>
  </si>
  <si>
    <t xml:space="preserve">plans to add another 1% to the ETH short around 2k; anyone using a SL should not add</t>
  </si>
  <si>
    <t xml:space="preserve">https://discord.com/channels/1042855255089623100/1501271173588193290/1533193579495686146</t>
  </si>
  <si>
    <t xml:space="preserve">2026-08-01 22:51:57</t>
  </si>
  <si>
    <t xml:space="preserve">already risking on BNB and HYPE so not gonna rush</t>
  </si>
  <si>
    <t xml:space="preserve">sees a scalp long on BTC - 61.4k wide SL or 62k tight SL (wide one recorded in stop_loss) - but will not rush it while already risking on BNB and HYPE</t>
  </si>
  <si>
    <t xml:space="preserve">I see a long opportunity on BTC rn for a scalp, 61.4k wide SL and 62k tight SL but I'm already risking on BNB and HYPE now so not gonna rush</t>
  </si>
  <si>
    <t xml:space="preserve">https://discord.com/channels/1042855255089623100/1501271173588193290/1533200638350069780</t>
  </si>
  <si>
    <t xml:space="preserve">2026-08-02 10:10:06</t>
  </si>
  <si>
    <t xml:space="preserve">took 50% at 63.5k from a 62.5k entry; 2R for anyone who used the 62k stop, almost 1R with the 61.4k stop</t>
  </si>
  <si>
    <t xml:space="preserve">If you longed with 62k SL you're up 2R, If you longed with 61.4k SL you're up 1R almost  Took 50 % here @ 63.5k, fully exit by 64k  Entry was 62.5k</t>
  </si>
  <si>
    <t xml:space="preserve">https://discord.com/channels/1042855255089623100/1501271173588193290/1533371299429093397</t>
  </si>
  <si>
    <t xml:space="preserve">plans to be fully out of the remaining size by 64k</t>
  </si>
  <si>
    <t xml:space="preserve">fully exit by 64k</t>
  </si>
  <si>
    <t xml:space="preserve">2026-08-02 11:28:20</t>
  </si>
  <si>
    <t xml:space="preserve">BNB survived and is almost back at breakeven; can be exited around BE</t>
  </si>
  <si>
    <t xml:space="preserve">Also luckily we survived BNB, almost at BE, can exit around BE</t>
  </si>
  <si>
    <t xml:space="preserve">https://discord.com/channels/1042855255089623100/1501271173588193290/1533390987626287254</t>
  </si>
  <si>
    <t xml:space="preserve">Half risk trade; DCA size 25%, half of what you take at first entry</t>
  </si>
  <si>
    <t xml:space="preserve">long ZEC from CMP with first TP at 487; half risk because the weekend plus longs seem shaky</t>
  </si>
  <si>
    <t xml:space="preserve">weekend + longs seems shaky</t>
  </si>
  <si>
    <t xml:space="preserve">Long ZEC  Entry: 473.5 CMP  DCA: 460 ( 25% half of what you'll take at first entry)  Setting my first TP @ 487  SL: 450  Half risk trade, weekend + longs seems shaky</t>
  </si>
  <si>
    <t xml:space="preserve">officially closing BNB slightly above breakeven at 587</t>
  </si>
  <si>
    <t xml:space="preserve">Officially closing BNB slightly above BE @ 587</t>
  </si>
  <si>
    <t xml:space="preserve">https://discord.com/channels/1042855255089623100/1501271173588193290/1533504293032820796</t>
  </si>
  <si>
    <t xml:space="preserve">held without SL</t>
  </si>
  <si>
    <t xml:space="preserve">still holding the ETH short, which has no stop loss</t>
  </si>
  <si>
    <t xml:space="preserve">ETH short (without SL)</t>
  </si>
  <si>
    <t xml:space="preserve">still holding the HYPE long</t>
  </si>
  <si>
    <t xml:space="preserve">Holding HYPE &amp; ZEC now</t>
  </si>
  <si>
    <t xml:space="preserve">still holding the ZEC long</t>
  </si>
  <si>
    <t xml:space="preserve">2026-08-02 19:08:14</t>
  </si>
  <si>
    <t xml:space="preserve">1% 100x; personal trade held without SL - he does not recommend trading without SL</t>
  </si>
  <si>
    <t xml:space="preserve">not planning to close the ETH short before 1700-1750 at least; anyone is welcome to short with him but it is a personal trade</t>
  </si>
  <si>
    <t xml:space="preserve">I'm not planning to close it before 1700-1750 at least  Entry is 1840, 1% 100x</t>
  </si>
  <si>
    <t xml:space="preserve">https://discord.com/channels/1042855255089623100/1501271173588193290/1533506724403609782</t>
  </si>
  <si>
    <t xml:space="preserve">long ETH from CMP; SL is a 4H close under 1842 or hard SL at 1832; expects ETH to give 1900 on a Sunday-Monday pump then lower</t>
  </si>
  <si>
    <t xml:space="preserve">expects a Sunday-Monday pump then lower</t>
  </si>
  <si>
    <t xml:space="preserve">Long ETH (Half risk long)  Entry: 1862 CMP   TP: 1892-1900  SL: 4H close under 1842 or hard SL @ 1832  ETH probably gives us 1900 on Sunday - Monday pump then lower</t>
  </si>
  <si>
    <t xml:space="preserve">ZEC take-profit taken at 490 (first TP had been set at 487)</t>
  </si>
  <si>
    <t xml:space="preserve">ZEC TP taken at 490</t>
  </si>
  <si>
    <t xml:space="preserve">https://discord.com/channels/1042855255089623100/1501271173588193290/1533574259136401581</t>
  </si>
  <si>
    <t xml:space="preserve">2026-08-02 23:40:42</t>
  </si>
  <si>
    <t xml:space="preserve">confirms he takes full TPs rather than partials; next target on ZEC can be 510</t>
  </si>
  <si>
    <t xml:space="preserve">Someone asked if full TP, yes I take full TPs, next TP can be 510</t>
  </si>
  <si>
    <t xml:space="preserve">https://discord.com/channels/1042855255089623100/1501271173588193290/1533575294324047975</t>
  </si>
  <si>
    <t xml:space="preserve">the ETH long TP was hit shortly after the ZEC one; exact fill price not stated</t>
  </si>
  <si>
    <t xml:space="preserve">Here you go guys ETH TP hit as well</t>
  </si>
  <si>
    <t xml:space="preserve">https://discord.com/channels/1042855255089623100/1501271173588193290/1533592639574773810</t>
  </si>
  <si>
    <t xml:space="preserve">2026-08-03 00:50:46</t>
  </si>
  <si>
    <t xml:space="preserve">recaps three winners in a single day - BTC, ZEC and ETH - with HYPE still running green</t>
  </si>
  <si>
    <t xml:space="preserve">In a single day  BTC ✓ ZEC ✓ ETH ✓ HYPE green and going  Enjoy!</t>
  </si>
  <si>
    <t xml:space="preserve">https://discord.com/channels/1042855255089623100/1501271173588193290/1533592925319987491</t>
  </si>
  <si>
    <t xml:space="preserve">HYPE still open and in profit</t>
  </si>
  <si>
    <t xml:space="preserve">HYPE green and going</t>
  </si>
  <si>
    <t xml:space="preserve">2026-08-03 01:12:44</t>
  </si>
  <si>
    <t xml:space="preserve">sees a short opportunity on BOME but is not taking it - enough TPs for the day</t>
  </si>
  <si>
    <t xml:space="preserve">I see a short opportunity on BOME but I think we had enough of TPs today so goodnight!</t>
  </si>
  <si>
    <t xml:space="preserve">https://discord.com/channels/1042855255089623100/1501271173588193290/1533598454176288879</t>
  </si>
  <si>
    <t xml:space="preserve">thinks Monday/Monday open pumps, so he waits for BTC to reach 64k+ before shorting</t>
  </si>
  <si>
    <t xml:space="preserve">expects a Monday open pump</t>
  </si>
  <si>
    <t xml:space="preserve">I think Monday/Monday open gonna pump us so I wait for BTC to go to 64+ to short</t>
  </si>
  <si>
    <t xml:space="preserve">54</t>
  </si>
  <si>
    <t xml:space="preserve">setting the HYPE TP at 54 because he is going to sleep; will move it to 55 if he is up and sees strength</t>
  </si>
  <si>
    <t xml:space="preserve">Going to sleep so setting HYPE TP @ 54 Will move to 55 if I'm up and see strength</t>
  </si>
  <si>
    <t xml:space="preserve">2026-08-03 11:25:55</t>
  </si>
  <si>
    <t xml:space="preserve">eyeing a BTC long at 61.8k</t>
  </si>
  <si>
    <t xml:space="preserve">Eyeing a BTC long at 61.8k</t>
  </si>
  <si>
    <t xml:space="preserve">https://discord.com/channels/1042855255089623100/1501271173588193290/1533752767540101160</t>
  </si>
  <si>
    <t xml:space="preserve">the Monday pump did not come but the longs were closed in profit and the ETH short is now in green - time to enjoy the short side</t>
  </si>
  <si>
    <t xml:space="preserve">didn't get the Monday pump</t>
  </si>
  <si>
    <t xml:space="preserve">Didn't get the Monday pump but we closed our longs in profits so no worries infact this is great our ETH short is in green, we enjoyed long time to enjoy short.</t>
  </si>
  <si>
    <t xml:space="preserve">still holding HYPE</t>
  </si>
  <si>
    <t xml:space="preserve">Holding HYPE</t>
  </si>
  <si>
    <t xml:space="preserve">ZEC looks ready for higher; will try to long the 480-482 zone</t>
  </si>
  <si>
    <t xml:space="preserve">ZEC looks ready for higher, will try to long 480-482</t>
  </si>
  <si>
    <t xml:space="preserve">25% for DCA</t>
  </si>
  <si>
    <t xml:space="preserve">long ZEC from CMP 482 in the zone he had flagged</t>
  </si>
  <si>
    <t xml:space="preserve">Long ZEC  Entry: 482 CMP  25% for DCA   TP: 495-510  SL: 460</t>
  </si>
  <si>
    <t xml:space="preserve">https://discord.com/channels/1042855255089623100/1501271173588193290/1533830559099523275</t>
  </si>
  <si>
    <t xml:space="preserve">2026-08-03 16:56:57</t>
  </si>
  <si>
    <t xml:space="preserve">regrets not giving the BTC long publicly because he was expecting 61.8k; card shows his own open 500x long from 62512.3</t>
  </si>
  <si>
    <t xml:space="preserve">Should have given BTC long too but honestly was expecting 61.8k</t>
  </si>
  <si>
    <t xml:space="preserve">https://discord.com/channels/1042855255089623100/1501271173588193290/1533836072679768215</t>
  </si>
  <si>
    <t xml:space="preserve">2026-08-03 17:06:15</t>
  </si>
  <si>
    <t xml:space="preserve">took TP at 53.5, below his 54 target, because HYPE was moving slower than expected</t>
  </si>
  <si>
    <t xml:space="preserve">Took TP on HYPE @ 53.5  Moving slower than expected</t>
  </si>
  <si>
    <t xml:space="preserve">https://discord.com/channels/1042855255089623100/1501271173588193290/1533838416246997053</t>
  </si>
  <si>
    <t xml:space="preserve">54, 55</t>
  </si>
  <si>
    <t xml:space="preserve">still believes HYPE goes 54-55, so followers can take a small TP here and a bigger one at 54-55</t>
  </si>
  <si>
    <t xml:space="preserve">I still believe it goes 54-55 so you can take small TP here and bigger at 54-55</t>
  </si>
  <si>
    <t xml:space="preserve">2026-08-03 17:06:52</t>
  </si>
  <si>
    <t xml:space="preserve">ZEC missed the TP by $1 so he moved the stop to entry (482 from the call) rather than closing</t>
  </si>
  <si>
    <t xml:space="preserve">ZEC missed TP by 1$ moving SL to Entry</t>
  </si>
  <si>
    <t xml:space="preserve">https://discord.com/channels/1042855255089623100/1501271173588193290/1533838570681536705</t>
  </si>
  <si>
    <t xml:space="preserve">the 54 TP he had set hit and he is fully out</t>
  </si>
  <si>
    <t xml:space="preserve">HYPE TP hit @ 54, I'm out</t>
  </si>
  <si>
    <t xml:space="preserve">https://discord.com/channels/1042855255089623100/1501271173588193290/1533848072889565366</t>
  </si>
  <si>
    <t xml:space="preserve">55, 56</t>
  </si>
  <si>
    <t xml:space="preserve">followers can carry on to 55-56 since it can pump, but should take at least 50% here</t>
  </si>
  <si>
    <t xml:space="preserve">You can carry on till 55-56 this can pump but take at least 50% here</t>
  </si>
  <si>
    <t xml:space="preserve">counting the TPs in less than a week of August (cards for SPCX, ZEC, HYPE, ETH and BTC), joking that August is supposed to be a hard month</t>
  </si>
  <si>
    <t xml:space="preserve">August is supposed to be a hard month</t>
  </si>
  <si>
    <t xml:space="preserve">Haven't even been a week and start counting the TPs   And August is supposed to be a hard month right?</t>
  </si>
  <si>
    <t xml:space="preserve">recap card reveals an open SPCX long from 107.82 at +89.38% (last 112.01), not previously called in the server</t>
  </si>
  <si>
    <t xml:space="preserve">Haven't even been a week and start counting the TPs</t>
  </si>
  <si>
    <t xml:space="preserve">2026-08-03 17:51:18</t>
  </si>
  <si>
    <t xml:space="preserve">weekly goal already done so he takes it slow; will short BTC waiting for 64k to break or a rejection from 63.9, and will mention it if he takes it</t>
  </si>
  <si>
    <t xml:space="preserve">My weekly goal has been done, so I'll take it slow until next week.  Yes I'll short BTC waiting for 64k to break or reject from 63.9, I'll mention if I take it.</t>
  </si>
  <si>
    <t xml:space="preserve">https://discord.com/channels/1042855255089623100/1501271173588193290/1533849751332847677</t>
  </si>
  <si>
    <t xml:space="preserve">2026-08-03 23:55:51</t>
  </si>
  <si>
    <t xml:space="preserve">took TP on the SPCX call he had posted on X; the card shows a fill at 115 but he still holds SPCX afterwards, so this was not the full position</t>
  </si>
  <si>
    <t xml:space="preserve">If anyone took my SPCX call from my X I have taken TP here</t>
  </si>
  <si>
    <t xml:space="preserve">https://discord.com/channels/1042855255089623100/1501271173588193290/1533941496242372833</t>
  </si>
  <si>
    <t xml:space="preserve">2026-08-03 23:59:15</t>
  </si>
  <si>
    <t xml:space="preserve">explains that all his trades are posted in the server but some personal or occasional trades will go to X, since he wants to grow it</t>
  </si>
  <si>
    <t xml:space="preserve">Guys, I post all my trades in this server but since I wanna grow my X too some of my personal or once in a while trades will be there.</t>
  </si>
  <si>
    <t xml:space="preserve">https://discord.com/channels/1042855255089623100/1501271173588193290/1533942349351354476</t>
  </si>
  <si>
    <t xml:space="preserve">2026-08-04 14:44:56</t>
  </si>
  <si>
    <t xml:space="preserve">expects BTC to run higher to 64.5, could be 65 too, hence not shorting; more interested in a long but the SL would be too wide from CMP, so he longs only if price comes down a bit; weekly target done so not rushing</t>
  </si>
  <si>
    <t xml:space="preserve">US session should pump</t>
  </si>
  <si>
    <t xml:space="preserve">Expecting BTC to run higher 64.5 could be 65 too hence not shorting  US session should pump, more interested in long but SL would be too wide from CMP, if comes down a bit I long.</t>
  </si>
  <si>
    <t xml:space="preserve">https://discord.com/channels/1042855255089623100/1501271173588193290/1534165240894197810</t>
  </si>
  <si>
    <t xml:space="preserve">long ETH from CMP 1867 with DCA at 1846</t>
  </si>
  <si>
    <t xml:space="preserve">Long ETH  Entry: 1867 CMP  DCA: 1846 (25%)  TP: 1892-1898  SL: 1806</t>
  </si>
  <si>
    <t xml:space="preserve">2026-08-04 17:40:44</t>
  </si>
  <si>
    <t xml:space="preserve">could long BTC too but is not giving the setup because the SL would be far; expects BTC around 64.4k-64.6k</t>
  </si>
  <si>
    <t xml:space="preserve">Can long BTC too but since SL would be far not giving expecting BTC 64.4k-64.6k around</t>
  </si>
  <si>
    <t xml:space="preserve">https://discord.com/channels/1042855255089623100/1501271173588193290/1534209482723299458</t>
  </si>
  <si>
    <t xml:space="preserve">reiterates the ETH target zone of 1892-1898 alongside his BTC expectation</t>
  </si>
  <si>
    <t xml:space="preserve">ETH 1892-1898</t>
  </si>
  <si>
    <t xml:space="preserve">2026-08-04 19:23:53</t>
  </si>
  <si>
    <t xml:space="preserve">SPCX up 15% from the X call; holding into earnings and hoping he is not knocked out at BE</t>
  </si>
  <si>
    <t xml:space="preserve">SPCX up 15% from the X call! Excited for the earnings I just hope they don't kick me out at BE</t>
  </si>
  <si>
    <t xml:space="preserve">https://discord.com/channels/1042855255089623100/1501271173588193290/1534235441216229496</t>
  </si>
  <si>
    <t xml:space="preserve">2026-08-04 22:19:33</t>
  </si>
  <si>
    <t xml:space="preserve">took another 20% off after a 20% pump, still holding the rest</t>
  </si>
  <si>
    <t xml:space="preserve">Took more 20% after a 20% pump</t>
  </si>
  <si>
    <t xml:space="preserve">https://discord.com/channels/1042855255089623100/1501271173588193290/1534279649415397508</t>
  </si>
  <si>
    <t xml:space="preserve">2026-08-05 03:18:55</t>
  </si>
  <si>
    <t xml:space="preserve">BTC reached the 64.5k target he had given the day before</t>
  </si>
  <si>
    <t xml:space="preserve">BTC reached the given target of 64.5k</t>
  </si>
  <si>
    <t xml:space="preserve">https://discord.com/channels/1042855255089623100/1501271173588193290/1534354986287370320</t>
  </si>
  <si>
    <t xml:space="preserve">at BE if someone wants to exit, he will take the risk himself</t>
  </si>
  <si>
    <t xml:space="preserve">ETH not looking good - BTC rejected from the daily EMA and resistance while ETH barely moved; position at BE so others can exit, he holds and plans to DCA at 1946 (his number verbatim, almost certainly a typo for 1846, the DCA level in the call)</t>
  </si>
  <si>
    <t xml:space="preserve">BTC rejected from daily ema and resistance</t>
  </si>
  <si>
    <t xml:space="preserve">ETH not looking good BTC rejected from daily ema and resistance and ETH barely moved, at BE if someone wants to exit, I'll take the risk, DCA @ 1946.</t>
  </si>
  <si>
    <t xml:space="preserve">will keep 30% for DCA; wide SL so manage risk</t>
  </si>
  <si>
    <t xml:space="preserve">shorted gold from 4162 with a wide stop at 4269</t>
  </si>
  <si>
    <t xml:space="preserve">Shorted gold from 4162, will keep 30% for DCA   SL @ 4269  Wide SL so manage risk</t>
  </si>
  <si>
    <t xml:space="preserve">2026-08-05 14:54:52</t>
  </si>
  <si>
    <t xml:space="preserve">adds the reserved 30% to the gold short at 4209</t>
  </si>
  <si>
    <t xml:space="preserve">DCA @ 4209 (30%)</t>
  </si>
  <si>
    <t xml:space="preserve">https://discord.com/channels/1042855255089623100/1501271173588193290/1534530126664958122</t>
  </si>
  <si>
    <t xml:space="preserve">stop widened from 4269 to 4280 after the DCA</t>
  </si>
  <si>
    <t xml:space="preserve">SL @ 4280</t>
  </si>
  <si>
    <t xml:space="preserve">closed the ETH long in small profits at 1882 rather than waiting for the 1892 target</t>
  </si>
  <si>
    <t xml:space="preserve">I have closed ETH in small profits @ 1882</t>
  </si>
  <si>
    <t xml:space="preserve">https://discord.com/channels/1042855255089623100/1501271173588193290/1534539802131697687</t>
  </si>
  <si>
    <t xml:space="preserve">for followers who want to keep holding: move SL to entry (1867 from the call)</t>
  </si>
  <si>
    <t xml:space="preserve">move SL to entry</t>
  </si>
  <si>
    <t xml:space="preserve">1892</t>
  </si>
  <si>
    <t xml:space="preserve">for followers still holding: TP at 1892</t>
  </si>
  <si>
    <t xml:space="preserve">TP @ 1892 if you want to hold</t>
  </si>
  <si>
    <t xml:space="preserve">the BTC target he had given was hit at 64.5k; some followers longed BTC along with ETH</t>
  </si>
  <si>
    <t xml:space="preserve">BTC target hit as well @64.5 some of you longed with ETH</t>
  </si>
  <si>
    <t xml:space="preserve">https://discord.com/channels/1042855255089623100/1501271173588193290/1534541098058383451</t>
  </si>
  <si>
    <t xml:space="preserve">average entry on the gold short is now 4182 after the DCA</t>
  </si>
  <si>
    <t xml:space="preserve">4182 avg of GOLD now</t>
  </si>
  <si>
    <t xml:space="preserve">wants to short HYPE at the current 57.3 but thinks 58.5-59 is gettable, so he waits for the higher zone</t>
  </si>
  <si>
    <t xml:space="preserve">Want to enter HYPE short here @ 57.3 but I think we can get 58.5-59</t>
  </si>
  <si>
    <t xml:space="preserve">ZEC missed the TP by about half a dollar, came back and hit his breakeven stop, then went on to hit both TPs; the chart he posted shows the 495 line and a 494.48 candle high with EMA-200 at 478</t>
  </si>
  <si>
    <t xml:space="preserve">ZEC missed TP by 0.5$ cents, hit BE and hit both TPs</t>
  </si>
  <si>
    <t xml:space="preserve">https://discord.com/channels/1042855255089623100/1501271173588193290/1534547559215923331</t>
  </si>
  <si>
    <t xml:space="preserve">2026-08-05 16:05:17</t>
  </si>
  <si>
    <t xml:space="preserve">closed BNB too soon - it never hit the SL and went on to hit the TP (ticker last 599.41, 24h high 605.50); hard luck, but still 9 TPs in under 9 days</t>
  </si>
  <si>
    <t xml:space="preserve">Likewise closed BNB too soon, never hit SL and hit went TP  Not to worry we still got 9 TPs and it hasn't even 9 days but some hard luck</t>
  </si>
  <si>
    <t xml:space="preserve">https://discord.com/channels/1042855255089623100/1501271173588193290/1534547846572015678</t>
  </si>
  <si>
    <t xml:space="preserve">new ETH long from CMP 1870, no TP given at call time</t>
  </si>
  <si>
    <t xml:space="preserve">Long ETH  Entry: 1870 CMP   Leave 30% for DCA   SL: 1830</t>
  </si>
  <si>
    <t xml:space="preserve">2026-08-05 17:30:56</t>
  </si>
  <si>
    <t xml:space="preserve">ETH could not even reach the last daily high so he DCAs at 1852; expects the 4h 200 EMA to bounce price</t>
  </si>
  <si>
    <t xml:space="preserve">ETH couldn't even reach last daily high, DCA @ 1852   4h 200 ema will bounce us</t>
  </si>
  <si>
    <t xml:space="preserve">https://discord.com/channels/1042855255089623100/1501271173588193290/1534569402022756362</t>
  </si>
  <si>
    <t xml:space="preserve">2026-08-05 17:32:49</t>
  </si>
  <si>
    <t xml:space="preserve">corrects himself - the 1852 DCA level in the previous message was a typo; he does not give the corrected level</t>
  </si>
  <si>
    <t xml:space="preserve">1852 was a typo</t>
  </si>
  <si>
    <t xml:space="preserve">https://discord.com/channels/1042855255089623100/1501271173588193290/1534569876901990410</t>
  </si>
  <si>
    <t xml:space="preserve">closing the ETH long here, just under the 1892 area</t>
  </si>
  <si>
    <t xml:space="preserve">Closing ETH here</t>
  </si>
  <si>
    <t xml:space="preserve">https://discord.com/channels/1042855255089623100/1501271173588193290/1534597598177005659</t>
  </si>
  <si>
    <t xml:space="preserve">2026-08-05 19:24:22</t>
  </si>
  <si>
    <t xml:space="preserve">mindset: while others complain about chop he still books gains - as long as it is green there is no problem</t>
  </si>
  <si>
    <t xml:space="preserve">choppy market</t>
  </si>
  <si>
    <t xml:space="preserve">When others complain about chop we gain even if it's little, as long as it's green I don't see a problem</t>
  </si>
  <si>
    <t xml:space="preserve">https://discord.com/channels/1042855255089623100/1501271173588193290/1534597948669689986</t>
  </si>
  <si>
    <t xml:space="preserve">Half risk trade since a manual SL, use small margin</t>
  </si>
  <si>
    <t xml:space="preserve">short ETH from CMP 1920; SL is a 4h close above 1950 (manual), and he skips the notify tag because he does not think the trade is important enough</t>
  </si>
  <si>
    <t xml:space="preserve">Short ETH   Entry: 1920 CMP   SL: 4h above 1950   Half risk trade since a manual SL, use small margin. Not using tag since I think this trade isn't important enough.</t>
  </si>
  <si>
    <t xml:space="preserve">gold stopped out; it came near BE after the DCA but he held on hoping for some green (stop was 4280 from the earlier update, not restated here)</t>
  </si>
  <si>
    <t xml:space="preserve">Sorry guys, GOLD stopped, came near BE after DCA but thought we would get some green.</t>
  </si>
  <si>
    <t xml:space="preserve">https://discord.com/channels/1042855255089623100/1501271173588193290/1534707507283492948</t>
  </si>
  <si>
    <t xml:space="preserve">still expects gold under 4k again, but only after a move to 4350-4400 first</t>
  </si>
  <si>
    <t xml:space="preserve">I expect gold under 4k again but after 4350-4400.</t>
  </si>
  <si>
    <t xml:space="preserve">will keep some for DCA</t>
  </si>
  <si>
    <t xml:space="preserve">shorted BTC the previous night alongside the ETH short; SL can be 66k</t>
  </si>
  <si>
    <t xml:space="preserve">I also shorted BTC last night with ETH  SL can be 66k, will keep some for DCA</t>
  </si>
  <si>
    <t xml:space="preserve">still in the ETH short; it went nearly 1R and he did not book</t>
  </si>
  <si>
    <t xml:space="preserve">Hey guys still in ETH, went nearly 1R didn't book</t>
  </si>
  <si>
    <t xml:space="preserve">closed the ETH short at 1892 for a full 1R</t>
  </si>
  <si>
    <t xml:space="preserve">Closed ETH @ 1892, 1R done</t>
  </si>
  <si>
    <t xml:space="preserve">https://discord.com/channels/1042855255089623100/1501271173588193290/1534915224547889192</t>
  </si>
  <si>
    <t xml:space="preserve">1885</t>
  </si>
  <si>
    <t xml:space="preserve">followers can keep 50% and let it run down to 1885</t>
  </si>
  <si>
    <t xml:space="preserve">You can keep 50% and let it run to 1885</t>
  </si>
  <si>
    <t xml:space="preserve">2026-08-06 16:48:14</t>
  </si>
  <si>
    <t xml:space="preserve">63500, 63800, 63900</t>
  </si>
  <si>
    <t xml:space="preserve">followers can set TP down as far as 63.5k on the BTC short; he will take profit somewhere around 63.8-63.9k</t>
  </si>
  <si>
    <t xml:space="preserve">BTC you can set TP till 63.5k, I'll TP somewhere around 63.8-63.9</t>
  </si>
  <si>
    <t xml:space="preserve">https://discord.com/channels/1042855255089623100/1501271173588193290/1534921045834993864</t>
  </si>
  <si>
    <t xml:space="preserve">wanted to short gold from 4350 but price reversed before reaching it</t>
  </si>
  <si>
    <t xml:space="preserve">Gold wanted to short from 4350 reversed earlier</t>
  </si>
  <si>
    <t xml:space="preserve">his 58 short limit on HYPE never filled - price reversed from 53.999</t>
  </si>
  <si>
    <t xml:space="preserve">I had a HYPE order at 58 for short Reversed from 53.999</t>
  </si>
  <si>
    <t xml:space="preserve">2026-08-06 18:12:03</t>
  </si>
  <si>
    <t xml:space="preserve">restates the BTC short as still valid with full levels; SL is a 4h close above 66k or a hard SL at 66.3k</t>
  </si>
  <si>
    <t xml:space="preserve">BTC short still valid  Entry: 64.8k  DCA: 65390  TP for now is 63900  SL: 4h close above 66k or hard SL @ 66.3k</t>
  </si>
  <si>
    <t xml:space="preserve">https://discord.com/channels/1042855255089623100/1501271173588193290/1534942136913367171</t>
  </si>
  <si>
    <t xml:space="preserve">2026-08-06 22:53:05</t>
  </si>
  <si>
    <t xml:space="preserve">63300</t>
  </si>
  <si>
    <t xml:space="preserve">adds 63.3k as the second TP on the BTC short</t>
  </si>
  <si>
    <t xml:space="preserve">63.3k 2nd TP</t>
  </si>
  <si>
    <t xml:space="preserve">https://discord.com/channels/1042855255089623100/1501271173588193290/1535012861317746849</t>
  </si>
  <si>
    <t xml:space="preserve">Risky, shitcoin, please go low or half!</t>
  </si>
  <si>
    <t xml:space="preserve">gamble trade - long TRADOOR from CMP with a wide stop, sized low</t>
  </si>
  <si>
    <t xml:space="preserve">Gambe trade  Long TRADOOR  Entry: 0.72 CMP   TPs: 0.81-0.92  SL: 0.605  Risky, shitcoin, please go low or half!</t>
  </si>
  <si>
    <t xml:space="preserve">2026-08-06 23:33:30</t>
  </si>
  <si>
    <t xml:space="preserve">but keep it low</t>
  </si>
  <si>
    <t xml:space="preserve">after an instant 1min pump, a small entry can be taken at 0.73 with a DCA at 0.7</t>
  </si>
  <si>
    <t xml:space="preserve">Check 1min instant pump but you can take small entry at 0.73 and DCA at 0.7 but keep it low</t>
  </si>
  <si>
    <t xml:space="preserve">https://discord.com/channels/1042855255089623100/1501271173588193290/1535023032291164161</t>
  </si>
  <si>
    <t xml:space="preserve">TRADOOR stopped out after showing good strength at the beginning; it was a gamble on a shitcoin anyway (SL 0.605 from the call, not restated)</t>
  </si>
  <si>
    <t xml:space="preserve">TRADOOR stopped after showing good strength at the beginning, shitcoins  Was a gamble anyway</t>
  </si>
  <si>
    <t xml:space="preserve">https://discord.com/channels/1042855255089623100/1501271173588193290/1535213440111616070</t>
  </si>
  <si>
    <t xml:space="preserve">2026-08-07 12:11:09</t>
  </si>
  <si>
    <t xml:space="preserve">BTC does not want to go down: followers can exit in small profits and re-enter the short around 65.3-65.8k; he is still holding and thinks it goes 65.6-66k before coming down</t>
  </si>
  <si>
    <t xml:space="preserve">BTC doesn't want to go down, you can exit in small profits and enter around 65.3-65.8k  I'm holding still but I think this goes 65.6-66k before coming down</t>
  </si>
  <si>
    <t xml:space="preserve">https://discord.com/channels/1042855255089623100/1501271173588193290/1535213704109494392</t>
  </si>
  <si>
    <t xml:space="preserve">2026-08-07 12:32:02</t>
  </si>
  <si>
    <t xml:space="preserve">63500</t>
  </si>
  <si>
    <t xml:space="preserve">25% at each DCA (65.4k and 65.8k); quite wide SL so manage risk</t>
  </si>
  <si>
    <t xml:space="preserve">alternative BTC short setup with two DCAs (65.4k and 65.8k) and a much wider stop - a 4h close above 67k or hard SL 67.8k - to survive a weekend pump; TP 63.5k or lower</t>
  </si>
  <si>
    <t xml:space="preserve">weekend pump / weekend fkery</t>
  </si>
  <si>
    <t xml:space="preserve">An alternative BTC setup would be this to save yourself from weekend pump  Entry: 64.8k DCA: 65.4k (25%) DCA: 65.8k (25%)  TP: 63.5k or lower  SL: 4h above 67k or hard SL 67.8k  Quite wide a SL but can save from the weekend fkery.</t>
  </si>
  <si>
    <t xml:space="preserve">https://discord.com/channels/1042855255089623100/1501271173588193290/1535218959203176458</t>
  </si>
  <si>
    <t xml:space="preserve">he is keeping his own short with 66.3k as the SL and will short again if he gets stopped out</t>
  </si>
  <si>
    <t xml:space="preserve">I'm holding with 66.3k as SL and I'll short again if I get stopped out</t>
  </si>
  <si>
    <t xml:space="preserve">short THETA from CMP with the daily high on your exchange (0.1375) as stop</t>
  </si>
  <si>
    <t xml:space="preserve">Short THETA  Entry: 0.134 CMP   TPs: 0.1322-0.1311  SL: 0.1375 (daily high on your exchange)  Half risk trade</t>
  </si>
  <si>
    <t xml:space="preserve">2026-08-07 17:10:18</t>
  </si>
  <si>
    <t xml:space="preserve">anyone who re-entered the short from 65.3k sniped it, so move SL to that entry</t>
  </si>
  <si>
    <t xml:space="preserve">If anyone entered from 65.3k you sniped!  SL to entry it book 50%</t>
  </si>
  <si>
    <t xml:space="preserve">https://discord.com/channels/1042855255089623100/1501271173588193290/1535288987659280535</t>
  </si>
  <si>
    <t xml:space="preserve">book 50% on the 65.3k re-entry short</t>
  </si>
  <si>
    <t xml:space="preserve">SL to entry it book 50%</t>
  </si>
  <si>
    <t xml:space="preserve">new ETH short at CMP 1920, targets 1900-1880, SL 1950, 30% held back for DCA</t>
  </si>
  <si>
    <t xml:space="preserve">Short ETH
Entry: 1920 CMP
Keep 30% for DCA
TP: 1900-1880
SL: 1950</t>
  </si>
  <si>
    <t xml:space="preserve">2026-08-07 19:27:16</t>
  </si>
  <si>
    <t xml:space="preserve">price dumped from 1920 to 1913 on the 1m while he was typing, so enter 50% at CMP and DCA the other 50% at 1930</t>
  </si>
  <si>
    <t xml:space="preserve">Again dumped while typing can check on 1m candle dumped from 1920 to 1913, you can enter 50% here and do 50% DCA @ 1930</t>
  </si>
  <si>
    <t xml:space="preserve">https://discord.com/channels/1042855255089623100/1501271173588193290/1535323454507720835</t>
  </si>
  <si>
    <t xml:space="preserve">2026-08-07 21:16:32</t>
  </si>
  <si>
    <t xml:space="preserve">BTC keeps bouncing off the 15m EMA 200; his BTC TP was missed by $200 the previous night, hopes targets fill before a pumpy weekend</t>
  </si>
  <si>
    <t xml:space="preserve">weekend looks pumpy, 66-67k</t>
  </si>
  <si>
    <t xml:space="preserve">PA is super frustrating, BTC ETH both keep bouncing from EMA 200 on 15m
BTC TP last night missed by 200$
Weekend looks pumpy 66-67 I just hope we can get the targets before</t>
  </si>
  <si>
    <t xml:space="preserve">https://discord.com/channels/1042855255089623100/1501271173588193290/1535350953924894850</t>
  </si>
  <si>
    <t xml:space="preserve">ETH also bouncing off the 15m EMA 200; its TP was missed by $3</t>
  </si>
  <si>
    <t xml:space="preserve">PA is super frustrating, BTC ETH both keep bouncing from EMA 200 on 15m
ETH TP missed by 3$</t>
  </si>
  <si>
    <t xml:space="preserve">2026-08-07 21:21:52</t>
  </si>
  <si>
    <t xml:space="preserve">clarifies that anyone who took the 65.3k re-entry should have had TP at 64.6k, as he mentioned earlier</t>
  </si>
  <si>
    <t xml:space="preserve">If you entered from 65.3k, TP should have been 64.6k, I already mentioned earlier.</t>
  </si>
  <si>
    <t xml:space="preserve">https://discord.com/channels/1042855255089623100/1501271173588193290/1535352293510221844</t>
  </si>
  <si>
    <t xml:space="preserve">2026-08-09 14:31:29</t>
  </si>
  <si>
    <t xml:space="preserve">if anyone wants to exit you can rn otherwise reduce risk to half</t>
  </si>
  <si>
    <t xml:space="preserve">BTC short around breakeven; TP missed by $200 and reversed; exit now or halve risk, he is still holding</t>
  </si>
  <si>
    <t xml:space="preserve">Market looks pumpy, THETA and BTC around BE and ETH in small profits if anyone wants to exit you can rn otherwise reduce risk to half.
Sadly THETA missed TP by 0.0002, ETH by 2$ and BTC by 200$, all almost TP and reversed</t>
  </si>
  <si>
    <t xml:space="preserve">https://discord.com/channels/1042855255089623100/1501271173588193290/1535973795909607434</t>
  </si>
  <si>
    <t xml:space="preserve">ETH short in small profit; TP missed by $2 and reversed; exit now or halve risk, he is still holding</t>
  </si>
  <si>
    <t xml:space="preserve">THETA sitting around breakeven; it missed TP by 0.0002 and reversed; members can exit now or halve risk, he is holding everything though he calls that stupid</t>
  </si>
  <si>
    <t xml:space="preserve">Market looks pumpy, THETA and BTC around BE and ETH in small profits if anyone wants to exit you can rn otherwise reduce risk to half.
I'm holding all but honestly I think that's stupid.
Sadly THETA missed TP by 0.0002, ETH by 2$ and BTC by 200$, all almost TP and reversed</t>
  </si>
  <si>
    <t xml:space="preserve">2026-08-10 12:49:17</t>
  </si>
  <si>
    <t xml:space="preserve">BTC short still valid, held since Thursday</t>
  </si>
  <si>
    <t xml:space="preserve">BTC ETH short valid I'm still holding since Thursday</t>
  </si>
  <si>
    <t xml:space="preserve">https://discord.com/channels/1042855255089623100/1501271173588193290/1536310460754698323</t>
  </si>
  <si>
    <t xml:space="preserve">ETH short still valid, held since Thursday</t>
  </si>
  <si>
    <t xml:space="preserve">2026-08-10 15:53:37</t>
  </si>
  <si>
    <t xml:space="preserve">frustration at random price action, no trade content</t>
  </si>
  <si>
    <t xml:space="preserve">price action so random</t>
  </si>
  <si>
    <t xml:space="preserve">PA so random it's giving me headache in my kidneys</t>
  </si>
  <si>
    <t xml:space="preserve">https://discord.com/channels/1042855255089623100/1501271173588193290/1536356850973413526</t>
  </si>
  <si>
    <t xml:space="preserve">2026-08-10 16:04:46</t>
  </si>
  <si>
    <t xml:space="preserve">BTC short DCA filled at 65390</t>
  </si>
  <si>
    <t xml:space="preserve">Just for your knowledge
BTC filled DCA @ 65390</t>
  </si>
  <si>
    <t xml:space="preserve">https://discord.com/channels/1042855255089623100/1501271173588193290/1536359656115408896</t>
  </si>
  <si>
    <t xml:space="preserve">64400, 64500</t>
  </si>
  <si>
    <t xml:space="preserve">now looking to close BTC around 64.4-64.5k because the DCA is filled and price keeps bouncing, so a smaller move is still a good TP</t>
  </si>
  <si>
    <t xml:space="preserve">So if we get TP both should be a good TP, looking to close BTC somewhere around 64.4-64.5 and ETH around 1900-1905 since DCA is filled and they keep bouncing</t>
  </si>
  <si>
    <t xml:space="preserve">ETH short DCA filled at 1930</t>
  </si>
  <si>
    <t xml:space="preserve">BTC filled DCA @ 65390
ETH @ 1930</t>
  </si>
  <si>
    <t xml:space="preserve">1900, 1905</t>
  </si>
  <si>
    <t xml:space="preserve">now looking to close ETH around 1900-1905 (tighter than the original 1900-1880) because the DCA is filled and price keeps bouncing</t>
  </si>
  <si>
    <t xml:space="preserve">final exit of the ETH short held since 7 Aug; share card shows avg entry 1922.78, avg close 1907.31, +241.45% ROI at 300x</t>
  </si>
  <si>
    <t xml:space="preserve">Closed ETH finally</t>
  </si>
  <si>
    <t xml:space="preserve">https://discord.com/channels/1042855255089623100/1501271173588193290/1536360885696856125</t>
  </si>
  <si>
    <t xml:space="preserve">Half risk on shitcoins</t>
  </si>
  <si>
    <t xml:space="preserve">new GRT short at CMP 0.0146; soft SL is a 4h close above 0.0148, hard SL 0.0149; no target given at the call</t>
  </si>
  <si>
    <t xml:space="preserve">Short GRT
Entry: 0.0146 CMP
SL: 4h close above 0.0148 or hard SL @ 0.0149
Half risk on shitcoins</t>
  </si>
  <si>
    <t xml:space="preserve">2026-08-10 16:59:01</t>
  </si>
  <si>
    <t xml:space="preserve">the 64.4-64.5k target he flagged earlier was reached, so 75% booked here and 25% left running for 64k; card shows entry 65024.1, close 64504.5, +119.86% at 150x</t>
  </si>
  <si>
    <t xml:space="preserve">Target reached that I mentioned earlier 75% closed here, 25% leaving for 64k</t>
  </si>
  <si>
    <t xml:space="preserve">https://discord.com/channels/1042855255089623100/1501271173588193290/1536373310953365534</t>
  </si>
  <si>
    <t xml:space="preserve">took profit on GRT for 0.7R measured on the hard SL, 1R measured against the soft (4h close) SL; card shows entry 0.01457, exit 0.01443, +48.04%</t>
  </si>
  <si>
    <t xml:space="preserve">TP taken for a 0.7R, 1R with soft SL</t>
  </si>
  <si>
    <t xml:space="preserve">https://discord.com/channels/1042855255089623100/1501271173588193290/1536389375838130306</t>
  </si>
  <si>
    <t xml:space="preserve">2026-08-10 18:03:13</t>
  </si>
  <si>
    <t xml:space="preserve">summary of the day: BTC, ETH and GRT all closed in profit, all of them with the DCA filled</t>
  </si>
  <si>
    <t xml:space="preserve">BTC
ETH
GRT
All closed in profits with DCA</t>
  </si>
  <si>
    <t xml:space="preserve">https://discord.com/channels/1042855255089623100/1501271173588193290/1536389467340808263</t>
  </si>
  <si>
    <t xml:space="preserve">2026-08-10 18:05:07</t>
  </si>
  <si>
    <t xml:space="preserve">63990</t>
  </si>
  <si>
    <t xml:space="preserve">exact target for the small remaining part of the BTC short (the 25% runner left from MSG 921), tightened from 64k to 63990</t>
  </si>
  <si>
    <t xml:space="preserve">If you holding small part of BTC, TP @ 63990</t>
  </si>
  <si>
    <t xml:space="preserve">https://discord.com/channels/1042855255089623100/1501271173588193290/1536389942698311741</t>
  </si>
  <si>
    <t xml:space="preserve">2026-08-10 18:20:21</t>
  </si>
  <si>
    <t xml:space="preserve">the ETH short setup reached its full TP (final target 1880); he had exited early at 1905 because he only scalps, but says holders could keep it</t>
  </si>
  <si>
    <t xml:space="preserve">Full TP on this setup, I closed early at 1905 but you can always hold, I scalp only.</t>
  </si>
  <si>
    <t xml:space="preserve">https://discord.com/channels/1042855255089623100/1501271173588193290/1536393779962060922</t>
  </si>
  <si>
    <t xml:space="preserve">full take-profit on the 65k BTC short taken at 64060, closing the remaining 25% runner (slightly above the 63990 target)</t>
  </si>
  <si>
    <t xml:space="preserve">65k Short BTC full TP taken here @ 64060</t>
  </si>
  <si>
    <t xml:space="preserve">https://discord.com/channels/1042855255089623100/1501271173588193290/1536409116199882802</t>
  </si>
  <si>
    <t xml:space="preserve">flipping to a BTC long at CMP 63960 right after closing the short, SL 62.5k, no target given at the call</t>
  </si>
  <si>
    <t xml:space="preserve">Long BTC
Entry: 63960 CMP
SL: 62.5k</t>
  </si>
  <si>
    <t xml:space="preserve">2026-08-10 19:24:06</t>
  </si>
  <si>
    <t xml:space="preserve">advises entering the BTC long a bit lower because he suspects they push price to 61.5k before going higher, or otherwise keeping the SL manual on a 4h close</t>
  </si>
  <si>
    <t xml:space="preserve">Go a bit lower on this one I have a feeling they might send it to 61.5k before higher or keep SL manual 4h closing</t>
  </si>
  <si>
    <t xml:space="preserve">https://discord.com/channels/1042855255089623100/1501271173588193290/1536409820557484142</t>
  </si>
  <si>
    <t xml:space="preserve">2026-08-10 19:28:58</t>
  </si>
  <si>
    <t xml:space="preserve">clarifies the SL stays 62.5k; he only thinks 61.5k is where an HTF bounce comes, worth a 500-700$ move, and he usually targets 0.5R on scalps</t>
  </si>
  <si>
    <t xml:space="preserve">HTF</t>
  </si>
  <si>
    <t xml:space="preserve">SL is 62.5k I'm just saying I think 61.5k we go for a bounce on HTF
From scalping point of view we can get 500-700$ bounce from this region, I usually target 0.5R for scalps</t>
  </si>
  <si>
    <t xml:space="preserve">https://discord.com/channels/1042855255089623100/1501271173588193290/1536411047064510545</t>
  </si>
  <si>
    <t xml:space="preserve">optional 25% DCA on the BTC long at 63523</t>
  </si>
  <si>
    <t xml:space="preserve">25 DCA @ 63523 (optional)</t>
  </si>
  <si>
    <t xml:space="preserve">new ETH long at CMP 1871 with DCA 1856, targets 1890-1910, SL 1842</t>
  </si>
  <si>
    <t xml:space="preserve">Long ETH
Entry: 1871 CMP
DCA: 1856
TP: 1890-1910
SL: 1842</t>
  </si>
  <si>
    <t xml:space="preserve">2026-08-10 22:01:09</t>
  </si>
  <si>
    <t xml:space="preserve">Recommended Margin for both trades is half</t>
  </si>
  <si>
    <t xml:space="preserve">half margin recommended on the two open longs (BTC and ETH)</t>
  </si>
  <si>
    <t xml:space="preserve">https://discord.com/channels/1042855255089623100/1501271173588193290/1536449342863581315</t>
  </si>
  <si>
    <t xml:space="preserve">ETH long hit its first target (1890); card shows entry 1872.74, exit 1890.16, +186.03%, position closed</t>
  </si>
  <si>
    <t xml:space="preserve">ETH TP hit</t>
  </si>
  <si>
    <t xml:space="preserve">https://discord.com/channels/1042855255089623100/1501271173588193290/1536692076413194301</t>
  </si>
  <si>
    <t xml:space="preserve">posted an X link showing a closed SOL short share card (entry 77.23, close 75.23, +262.87% at 100x); the trade itself was never called in the channel</t>
  </si>
  <si>
    <t xml:space="preserve">https://x.com/i/status/2087193481961963834</t>
  </si>
  <si>
    <t xml:space="preserve">believes the BTC bottom is near or before Oct-Nov, so he has started a public spot accumulation plan on X as a guide for spot buyers; not trying to buy the bottom, NFA</t>
  </si>
  <si>
    <t xml:space="preserve">pre bull-run accumulation, bottom expected sooner than Oct-Nov</t>
  </si>
  <si>
    <t xml:space="preserve">A lot of people ask me when to buy BTC for the bull run, IDK when but I personally believe the bottom is near or sooner than Oct - Nov for that I have started a public accumulation plan on my X.
If anyone's interested in spot buying and don't know when to, they can use this as a guide, no I'm not trying to buy bottom just accumulating for the next run and yeah as they say NFA</t>
  </si>
  <si>
    <t xml:space="preserve">spot (not futures) BTC accumulation started; share card shows average buy 63,500 at +0%</t>
  </si>
  <si>
    <t xml:space="preserve">I have started a public accumulation plan on my X.</t>
  </si>
  <si>
    <t xml:space="preserve">bought HOLO in spot at 0.084 earlier; says it is still buyable at CMP 0.088</t>
  </si>
  <si>
    <t xml:space="preserve">Bought some spot HOLO @ 0.084 earlier, can still buy @ CMP 0.088</t>
  </si>
  <si>
    <t xml:space="preserve">2026-08-12 06:35:43</t>
  </si>
  <si>
    <t xml:space="preserve">HOLO pumped 25% since the spot buy; no fixed target, take profit wherever you are happy</t>
  </si>
  <si>
    <t xml:space="preserve">HOLO pumped 25%, TP wherever happy</t>
  </si>
  <si>
    <t xml:space="preserve">https://discord.com/channels/1042855255089623100/1501271173588193290/1536941225045790772</t>
  </si>
  <si>
    <t xml:space="preserve">2026-08-12 15:15:55</t>
  </si>
  <si>
    <t xml:space="preserve">BTC long DCA (the optional 63523 add) filled, average entry now around 63.8k, 63.9k for anyone who did not DCA; card shows the position open at +91.10%</t>
  </si>
  <si>
    <t xml:space="preserve">BTC DCA filled entry is around 63.8k
Even if you didn't DCA 63.9k</t>
  </si>
  <si>
    <t xml:space="preserve">https://discord.com/channels/1042855255089623100/1501271173588193290/1537072140657102968</t>
  </si>
  <si>
    <t xml:space="preserve">64500, 64600</t>
  </si>
  <si>
    <t xml:space="preserve">If anyone wants to exit before CPI they can safely</t>
  </si>
  <si>
    <t xml:space="preserve">targeting 64.5-64.6k for now, allows for a pump up to 65k and will exit when he sees rejection; anyone uncomfortable can exit safely before CPI</t>
  </si>
  <si>
    <t xml:space="preserve">CPI due</t>
  </si>
  <si>
    <t xml:space="preserve">I'm targeting 64.5-64.6k for now can pump upto 65, will exit when I see rejection
If anyone wants to exit before CPI they can safely</t>
  </si>
  <si>
    <t xml:space="preserve">2026-08-12 21:21:47</t>
  </si>
  <si>
    <t xml:space="preserve">64600, 64500</t>
  </si>
  <si>
    <t xml:space="preserve">two near-misses in a row: TP at 64.6k and price reversed from 64550, then TP at 64.5k and price reversed from 64450, despite a slightly bullish CPI</t>
  </si>
  <si>
    <t xml:space="preserve">CPI was slightly bullish</t>
  </si>
  <si>
    <t xml:space="preserve">Yesterday I set BTC TP at 64.6k reversed from 64550
Today I did 64.5k reversed from 64450
CPI was slightly bullish as well but it is what it is</t>
  </si>
  <si>
    <t xml:space="preserve">https://discord.com/channels/1042855255089623100/1501271173588193290/1537164213472993371</t>
  </si>
  <si>
    <t xml:space="preserve">new HYPE short at CMP 58.36 with DCA 59.11; soft SL is a 4h close above 60, hard SL 60.5; no target given at the call</t>
  </si>
  <si>
    <t xml:space="preserve">Short HYPE
Entry: 58.36 CMP
DCA: 59.11
SL: 4h close above 60 or hard SL @ 60.5</t>
  </si>
  <si>
    <t xml:space="preserve">2026-08-13 18:30:05</t>
  </si>
  <si>
    <t xml:space="preserve">HYPE dumped instantly after the call, so either leave a limit order at the entry or enter at CMP</t>
  </si>
  <si>
    <t xml:space="preserve">Dumped instantly you can set order or enter at CMP</t>
  </si>
  <si>
    <t xml:space="preserve">https://discord.com/channels/1042855255089623100/1501271173588193290/1537483392365494483</t>
  </si>
  <si>
    <t xml:space="preserve">2026-08-13 19:07:21</t>
  </si>
  <si>
    <t xml:space="preserve">clarifies the DCA level (59.11) is the recommended entry; he is in at CMP 50-50 like anyone who followed, and is at least in profit already</t>
  </si>
  <si>
    <t xml:space="preserve">BTW DCA is recommended entry, if you're entered at CMP like me 50-50% at least in profits so mentioning rn</t>
  </si>
  <si>
    <t xml:space="preserve">https://discord.com/channels/1042855255089623100/1501271173588193290/1537492767758876713</t>
  </si>
  <si>
    <t xml:space="preserve">2026-08-14 09:38:25</t>
  </si>
  <si>
    <t xml:space="preserve">first target given for the HYPE short: take profit at 56.5</t>
  </si>
  <si>
    <t xml:space="preserve">Take TP @ 56.5 on HYPE</t>
  </si>
  <si>
    <t xml:space="preserve">https://discord.com/channels/1042855255089623100/1501271173588193290/1537711980310302871</t>
  </si>
  <si>
    <t xml:space="preserve">HYPE short reached the 56.5 target; card shows entry 58.35, exit 56.503, +158.26%, closed</t>
  </si>
  <si>
    <t xml:space="preserve">TP hit for HYPE</t>
  </si>
  <si>
    <t xml:space="preserve">https://discord.com/channels/1042855255089623100/1501271173588193290/1537742577057538099</t>
  </si>
  <si>
    <t xml:space="preserve">2026-08-14 12:02:57</t>
  </si>
  <si>
    <t xml:space="preserve">switching the BTC long SL from a hard 62.5k to manual: will only accept it on a 4h candle below 62.5k, because 62.6k is good support and he expects a bounce to 64k+ over the weekend</t>
  </si>
  <si>
    <t xml:space="preserve">weekend, expects 64k+ bounce</t>
  </si>
  <si>
    <t xml:space="preserve">Keeping BTC SL manual for now, will wait for 4h candle below 62.5
62.6k is a good support we should bounce 64k+ on weekend</t>
  </si>
  <si>
    <t xml:space="preserve">https://discord.com/channels/1042855255089623100/1501271173588193290/1537748353452871713</t>
  </si>
  <si>
    <t xml:space="preserve">new ZEC long at CMP 486, target 499, SL 465, 30% held back for DCA</t>
  </si>
  <si>
    <t xml:space="preserve">Long ZEC
Entry: 486 CMP
TP: 499
SL: 465
Keep 30% for DCA</t>
  </si>
  <si>
    <t xml:space="preserve">Slow and risky trade so your choice if you want to take, I am only risking 1%</t>
  </si>
  <si>
    <t xml:space="preserve">he is already in an ENS long at CMP 4.036 with SL 3.91 and shares it optionally; slow and risky so he only risks 1%; no target given</t>
  </si>
  <si>
    <t xml:space="preserve">I am in another trade if anyone wants to join.
Long ENS
Entry: 4.036 CMP
SL: 3.91
Slow and risky trade so your choice if you want to take, I am only risking 1%</t>
  </si>
  <si>
    <t xml:space="preserve">ZEC long reached the 499 target; card shows the position closed at +103.90%</t>
  </si>
  <si>
    <t xml:space="preserve">https://discord.com/channels/1042855255089623100/1501271173588193290/1537999932391432213</t>
  </si>
  <si>
    <t xml:space="preserve">2026-08-15 04:43:45</t>
  </si>
  <si>
    <t xml:space="preserve">the 499 target printed on most exchanges; on Yubit it did not quite reach, so he booked manually at 498</t>
  </si>
  <si>
    <t xml:space="preserve">Hit on majority exchanges I booked manually @ 498 on YUBIT</t>
  </si>
  <si>
    <t xml:space="preserve">https://discord.com/channels/1042855255089623100/1501271173588193290/1538000214936391741</t>
  </si>
  <si>
    <t xml:space="preserve">2026-08-15 15:08:40</t>
  </si>
  <si>
    <t xml:space="preserve">calls the ZEC exit a great one (chart shows his sell at 498.44, price then dipped to ~486 and bounced) and says the same long setup looks valid for a round 2, which he is not taking himself</t>
  </si>
  <si>
    <t xml:space="preserve">Great exit on ZEC, looks ready for a round 2 with same setup I'm not taking but looks valid</t>
  </si>
  <si>
    <t xml:space="preserve">https://discord.com/channels/1042855255089623100/1501271173588193290/1538157479907557397</t>
  </si>
  <si>
    <t xml:space="preserve">2026-08-15 17:48:45</t>
  </si>
  <si>
    <t xml:space="preserve">his 2 Aug call that BTC would chop in the 62-65k range played out for the first half of August; waiting to see if the second half of the prediction (67-70k) follows</t>
  </si>
  <si>
    <t xml:space="preserve">BTC chopping in the 62-65k August range</t>
  </si>
  <si>
    <t xml:space="preserve">Spent the first half in the 62-65k range I mentioned, let's see if the 2nd half of this prediction becomes a reality!</t>
  </si>
  <si>
    <t xml:space="preserve">https://discord.com/channels/1042855255089623100/1501271173588193290/1538197766617047092</t>
  </si>
  <si>
    <t xml:space="preserve">2026-08-15 17:49:18</t>
  </si>
  <si>
    <t xml:space="preserve">image-only follow-up to MSG 950: screenshot of his own 2 Aug tweet predicting BTC chop in a 62-65k range for most of August with a small chance of 67-70k in late August / early September</t>
  </si>
  <si>
    <t xml:space="preserve">BTC 62-65k August range, small chance of 67-70k later</t>
  </si>
  <si>
    <t xml:space="preserve">[IMAGE 307_2026-08-15_174918_Screenshot_20260815-194113.png: tweet_screenshot | no trade data | Screenshot of his own tweet (Tehfeez @Paladinccore) from 2 Aug 2026 predicting BTC would chop in a 62-65k range for most of August with a small chance of 67-70k in the second half of August / early Se]</t>
  </si>
  <si>
    <t xml:space="preserve">https://discord.com/channels/1042855255089623100/1501271173588193290/1538197902764281976</t>
  </si>
  <si>
    <t xml:space="preserve">WEEKEND SIZE, recommended half risk</t>
  </si>
  <si>
    <t xml:space="preserve">new SOL long at CMP 75.3 with DCA 74.7 and SL 73, sized down because it is a weekend trade; no target given</t>
  </si>
  <si>
    <t xml:space="preserve">Long SOL
Entry: 75.3 CMP
DCA: 74.7
SL: 73
WEEKEND SIZE, recommended half risk.</t>
  </si>
  <si>
    <t xml:space="preserve">the SOL DCA (called at 74.7, level not restated) filled and the position moved into profit</t>
  </si>
  <si>
    <t xml:space="preserve">SOL DCA filled and in some profits</t>
  </si>
  <si>
    <t xml:space="preserve">https://discord.com/channels/1042855255089623100/1501271173588193290/1538858963599237141</t>
  </si>
  <si>
    <t xml:space="preserve">closing the DCA'd SOL long at 75.6 for now while it is in profit; card shows +123.88%</t>
  </si>
  <si>
    <t xml:space="preserve">SOL DCA filled and in some profits, closing here @ 75.6 for now</t>
  </si>
  <si>
    <t xml:space="preserve">2026-08-17 17:03:39</t>
  </si>
  <si>
    <t xml:space="preserve">BTC long survived the SL and price almost got back to his 63.8k breakeven; target cut from 64.5-64.6k to 64-64.2k because he just wants out of the trade</t>
  </si>
  <si>
    <t xml:space="preserve">Also Survived the BTC SL so far, almost hit our BE 63.8k
Looking to close in small profits 64-64.2k, just wanna get out of this one</t>
  </si>
  <si>
    <t xml:space="preserve">https://discord.com/channels/1042855255089623100/1501271173588193290/1538911191672553502</t>
  </si>
  <si>
    <t xml:space="preserve">the ZEC round-2 setup he flagged as valid went to full TP; he did not take it himself because he dislikes repeating the same setup</t>
  </si>
  <si>
    <t xml:space="preserve">ZEC went up, as mentioned setup was valid and it went to full TP, I just don't like taking same setups so didn't myself</t>
  </si>
  <si>
    <t xml:space="preserve">tempted to short GPS from 0.155 but not taking it because he is not in the mood for a gamble</t>
  </si>
  <si>
    <t xml:space="preserve">I'm having a strong urge to short GPS from here .155 but I'm no mood for a gamble</t>
  </si>
  <si>
    <t xml:space="preserve">shorted WLD from 0.355 with SL 0.372, looking for a quick scalp TP, not planning to hold; no target level given</t>
  </si>
  <si>
    <t xml:space="preserve">Shorted WLD from 0.355 with 0.372 as SL just looking for a quick TP not planning to hold for long</t>
  </si>
  <si>
    <t xml:space="preserve">closing the BTC long in small profits; the win is that the position survived a near-stop and the win streak continues</t>
  </si>
  <si>
    <t xml:space="preserve">Closing BTC here in some profits.
Profits aren't much but what's nice is we survived a SL, the win streak continues!</t>
  </si>
  <si>
    <t xml:space="preserve">https://discord.com/channels/1042855255089623100/1501271173588193290/1538937719806369832</t>
  </si>
  <si>
    <t xml:space="preserve">2026-08-17 18:49:32</t>
  </si>
  <si>
    <t xml:space="preserve">image-only PnL card documenting the BTC long close from MSG 957: entry 63,797.10, exit 64,144.90, +109.01%</t>
  </si>
  <si>
    <t xml:space="preserve">[IMAGE 309_2026-08-17_184932_1786981767602.png: pnl_share_card | BTCUSDT long entry 63797.1 close 64144.9 ROI 109.01% (closed)]</t>
  </si>
  <si>
    <t xml:space="preserve">https://discord.com/channels/1042855255089623100/1501271173588193290/1538937837674565754</t>
  </si>
  <si>
    <t xml:space="preserve">2026-08-17 18:50:40</t>
  </si>
  <si>
    <t xml:space="preserve">comment on the just-closed BTC long: went from almost stopped out to a decent TP thanks to the DCA</t>
  </si>
  <si>
    <t xml:space="preserve">From almost an SL to a decent TP with a DCA in</t>
  </si>
  <si>
    <t xml:space="preserve">https://discord.com/channels/1042855255089623100/1501271173588193290/1538938122073800835</t>
  </si>
  <si>
    <t xml:space="preserve">Keep 30% for DCA; I'm using half risk because bullish on BTC</t>
  </si>
  <si>
    <t xml:space="preserve">flipping short on BTC at CMP 64.2k with SL 65.2k, but only half risk because he is bullish on BTC; no target given</t>
  </si>
  <si>
    <t xml:space="preserve">he is bullish on BTC</t>
  </si>
  <si>
    <t xml:space="preserve">Shorted BTC
Entry: 64.2k CMP
Keep 30% for DCA
SL @ 65.2k
I'm using half risk because bullish on BTC</t>
  </si>
  <si>
    <t xml:space="preserve">2026-08-17 18:59:39</t>
  </si>
  <si>
    <t xml:space="preserve">DCA level for the BTC short (the 30% held back in the call)</t>
  </si>
  <si>
    <t xml:space="preserve">DCA @ 64546</t>
  </si>
  <si>
    <t xml:space="preserve">https://discord.com/channels/1042855255089623100/1501271173588193290/1538940383520624710</t>
  </si>
  <si>
    <t xml:space="preserve">2026-08-17 21:51:41</t>
  </si>
  <si>
    <t xml:space="preserve">half risk on this one</t>
  </si>
  <si>
    <t xml:space="preserve">repeats that members should be on half risk for the BTC short because he is bullish on BTC</t>
  </si>
  <si>
    <t xml:space="preserve">I hope you guys are using half risk on this one as I said because as I said bullish on BTC</t>
  </si>
  <si>
    <t xml:space="preserve">https://discord.com/channels/1042855255089623100/1501271173588193290/1538983678871343264</t>
  </si>
  <si>
    <t xml:space="preserve">closing the WLD scalp in profit as planned since he was never going to hold it; card shows entry 0.3552, exit 0.3493, +83.05%</t>
  </si>
  <si>
    <t xml:space="preserve">Closing WLD for some profits as I mentioned not planning to hold, just scalping and winning</t>
  </si>
  <si>
    <t xml:space="preserve">https://discord.com/channels/1042855255089623100/1501271173588193290/1538998978224463882</t>
  </si>
  <si>
    <t xml:space="preserve">new ZEC short at CMP 505.2, targets 499-492, SL 517.5</t>
  </si>
  <si>
    <t xml:space="preserve">Short ZEC
Entry: 505.2 CMP
TPs: 499-492
SL: 517.5</t>
  </si>
  <si>
    <t xml:space="preserve">2026-08-18 16:37:17</t>
  </si>
  <si>
    <t xml:space="preserve">BTC short DCA (64546) filled, average entry now 64.3k and the position is in decent profit</t>
  </si>
  <si>
    <t xml:space="preserve">BTC DCA filled avg is 64.3k, in decent profits.</t>
  </si>
  <si>
    <t xml:space="preserve">https://discord.com/channels/1042855255089623100/1501271173588193290/1539266945411457094</t>
  </si>
  <si>
    <t xml:space="preserve">63869</t>
  </si>
  <si>
    <t xml:space="preserve">first target for the BTC short set at 63869 (he restates it as 63860 in MSG 966 and corrects it to 63.8k in MSG 967)</t>
  </si>
  <si>
    <t xml:space="preserve">TP @ 63869</t>
  </si>
  <si>
    <t xml:space="preserve">2026-08-18 16:40:34</t>
  </si>
  <si>
    <t xml:space="preserve">63860, 63700</t>
  </si>
  <si>
    <t xml:space="preserve">TP now stated as 63860 (vs 63869 in MSG 965 - he calls this a typing error in MSG 967 and settles on 63.8k), with an extended 63700 only if price breaks down from 63900; the 4h 200 EMA keeps bouncing price and 65k+ is possible</t>
  </si>
  <si>
    <t xml:space="preserve">4h 200 EMA keeps bouncing price, can go to 65k+</t>
  </si>
  <si>
    <t xml:space="preserve">Rn 4h 200 ema keeps bouncing us and we can go to 65k+ from here
I have set TP at 63860, but if we break down from 63900 you can get 63700</t>
  </si>
  <si>
    <t xml:space="preserve">https://discord.com/channels/1042855255089623100/1501271173588193290/1539267767650361376</t>
  </si>
  <si>
    <t xml:space="preserve">2026-08-18 16:44:46</t>
  </si>
  <si>
    <t xml:space="preserve">63800</t>
  </si>
  <si>
    <t xml:space="preserve">correcting his own typo: the BTC position is a short and the TP is 63.8k (posted as 63869 in MSG 965 and 63860 in MSG 966)</t>
  </si>
  <si>
    <t xml:space="preserve">Typing error it's a short and 63.8k</t>
  </si>
  <si>
    <t xml:space="preserve">https://discord.com/channels/1042855255089623100/1501271173588193290/1539268826510790696</t>
  </si>
  <si>
    <t xml:space="preserve">2026-08-18 17:50:14</t>
  </si>
  <si>
    <t xml:space="preserve">teaching point: once EMA 200 is reclaimed it is very hard to break down, expect at least two bounces off it on any timeframe; illustrated with the BTC 4H chart bouncing off the 4H EMA-200 around 63,979</t>
  </si>
  <si>
    <t xml:space="preserve">From an educational point of view this is how EMA 200 acts, if it's reclaims, it's very hard to breakdown, you can expect at least 2 bounce from EMA 200 on any time frame</t>
  </si>
  <si>
    <t xml:space="preserve">https://discord.com/channels/1042855255089623100/1501271173588193290/1539285303523545188</t>
  </si>
  <si>
    <t xml:space="preserve">2026-08-18 17:50:59</t>
  </si>
  <si>
    <t xml:space="preserve">removing the hard BTC SL and waiting for a 4h close above 65.2k instead, because if he got stopped he would just short again so he refuses to accept the stop here</t>
  </si>
  <si>
    <t xml:space="preserve">Removing BTC SL for now will wait a 4h close above 65.2k
Reason is if I get stopped I'll short again so not gonna accept my SL here</t>
  </si>
  <si>
    <t xml:space="preserve">https://discord.com/channels/1042855255089623100/1501271173588193290/1539285492095520788</t>
  </si>
  <si>
    <t xml:space="preserve">2026-08-18 17:51:51</t>
  </si>
  <si>
    <t xml:space="preserve">BTC short TP missed by $100</t>
  </si>
  <si>
    <t xml:space="preserve">Hard luck though BTC TP missed by 100$ and ZEC TP missed by 1$</t>
  </si>
  <si>
    <t xml:space="preserve">https://discord.com/channels/1042855255089623100/1501271173588193290/1539285709557338192</t>
  </si>
  <si>
    <t xml:space="preserve">ZEC short TP missed by $1</t>
  </si>
  <si>
    <t xml:space="preserve">2026-08-19 17:24:43</t>
  </si>
  <si>
    <t xml:space="preserve">BTC short nearly hit TP twice then pumped hard; he feels bad because he said he was bullish yet refused to close</t>
  </si>
  <si>
    <t xml:space="preserve">hard pump</t>
  </si>
  <si>
    <t xml:space="preserve">Got cooked hard today
BTC and ZEC almost missed TP twice and pumped hard
Feeling really bad because I mentioned I'm bullish but still refused to closed.
Sorry guys, everyday can't be green, will bounce back.</t>
  </si>
  <si>
    <t xml:space="preserve">https://discord.com/channels/1042855255089623100/1501271173588193290/1539641268177473617</t>
  </si>
  <si>
    <t xml:space="preserve">ZEC short also nearly hit TP twice then pumped hard against him</t>
  </si>
  <si>
    <t xml:space="preserve">Got cooked hard today
BTC and ZEC almost missed TP twice and pumped hard</t>
  </si>
  <si>
    <t xml:space="preserve">2026-08-19 17:26:13</t>
  </si>
  <si>
    <t xml:space="preserve">still holding the BTC short with the soft 4h-close-above-65.2k stop plus a hard SL now at 65.8k, though he doubts it reverses and expects 66-67k tonight/tomorrow</t>
  </si>
  <si>
    <t xml:space="preserve">expects BTC 66-67k by tonight/tomorrow</t>
  </si>
  <si>
    <t xml:space="preserve">I'm still holding BTC with 4h above 65.2k and hard SL at 65.8k but I doubt it reverses now
66-67k by tonight/tomorrow</t>
  </si>
  <si>
    <t xml:space="preserve">https://discord.com/channels/1042855255089623100/1501271173588193290/1539641646487048203</t>
  </si>
  <si>
    <t xml:space="preserve">2026-08-19 18:02:29</t>
  </si>
  <si>
    <t xml:space="preserve">use half size as I'm bullish on BTC</t>
  </si>
  <si>
    <t xml:space="preserve">reminds members he told them to use half size on the BTC short because he is bullish; not surprised by the pump (he called rest of August bullish, BTC to 67-70k on X), admits he got greedy and the TP missed twice by $100</t>
  </si>
  <si>
    <t xml:space="preserve">BTC bullish, rest of August bullish, 67-70k</t>
  </si>
  <si>
    <t xml:space="preserve">If you guys remember while shorting I mentioned to use half size as I'm bullish on BTC
I'm not surprised by this pump, I posted on my X as well BTC is bullish, rest of August is bullish BTC to 67-70k
Just got greedy with the short and to be honest it missed by TP twice by 100$ so not a great feeling rn</t>
  </si>
  <si>
    <t xml:space="preserve">https://discord.com/channels/1042855255089623100/1501271173588193290/1539650773158334524</t>
  </si>
  <si>
    <t xml:space="preserve">the public BTC spot accumulation is almost 5% up; he corrects this to almost 10% in MSG 975</t>
  </si>
  <si>
    <t xml:space="preserve">But the SPOT buying is up 5% almost</t>
  </si>
  <si>
    <t xml:space="preserve">30% for DCA</t>
  </si>
  <si>
    <t xml:space="preserve">new HYPE short at CMP 59.82; soft SL is a 4h close above 61, hard SL 61.5; 30% held back for DCA; no target given</t>
  </si>
  <si>
    <t xml:space="preserve">Shorted HYPE
Entry: 59.82 CMP
30% for DCA
SL 4h above 61 or hard SL @ 61.5</t>
  </si>
  <si>
    <t xml:space="preserve">2026-08-19 18:38:43</t>
  </si>
  <si>
    <t xml:space="preserve">corrects the figure from MSG 973: the public BTC spot accumulation is almost 10% up (card shows +9.43%), bought right before the pump</t>
  </si>
  <si>
    <t xml:space="preserve">Sorry I meant public accumulation almost 10% up, bought right before the pump!</t>
  </si>
  <si>
    <t xml:space="preserve">https://discord.com/channels/1042855255089623100/1501271173588193290/1539659891747192934</t>
  </si>
  <si>
    <t xml:space="preserve">2026-08-19 18:38:59</t>
  </si>
  <si>
    <t xml:space="preserve">added the DCA portion (the 30% reserved in the call) to the HYPE short at CMP 60.5</t>
  </si>
  <si>
    <t xml:space="preserve">DCAed HYPE @ 60.5 CMP</t>
  </si>
  <si>
    <t xml:space="preserve">https://discord.com/channels/1042855255089623100/1501271173588193290/1539659957836841031</t>
  </si>
  <si>
    <t xml:space="preserve">2026-08-19 18:41:28</t>
  </si>
  <si>
    <t xml:space="preserve">another stop-loss on a bad day; he does not name the symbol - open shorts at the time were BTC, ZEC and HYPE. Says no more shorting before the white house summit despite being the most bullish guy in the channel</t>
  </si>
  <si>
    <t xml:space="preserve">white house summit ahead</t>
  </si>
  <si>
    <t xml:space="preserve">Another SL, bad day
I'm the most bullish guy here and I'm getting fked in shorts, no more shorting before white house summit</t>
  </si>
  <si>
    <t xml:space="preserve">https://discord.com/channels/1042855255089623100/1501271173588193290/1539660581777444874</t>
  </si>
  <si>
    <t xml:space="preserve">2026-08-19 18:56:39</t>
  </si>
  <si>
    <t xml:space="preserve">3 stop-losses after a whole month of almost only winning; reassures the channel they will win again</t>
  </si>
  <si>
    <t xml:space="preserve">I know we had SLs and it must be hurting rn but we win alot, 3 SLs after a whole month of almost winning we will win again and alot, I promise.</t>
  </si>
  <si>
    <t xml:space="preserve">https://discord.com/channels/1042855255089623100/1501271173588193290/1539664403241238568</t>
  </si>
  <si>
    <t xml:space="preserve">reposts his 2 Aug tweet (62-65k August chop, small chance of 67-70k later) to argue his August call was accurate while others called August bearish, which is why he bought big spot at 63k (the earlier card showed an average buy of 63,500)</t>
  </si>
  <si>
    <t xml:space="preserve">August called bullish against consensus</t>
  </si>
  <si>
    <t xml:space="preserve">Meanwhile look HOW ACCURATE THIS WAS, everyone else said August is bearish, not me, that's why I bought big at 63k</t>
  </si>
  <si>
    <t xml:space="preserve">2026-08-19 22:31:29</t>
  </si>
  <si>
    <t xml:space="preserve">empty '.' reply that bumps his earlier message recommending HYPE in spot (held since 60); no new trading content</t>
  </si>
  <si>
    <t xml:space="preserve">.</t>
  </si>
  <si>
    <t xml:space="preserve">https://discord.com/channels/1042855255089623100/1501271173588193290/1539718470558687402</t>
  </si>
  <si>
    <t xml:space="preserve">2026-08-19 22:32:58</t>
  </si>
  <si>
    <t xml:space="preserve">empty '.' reply bumping his earlier message about buying HYPE heavy since 60 and telling people to buy SOL and HYPE; no new trading content</t>
  </si>
  <si>
    <t xml:space="preserve">https://discord.com/channels/1042855255089623100/1501271173588193290/1539718843822383195</t>
  </si>
  <si>
    <t xml:space="preserve">2026-08-19 22:37:03</t>
  </si>
  <si>
    <t xml:space="preserve">spot HYPE bought at an average of 56.23 is up 27.77% (he says the HYPE/SOL calls are up nearly 30%); he has been recommending HYPE and SOL for a month and plans to take profit around a new ATH</t>
  </si>
  <si>
    <t xml:space="preserve">Been telling you guys to buy HYPE and SOL for a month now, up nearly 30% if you want to take something.
I'll TP around new ATH or so</t>
  </si>
  <si>
    <t xml:space="preserve">https://discord.com/channels/1042855255089623100/1501271173588193290/1539719871208751124</t>
  </si>
  <si>
    <t xml:space="preserve">spot SOL recommendation also up nearly 30% (the 30% figure covers HYPE and SOL together; only HYPE has a share card); members may take something, he will TP around a new ATH</t>
  </si>
  <si>
    <t xml:space="preserve">HALF RISK is recommended since we are opening long after quite a pump</t>
  </si>
  <si>
    <t xml:space="preserve">BTC long at CMP with half risk because the long is being opened after quite a pump; alternative entry / DCA zone is 68.7-68.9k (68700-68900, lower bound recorded in dca_price)</t>
  </si>
  <si>
    <t xml:space="preserve">opening long after quite a pump</t>
  </si>
  <si>
    <t xml:space="preserve">Long BTC
Entry: 69280 CMP
TP: 70.2k
SL: 68369
HALF RISK is recommended since we are opening long after quite a pump.
Can take entry from 68.7-68.9k as well or DCA</t>
  </si>
  <si>
    <t xml:space="preserve">2026-08-20 04:51:14</t>
  </si>
  <si>
    <t xml:space="preserve">expects BTC 71000-71500 by tomorrow, at the latest by the weekend (lower bound in price_ref), and does not think price returns to the low 60000s before 73000-75000</t>
  </si>
  <si>
    <t xml:space="preserve">bullish BTC continuation after the pump</t>
  </si>
  <si>
    <t xml:space="preserve">Seeing 71-71.5k by tomorrow max by weekend
I don't think they'll give us low 60s before 73-75k</t>
  </si>
  <si>
    <t xml:space="preserve">https://discord.com/channels/1042855255089623100/1501271173588193290/1539814034705223720</t>
  </si>
  <si>
    <t xml:space="preserve">2026-08-20 05:02:49</t>
  </si>
  <si>
    <t xml:space="preserve">raises the stop on the BTC long from the 68369 call level to 68420</t>
  </si>
  <si>
    <t xml:space="preserve">Move SL to 68420</t>
  </si>
  <si>
    <t xml:space="preserve">https://discord.com/channels/1042855255089623100/1501271173588193290/1539816948924162150</t>
  </si>
  <si>
    <t xml:space="preserve">target can be extended so the trade pays 1R after the stop move; he gives no new price so no target level is recorded</t>
  </si>
  <si>
    <t xml:space="preserve">you can extend TP to make it 1R</t>
  </si>
  <si>
    <t xml:space="preserve">going to sleep soon so he might close the BTC long around 70k, and will update if he does</t>
  </si>
  <si>
    <t xml:space="preserve">I'm going to sleep in a while so might close it around 70k but will update</t>
  </si>
  <si>
    <t xml:space="preserve">2026-08-20 05:42:58</t>
  </si>
  <si>
    <t xml:space="preserve">optional wider stop at 67.5k for the extended-target version of the BTC long, because he expects BTC to reach 71k</t>
  </si>
  <si>
    <t xml:space="preserve">expects BTC to 71k</t>
  </si>
  <si>
    <t xml:space="preserve">Last thing, as I expect BTC to 71k you can also move your SL to 67.5k and do 71-71.2k as TP</t>
  </si>
  <si>
    <t xml:space="preserve">https://discord.com/channels/1042855255089623100/1501271173588193290/1539827055347113984</t>
  </si>
  <si>
    <t xml:space="preserve">71000, 71200</t>
  </si>
  <si>
    <t xml:space="preserve">extends the target from 70.2k to 71-71.2k for anyone taking the wider-stop variant, since he expects BTC to 71k</t>
  </si>
  <si>
    <t xml:space="preserve">2026-08-20 10:13:39</t>
  </si>
  <si>
    <t xml:space="preserve">closes the BTC long scalp from the 69280 call; BloFin card shows a 150x long entered at 69111.2 and closed at 69907.6 for +172.83% ROI, and he calls it a snipe entry for anyone who entered from 68.9k</t>
  </si>
  <si>
    <t xml:space="preserve">Closed my long scalp, snipe entry if you entered from 68.9k</t>
  </si>
  <si>
    <t xml:space="preserve">https://discord.com/channels/1042855255089623100/1501271173588193290/1539895172819853352</t>
  </si>
  <si>
    <t xml:space="preserve">closes the 'extended TP' variant of the BTC long (the wider stop / 71-71.2k target version from msg 985); he says @ 71k, the share card shows entry 69220.4 and close 70999.5</t>
  </si>
  <si>
    <t xml:space="preserve">Closing BTC extended TP setup as well @ 71k</t>
  </si>
  <si>
    <t xml:space="preserve">https://discord.com/channels/1042855255089623100/1501271173588193290/1539911513731760148</t>
  </si>
  <si>
    <t xml:space="preserve">GO LOW GO LOW, SMALL MARGIN</t>
  </si>
  <si>
    <t xml:space="preserve">counter-trend short at CMP with an optional DCA at 73.1k (or go fully at CMP); he insists on small margin because he still expects BTC to trade 73000-75000</t>
  </si>
  <si>
    <t xml:space="preserve">expects BTC 73-75k</t>
  </si>
  <si>
    <t xml:space="preserve">Short BTC
Entry: 72.4k CMP
DCA: 73.1k (optional can go fully CMP)
SL: 74.1k
GO LOW GO LOW, SMALL MARGIN
I expect 73-75k</t>
  </si>
  <si>
    <t xml:space="preserve">2026-08-20 17:51:24</t>
  </si>
  <si>
    <t xml:space="preserve">$1000 move down done, so stop to entry; entry 72.4k taken from the msg 988 call (an optional 73.1k DCA would change the average)</t>
  </si>
  <si>
    <t xml:space="preserve">1000$ move down done, move SL to entry</t>
  </si>
  <si>
    <t xml:space="preserve">https://discord.com/channels/1042855255089623100/1501271173588193290/1540010372197781534</t>
  </si>
  <si>
    <t xml:space="preserve">71200</t>
  </si>
  <si>
    <t xml:space="preserve">first target set: take 50% off the BTC short at 71.2k after the $1000 move down</t>
  </si>
  <si>
    <t xml:space="preserve">1000$ move down done, move SL to entry, 50% at 71.2k</t>
  </si>
  <si>
    <t xml:space="preserve">70900, 71000</t>
  </si>
  <si>
    <t xml:space="preserve">anyone not filled with full size should wait for him to take profit around 70.9-71k instead of trimming at 71.2k</t>
  </si>
  <si>
    <t xml:space="preserve">If you didn't enter 100% then wait for me to TP around 70.9-71k</t>
  </si>
  <si>
    <t xml:space="preserve">2026-08-20 18:04:31</t>
  </si>
  <si>
    <t xml:space="preserve">71000</t>
  </si>
  <si>
    <t xml:space="preserve">If you want to hold you can just half risk</t>
  </si>
  <si>
    <t xml:space="preserve">reverses the 50%-at-71.2k plan: he will hold the whole BTC short until either the stop or 71k; followers who hold should use half risk</t>
  </si>
  <si>
    <t xml:space="preserve">Nevermind I'll keep holding my short till SL or 71k
If you want to hold you can just half risk</t>
  </si>
  <si>
    <t xml:space="preserve">https://discord.com/channels/1042855255089623100/1501271173588193290/1540013671785168988</t>
  </si>
  <si>
    <t xml:space="preserve">ARB short at CMP with two targets and a stop at 0.09106, sized at half risk; no reason given</t>
  </si>
  <si>
    <t xml:space="preserve">Short ARB
Entry: 0.0889 CMP
TPs: 0.0869 - 0.0856
SL: 0.09106
HALF RISK</t>
  </si>
  <si>
    <t xml:space="preserve">2026-08-20 18:09:41</t>
  </si>
  <si>
    <t xml:space="preserve">still holding the BTC short from the msg 988 call alongside the new ARB short</t>
  </si>
  <si>
    <t xml:space="preserve">Holding onto BTC too</t>
  </si>
  <si>
    <t xml:space="preserve">https://discord.com/channels/1042855255089623100/1501271173588193290/1540014971210043524</t>
  </si>
  <si>
    <t xml:space="preserve">keeping risk low</t>
  </si>
  <si>
    <t xml:space="preserve">another stop-loss, attributed to the BTC short: it was in great profit and missed the 71k TP by $100 before reversing. No stop price is restated - the call stop was 74.1k but he had said to move SL to entry (72.4k) in msg 989, so the level that was hit is ambiguous and left null</t>
  </si>
  <si>
    <t xml:space="preserve">Another stop but keeping risk low
BTC was in such great profits missed 71k TP by 100$ earlier</t>
  </si>
  <si>
    <t xml:space="preserve">https://discord.com/channels/1042855255089623100/1501271173588193290/1540044291286634556</t>
  </si>
  <si>
    <t xml:space="preserve">spot buy of AVAX at CMP for the bull market; mid-term targets promised later</t>
  </si>
  <si>
    <t xml:space="preserve">Bought AVAX and SUI at CMP for the bull market, will give mid term targets too
AVAX @ 7.2, SUI @ 0.74</t>
  </si>
  <si>
    <t xml:space="preserve">spot buy of SUI at CMP for the bull market; mid-term targets promised later</t>
  </si>
  <si>
    <t xml:space="preserve">spot bull-run portfolio accumulated over the last 6 months; AVAX is 3.84% of the allocation donut he posted</t>
  </si>
  <si>
    <t xml:space="preserve">My holdings for bull run, I have been accumulating this since last 6 months</t>
  </si>
  <si>
    <t xml:space="preserve">spot bull-run portfolio accumulated over the last 6 months; BTC is 29.27% of the allocation donut he posted</t>
  </si>
  <si>
    <t xml:space="preserve">spot bull-run portfolio accumulated over the last 6 months; ETH is 20.82% of the allocation donut he posted</t>
  </si>
  <si>
    <t xml:space="preserve">spot bull-run portfolio accumulated over the last 6 months; HYPE is 22.89% of the allocation donut he posted</t>
  </si>
  <si>
    <t xml:space="preserve">spot bull-run portfolio accumulated over the last 6 months; LINK is 7.33% of the allocation donut he posted</t>
  </si>
  <si>
    <t xml:space="preserve">spot bull-run portfolio accumulated over the last 6 months; SOL is 13.64% of the allocation donut he posted</t>
  </si>
  <si>
    <t xml:space="preserve">spot bull-run portfolio accumulated over the last 6 months; SUI is 2.21% of the allocation donut he posted</t>
  </si>
  <si>
    <t xml:space="preserve">2026-08-21 04:47:22</t>
  </si>
  <si>
    <t xml:space="preserve">points at his '73k-75k $BTC' tweet posted on 20 Aug when BTC was 69k - price is now 75k, so the call played out (the X widget in the screenshot shows 74631, +7.73%)</t>
  </si>
  <si>
    <t xml:space="preserve">BTC ran from 69k to 75k</t>
  </si>
  <si>
    <t xml:space="preserve">Check time when I posted this when BTC was 69k, rn it's 75k</t>
  </si>
  <si>
    <t xml:space="preserve">https://discord.com/channels/1042855255089623100/1501271173588193290/1540175451157176320</t>
  </si>
  <si>
    <t xml:space="preserve">2026-08-21 04:50:00</t>
  </si>
  <si>
    <t xml:space="preserve">If anyone used half risk as I mentioned I promise we will use full risk and quickly recover</t>
  </si>
  <si>
    <t xml:space="preserve">recap of a rough two days: 5 SLs, as many as he normally takes in a whole month; he counter-traded his own bullish view by shorting BTC, and both times the short was $1000+ in profit but he did not book</t>
  </si>
  <si>
    <t xml:space="preserve">I counter traded myself by BTC short, pretty shitty feeling rn.
And I feel depressed because both the times I shorted BTC dropped 1000$+ and in good profits but didn't book.
If anyone used half risk as I mentioned I promise we will use full risk and quickly recover.
Sorry for the past 2 days, had 5 SLs, 5 SLs is how much u have monthly usually.</t>
  </si>
  <si>
    <t xml:space="preserve">https://discord.com/channels/1042855255089623100/1501271173588193290/1540176111655190708</t>
  </si>
  <si>
    <t xml:space="preserve">psychology note: he refuses to play the know-it-all - everything is a guess at the end of the day and nobody really knows</t>
  </si>
  <si>
    <t xml:space="preserve">Though I won't act as a Mr know it's all guesses by the end of the day, no one knows shit</t>
  </si>
  <si>
    <t xml:space="preserve">2026-08-21 04:56:15</t>
  </si>
  <si>
    <t xml:space="preserve">spot BTC he told members to buy at 63k two days earlier is up ~20% (card shows +20.95%), posted as proof of his bullish thesis</t>
  </si>
  <si>
    <t xml:space="preserve">But to prove my thesis, I told to buy BTC 2 days ago, right on the day of pump and it's up 20% from 63k!</t>
  </si>
  <si>
    <t xml:space="preserve">https://discord.com/channels/1042855255089623100/1501271173588193290/1540177688071770203</t>
  </si>
  <si>
    <t xml:space="preserve">2026-08-21 13:32:36</t>
  </si>
  <si>
    <t xml:space="preserve">AVAX spot holding moving as well, no figure given</t>
  </si>
  <si>
    <t xml:space="preserve">Well guys they are speed running my predictions, mentioned at 73k, 80k is next!
Up 30-50% on BTC and HYPE
SUI, AVAX, LINK, SOL moving as well!</t>
  </si>
  <si>
    <t xml:space="preserve">https://discord.com/channels/1042855255089623100/1501271173588193290/1540307630168215632</t>
  </si>
  <si>
    <t xml:space="preserve">his predictions are being speed-run - he called it at 73k and 80k is next; the attached tweet calls 77-80k after a daily close above the daily EMA 200, possibly over the weekend</t>
  </si>
  <si>
    <t xml:space="preserve">daily EMA 200</t>
  </si>
  <si>
    <t xml:space="preserve">weekend continuation expected after a daily close above the daily EMA 200</t>
  </si>
  <si>
    <t xml:space="preserve">spot BTC up 30-50% (he gives the 30-50% range for BTC and HYPE together; lower bound recorded)</t>
  </si>
  <si>
    <t xml:space="preserve">spot HYPE up 30-50% (he gives the 30-50% range for BTC and HYPE together; lower bound recorded)</t>
  </si>
  <si>
    <t xml:space="preserve">LINK spot holding moving as well, no figure given</t>
  </si>
  <si>
    <t xml:space="preserve">SOL spot holding moving as well, no figure given</t>
  </si>
  <si>
    <t xml:space="preserve">SUI spot holding moving as well, no figure given</t>
  </si>
  <si>
    <t xml:space="preserve">invest limited in shitcoins</t>
  </si>
  <si>
    <t xml:space="preserve">spot buy of BERA at 0.19 expecting a 20-39% move ('20-39% support' is likely a typo for 20-30%); tells members to keep shitcoin exposure limited</t>
  </si>
  <si>
    <t xml:space="preserve">Bought some BERA @ 0.19
Expecting 20-39% support, but invest limited in shitcoins</t>
  </si>
  <si>
    <t xml:space="preserve">2026-08-21 14:07:13</t>
  </si>
  <si>
    <t xml:space="preserve">at your own risk, recommended is spot</t>
  </si>
  <si>
    <t xml:space="preserve">optional leveraged BERA long with 0.1946 as the stop; recorded verbatim although 0.1946 sits above his 0.19 spot buy, so it is either measured from a higher CMP or a typo (0.1746 would be the symmetric read)</t>
  </si>
  <si>
    <t xml:space="preserve">Can long it with 0.1946 as SL but at your own risk, recommended is spot</t>
  </si>
  <si>
    <t xml:space="preserve">https://discord.com/channels/1042855255089623100/1501271173588193290/1540316339628154930</t>
  </si>
  <si>
    <t xml:space="preserve">2026-08-21 16:50:53</t>
  </si>
  <si>
    <t xml:space="preserve">SOL is around 90 and still has a lot of room to run; 80-90 is a decent buying range for a mid to short term hold (lower bound of the range in entry_price)</t>
  </si>
  <si>
    <t xml:space="preserve">SOL currently trading around 90 has alot of space to go up still
For a mid to short term 80-90 is a decent buying range</t>
  </si>
  <si>
    <t xml:space="preserve">https://discord.com/channels/1042855255089623100/1501271173588193290/1540357529555706006</t>
  </si>
  <si>
    <t xml:space="preserve">2026-08-21 17:19:33</t>
  </si>
  <si>
    <t xml:space="preserve">HYPE printed the new ATH he was waiting for and the spot holding is up 40%; members can TP from spot but he has taken nothing and will only think about TP above $80</t>
  </si>
  <si>
    <t xml:space="preserve">HYPE new ATH done and up 40% if anyone wants to TP from spot, I still haven't taken anything.
Will think to TP after 80$</t>
  </si>
  <si>
    <t xml:space="preserve">https://discord.com/channels/1042855255089623100/1501271173588193290/1540364742449954937</t>
  </si>
  <si>
    <t xml:space="preserve">half risk - Keeping risk half because market is too pumped</t>
  </si>
  <si>
    <t xml:space="preserve">half-risk BTC long at CMP; risk is halved because the market is too pumped</t>
  </si>
  <si>
    <t xml:space="preserve">market is too pumped</t>
  </si>
  <si>
    <t xml:space="preserve">Trying a half risk BTC long
Entry: 77.3k CMP
TP: 79k
SL: 75.5k
Keeping risk half because market is too pumped!</t>
  </si>
  <si>
    <t xml:space="preserve">closes the BTC long from the msg 1004 call flat at breakeven: it is getting risky and he already has 5 SLs, so he is playing safe (symbol inferred - it is the only open long call)</t>
  </si>
  <si>
    <t xml:space="preserve">Closing long at BE, getting risky and I already have 5 SLs I'm gonna play safe.
This is for our own good, hope y'all understand</t>
  </si>
  <si>
    <t xml:space="preserve">https://discord.com/channels/1042855255089623100/1501271173588193290/1540389012832002218</t>
  </si>
  <si>
    <t xml:space="preserve">Signal</t>
  </si>
  <si>
    <t xml:space="preserve">Category</t>
  </si>
  <si>
    <t xml:space="preserve">Last seen</t>
  </si>
  <si>
    <t xml:space="preserve">What it is</t>
  </si>
  <si>
    <t xml:space="preserve">How he uses it</t>
  </si>
  <si>
    <t xml:space="preserve">Evidence (his words)</t>
  </si>
  <si>
    <t xml:space="preserve">Candle-close stops and confirmation (almost always the 4h close)</t>
  </si>
  <si>
    <t xml:space="preserve">technical</t>
  </si>
  <si>
    <t xml:space="preserve">2026-05-08</t>
  </si>
  <si>
    <t xml:space="preserve">2026-08-19</t>
  </si>
  <si>
    <t xml:space="preserve">He treats a candle close beyond a specific price - the 4h close in 35 of 37 cases, the 1h close twice - as the real decision point, publishing stops as 'SL: 4h close under X or hard SL @ Y'.</t>
  </si>
  <si>
    <t xml:space="preserve">He gives a 'soft SL' (a 4h close beyond the level) plus a wider 'hard SL' underneath it so a wick cannot take him out, and refuses to accept a stop until the candle actually closes. The same rule is used to stay in a losing trade ('mentioned will wait for 4h close hence I didn't take SL') and to decide whether a level is reclaimed. AUDIT CORRECTION: this is his most-cited piece of chart logic in commentary (35 messages), but it is a minority structure in his published signals - only 14 of 139 signal posts (10%) carry a candle-close stop and only 10 carry the soft+hard pair. Nine signals in ten use a plain numeric stop. It matters most when a trade is going against him, as the reason not to accept a stop.</t>
  </si>
  <si>
    <t xml:space="preserve">#902 (2026-08-06): "SL: 4h close above 66k or hard SL @ 66.3k"
#337 (2026-06-02): "Guys I am gonna wait for 4h closing on SEI, I think we can easily get BE, will manually close. If 4h closes under 0.064 I exit this"
#579 (2026-06-24): "Mentioned will wait for 4h close hence I didn't take SL"
#944 (2026-08-14): "Keeping BTC SL manual for now, will wait for 4h candle below 62.5"
#17 (2026-05-08): "SL: 1h close under 79k or hard SL @ 78.5k"</t>
  </si>
  <si>
    <t xml:space="preserve">200 EMA (mostly 4h, also 15m/daily) as the line in the sand</t>
  </si>
  <si>
    <t xml:space="preserve">2026-05-16</t>
  </si>
  <si>
    <t xml:space="preserve">2026-08-18</t>
  </si>
  <si>
    <t xml:space="preserve">The 200 EMA is the only indicator he names repeatedly; holding/reclaiming it is bullish, losing it opens the next leg down.</t>
  </si>
  <si>
    <t xml:space="preserve">He converts the 200 EMA into a hard price level and builds the whole trade around it ('we shouldn't lose the 200 ema on 4h that is 77.7k'). A reclaim is a long trigger and a reason to expect repeat bounces; sitting on it is a reason to expect a bounce back to entry rather than take a stop. He also cites EMA 20 and EMA 50 as intraday bounce/rejection points.</t>
  </si>
  <si>
    <t xml:space="preserve">#131 (2026-05-16): "for that we shouldn't lose the 200 ema on 4h that is 77.7k, currently we around 4h support so we are surviving"
#162 (2026-05-20): "BTC reclaimed EMA 200 on lower tf after like 2 days, expecting 78k+ great for our BTC long!"
#357 (2026-06-03): "I see support form and ema 50 on 4h it'll either hold or bounce from here if BTC recovers so better close"
#913 (2026-08-07): "PA is super frustrating, BTC ETH both keep bouncing from EMA 200 on 15m"
#968 (2026-08-18): "this is how EMA 200 acts, if it's reclaims, it's very hard to breakdown, you can expect at least 2 bounce from EMA 200 on any time frame"</t>
  </si>
  <si>
    <t xml:space="preserve">New daily low sweep then bounce ('dead cat bounce on LTF')</t>
  </si>
  <si>
    <t xml:space="preserve">2026-06-05</t>
  </si>
  <si>
    <t xml:space="preserve">2026-06-29</t>
  </si>
  <si>
    <t xml:space="preserve">He expects the market to print a fresh daily low, sweep the lows, and then bounce; he buys the sweep.</t>
  </si>
  <si>
    <t xml:space="preserve">When BTC is dumping he waits for a new daily low rather than buying into weakness, then longs the bounce and takes a fast 0.5-1R. The same idea appears as 'lows are swept you can add around 25% margin'. Two of his best-timed BTC longs (59.2k on 24 Jun, 58.2k on 25 Jun) came from this. NOTE ON WORDING: he uses 'swept' only once in 1,005 messages (msg 382); the other instances are the same idea in his own plain language ('they'll make a new daily low then bounce it'). The frequency of 5 is a count of the concept, not the word.</t>
  </si>
  <si>
    <t xml:space="preserve">#382 (2026-06-05): "Okay lows are swept you can add around 25% margin if you want, optional"
#582 (2026-06-24): "Think they hit new daily low and a dead cat bounce on LTF"
#589 (2026-06-24): "as I said they'll make a new daily low then bounce it, you can take 25-30%"
#605 (2026-06-25): "60k hit, caught both yesterday's + today's bottom bounce"
#621 (2026-06-29): "I'll long too, waiting for a new daily low for that"</t>
  </si>
  <si>
    <t xml:space="preserve">Prior daily high / daily low as the anchor for both stops and targets</t>
  </si>
  <si>
    <t xml:space="preserve">2026-08-07</t>
  </si>
  <si>
    <t xml:space="preserve">He anchors stops - and, in the other direction, targets - to the prior daily extreme on the trader's own exchange rather than to a structural level.</t>
  </si>
  <si>
    <t xml:space="preserve">On shorts the daily high is the stop; on longs the daily low is the stop. He explicitly tells followers to read the level off their own venue because of price differences. The same extreme in the other direction is the natural target ('can visit previous daily high'). AUDIT CORRECTION: the item was previously filed as stop placement only, with a target quote (msg 33) as its lead evidence and first_seen anchor; it now covers both uses explicitly.</t>
  </si>
  <si>
    <t xml:space="preserve">#843 (2026-07-31): "ARKM looking nice, if anyone wants so long from CMP with daily low as SL 0.093"
#909 (2026-08-07): "SL: 0.1375 (daily high on your exchange)"
#892 (2026-08-05): "ETH couldn't even reach last daily high, DCA @ 1852"
#33 (2026-05-08): "I have a feeling we will pump hard on BTC this weekend, can visit previous daily high."</t>
  </si>
  <si>
    <t xml:space="preserve">Round-number k-levels on BTC as an entry/TP grid</t>
  </si>
  <si>
    <t xml:space="preserve">2026-05-07</t>
  </si>
  <si>
    <t xml:space="preserve">2026-08-21</t>
  </si>
  <si>
    <t xml:space="preserve">Nearly every BTC call is framed on round or half-round thousand levels (63.5k, 64k, 65k, 66.2k) rather than on drawn structure.</t>
  </si>
  <si>
    <t xml:space="preserve">He publishes an entry at CMP, a DCA 500-1500 lower and a TP at the next round number, then closes there manually. He also narrates price paths purely as level sequences ('65.3-65.6k over the weekend, then 62-63k, then 66-67k') and grades himself on whether the sequence played out. He explicitly boasts about not using charts. Quantitative support for the no-charts claim: of 320 attached images only 23 (7%) are charts, against 247 PnL share cards.</t>
  </si>
  <si>
    <t xml:space="preserve">#253 (2026-05-24): "4h above 78.3k and we're good to go to 80s"
#462 (2026-06-11): "I'm moving BTC remaining 75% TP @ 64.2k but if you see rejection after 64k immediately book it because that's resistance too"
#736 (2026-07-20): "Gave BTC prediction a week ago, no messy charts, no long explanation, just one line."
#815 (2026-07-28): "For now 64.1-64.2k is a wall, reclaim that and 65-66k in no time"</t>
  </si>
  <si>
    <t xml:space="preserve">Weekend / Sunday-Monday pump seasonality</t>
  </si>
  <si>
    <t xml:space="preserve">time-based</t>
  </si>
  <si>
    <t xml:space="preserve">2026-08-16</t>
  </si>
  <si>
    <t xml:space="preserve">A standing belief that crypto pumps into and over the weekend, particularly Sunday, and that Monday can dump before recovering.</t>
  </si>
  <si>
    <t xml:space="preserve">He holds longs into weekends specifically for this ('I'm this close to completely closing it but I think we are in for a Sunday pump'), sizes down for weekend risk ('WEEKEND SIZE, recommended half risk'), and structures shorts to survive the weekend pump instead of avoiding it. Alt calls on Friday are justified by 'coins that look ready for a weekend PUMP'.</t>
  </si>
  <si>
    <t xml:space="preserve">#32 (2026-05-08): "I like many more ALTs that look ready for a weekend PUMP ASTER, NEAR, SOL"
#233 (2026-05-23): "I'm this close to completey closing it but I think we are in for a Sunday pump"
#689 (2026-07-07): "Mentioned on Sunday, we go 64k -&gt; dump to 60-61k on Monday -&gt; back to 64-65k"
#908 (2026-08-07): "An alternative BTC setup would be this to save yourself from weekend pump"
#952 (2026-08-16): "WEEKEND SIZE, recommended half risk."</t>
  </si>
  <si>
    <t xml:space="preserve">Scheduled macro events (CPI, FOMC, monthly close)</t>
  </si>
  <si>
    <t xml:space="preserve">fundamental</t>
  </si>
  <si>
    <t xml:space="preserve">2026-06-10</t>
  </si>
  <si>
    <t xml:space="preserve">2026-08-12</t>
  </si>
  <si>
    <t xml:space="preserve">He trades the calendar: CPI prints, FOMC, and the monthly candle close are named as reasons to enter, size down, or de-risk.</t>
  </si>
  <si>
    <t xml:space="preserve">He positions before the event when he has a directional view ('opening it right before FOMC... either half risk or skip but I'm in'), moves SL to BE ahead of events he is unsure about, and warns of volatility on monthly close. He treats the post-event impulse as the payoff ('1400$ move caught, that's how we trade CPI').</t>
  </si>
  <si>
    <t xml:space="preserve">#435 (2026-06-10): "1400$ move caught, that's how we trade CPI"
#535 (2026-06-17): "SL to BE due to FOMC, though I don't think FOMC gives us a major dump... better be safe"
#808 (2026-07-28): "Now this is a pure gamble trade because I'm opening it right before FOMC and markets looking weak"
#841 (2026-07-31): "Just a reminder monthly close today, can pump or dump real fast that's why risky, at BE, go half risk"
#937 (2026-08-12): "If anyone wants to exit before CPI they can safely"</t>
  </si>
  <si>
    <t xml:space="preserve">Geopolitical / headline catalysts (ceasefire, deals, Trump, Saylor)</t>
  </si>
  <si>
    <t xml:space="preserve">2026-05-14</t>
  </si>
  <si>
    <t xml:space="preserve">He forms a directional bias off political headlines and pending 'deals' and holds trades through them.</t>
  </si>
  <si>
    <t xml:space="preserve">He pre-announces expected news ('a deal is coming this Sunday, free money, keep longing'), attributes moves to specific headlines after the fact, and will hold a losing position because a catalyst is due tomorrow. He also cuts shorting entirely around an event he thinks is bullish.</t>
  </si>
  <si>
    <t xml:space="preserve">#121 (2026-05-14): "bounced around 78.5 and clarity act helped us push to 82k, told you at 79k, 82k is coming!"
#238 (2026-05-23): "expecting good news, trump just announced it, ceasefire continuation on the request of gulf stayed that's why we pumped"
#489 (2026-06-15): "Kept mentioning the past full week a deal is coming this Sunday, free money, keep longing"
#853 (2026-08-01): "Saylor's sell news hence BTC dumped like this."
#977 (2026-08-19): "no more shorting before white house summit"</t>
  </si>
  <si>
    <t xml:space="preserve">BTC as the driver of every altcoin position</t>
  </si>
  <si>
    <t xml:space="preserve">intermarket</t>
  </si>
  <si>
    <t xml:space="preserve">2026-05-15</t>
  </si>
  <si>
    <t xml:space="preserve">2026-08-05</t>
  </si>
  <si>
    <t xml:space="preserve">He explicitly conditions every alt trade on what BTC does next; alts are a leveraged expression of his BTC view.</t>
  </si>
  <si>
    <t xml:space="preserve">Alt entries are justified with 'if BTC stabilizes/bounces this pumps', and alt losses are attributed to BTC ('started great but BTC ruining it'). He sizes alts down when BTC looks weak and closes alts pre-emptively when he expects BTC to reverse.</t>
  </si>
  <si>
    <t xml:space="preserve">#126 (2026-05-15): "Manage your risk as BTC can retrace further though I think we slow grind then weekend Sunday pump and will get the TP"
#272 (2026-05-26): "Just need BTC to get stable or bounce, gonna pump hard."
#336 (2026-06-02): "If BTC stabilizes here, NEAR gonna pump around +10%"
#492 (2026-06-15): "Closed PYTH in very small profits @ 0.392, it's going no where and I'm afraid when BTC reverses it dies."
#586 (2026-06-24): "JUP stopped out, started great but BTC ruining it."</t>
  </si>
  <si>
    <t xml:space="preserve">Relative strength: alts that hold up during a BTC dump</t>
  </si>
  <si>
    <t xml:space="preserve">2026-05-18</t>
  </si>
  <si>
    <t xml:space="preserve">2026-06-30</t>
  </si>
  <si>
    <t xml:space="preserve">He looks for coins that refuse to fall while BTC is falling, and treats that as the setup.</t>
  </si>
  <si>
    <t xml:space="preserve">'Holding well against this dump' is his stated reason to long JUP; the same logic is applied to BOME, XPL, WLD and HYPE. The implied trade is that when BTC bounces, the strong coin gives the outsized move.</t>
  </si>
  <si>
    <t xml:space="preserve">#151 (2026-05-18): "Bome holding it's place despite BTC dump but you never know so manage your risk."
#320 (2026-06-01): "Gotta love XPL for pumping and surviving during dump"
#520 (2026-06-16): "WLD is very strong but in case BTC decides to dip better to add more on lower prices"
#576 (2026-06-24): "Holding well against this dump, expecting it to give a breakout here if BTC reverses."
#630 (2026-06-30): "A bit risky but HYPEs holding well, BTC bounce around 57-58k may send it higher"</t>
  </si>
  <si>
    <t xml:space="preserve">Buy supports, do not chase pumps</t>
  </si>
  <si>
    <t xml:space="preserve">2026-05-26</t>
  </si>
  <si>
    <t xml:space="preserve">His stated preference is to long into support rather than into strength; chasing an extended coin gets a 'half risk' tag.</t>
  </si>
  <si>
    <t xml:space="preserve">When he does take an already-pumped coin he explicitly halves size and says so ('already too pumped and I usually long supports only'). His best-described setup is 'daily support + EMA's were aligned, was breaking out'. Conversely a market that has run hard triggers half risk on new longs.</t>
  </si>
  <si>
    <t xml:space="preserve">#270 (2026-05-26): "Don't go too heavy already too pumped and I usually long supports only"
#328 (2026-06-02): "Better if you use half risk here as it's already too pumped but your choice."
#777 (2026-07-26): "Was an A+ setup, daily support + EMA's were aligned, was breaking out"
#1004 (2026-08-21): "Keeping risk half because market is too pumped!"</t>
  </si>
  <si>
    <t xml:space="preserve">Rejection / wick at a level as the manual exit trigger</t>
  </si>
  <si>
    <t xml:space="preserve">2026-06-11</t>
  </si>
  <si>
    <t xml:space="preserve">He does not usually leave a resting TP; he closes when he sees price reject a level or wick into one.</t>
  </si>
  <si>
    <t xml:space="preserve">'I close around 62 (or until I see a rejection)'; 'if you see rejection after 64k immediately book it because that's resistance too'. He also tells followers to grab wicks when he is asleep ('If you see wicks try to TP'). This converts the exit into a discretionary, level-based decision.</t>
  </si>
  <si>
    <t xml:space="preserve">#451 (2026-06-11): "If you see wicks try to TP too many positions to update at once and it's my sleeping time."
#462 (2026-06-11): "if you see rejection after 64k immediately book it because that's resistance too"
#633 (2026-06-30): "EMA 50 @ 59.3k if you see a hard rejection exit there"
#937 (2026-08-12): "I'm targeting 64.5-64.6k for now can pump upto 65, will exit when I see rejection"</t>
  </si>
  <si>
    <t xml:space="preserve">'Front run' — the belief that his own published levels get pre-empted</t>
  </si>
  <si>
    <t xml:space="preserve">orderflow</t>
  </si>
  <si>
    <t xml:space="preserve">2026-06-03</t>
  </si>
  <si>
    <t xml:space="preserve">2026-07-29</t>
  </si>
  <si>
    <t xml:space="preserve">He believes limit orders at obvious levels get front-run, so he prefers to buy at market and posts levels only after entering.</t>
  </si>
  <si>
    <t xml:space="preserve">He repeatedly cancels or skips limits that were 'front ran', enters CMP instead ('I don't want to take my chances front ran'), and posts the trade after he is filled. It is his stated reason for the CMP-first entry style.</t>
  </si>
  <si>
    <t xml:space="preserve">#352 (2026-06-03): "Cancelled, up 2.5R already, missed by 4$ front ran"
#571 (2026-06-22): "I have a feeling I'm being front run here, want to enter at 63.6k CMP"
#711 (2026-07-15): "Also a good price to enter is 65-65.1k but I don't want to take my chances front ran."
#820 (2026-07-29): "We getting front run"</t>
  </si>
  <si>
    <t xml:space="preserve">Fading the crowd's positioning in chat</t>
  </si>
  <si>
    <t xml:space="preserve">sentiment</t>
  </si>
  <si>
    <t xml:space="preserve">2026-05-21</t>
  </si>
  <si>
    <t xml:space="preserve">2026-07-27</t>
  </si>
  <si>
    <t xml:space="preserve">He uses what members and the wider chat are doing — mostly shorting — as a contrarian marker.</t>
  </si>
  <si>
    <t xml:space="preserve">When 'everyone else is shorting' he stays long and posts his green position as proof; when many members want to short a coin he tells them to long it instead. He also declares 'don't force short' and 'don't short blindly' at the point where the crowd is bearish.</t>
  </si>
  <si>
    <t xml:space="preserve">#180 (2026-05-21): "I saw some in chat saying I'm getting rekt because everyone else is shorting"
#277 (2026-05-26): "anyhow I told you we are going up no need to short, glad I held my place!"
#543 (2026-06-18): "Since alot of you trying to short LAB... For now try longing it instead of shorting"
#789 (2026-07-27): "Btw as mentioned, BTC 66k+, it's going...ETH 2k+...Don't short blindly"</t>
  </si>
  <si>
    <t xml:space="preserve">LTF vs HTF split: wait on lower timeframe, position on higher</t>
  </si>
  <si>
    <t xml:space="preserve">2026-05-09</t>
  </si>
  <si>
    <t xml:space="preserve">2026-08-10</t>
  </si>
  <si>
    <t xml:space="preserve">He checks a lower timeframe for entry timing while the trade thesis lives on the 4h/daily.</t>
  </si>
  <si>
    <t xml:space="preserve">'LTF looks bearish so waiting for entry' — he delays a planned setup rather than entering immediately, and tells followers not to place limits until he confirms. He separately offers 5m entries as unofficial ideas that will not be counted in his record.</t>
  </si>
  <si>
    <t xml:space="preserve">#43 (2026-05-09): "LTF looks bearish so waiting for entry... but don't place any limits I'll let you know when I enter."
#135 (2026-05-16): "If anyone like ltf entries (5m)... Just an idea won't count TP or SL, not an official trade."
#929 (2026-08-10): "I think 61.5k we go for a bounce on HTF"</t>
  </si>
  <si>
    <t xml:space="preserve">A separate gold/oil book, deliberately excluded from the crypto tally</t>
  </si>
  <si>
    <t xml:space="preserve">instrument</t>
  </si>
  <si>
    <t xml:space="preserve">2026-08-06</t>
  </si>
  <si>
    <t xml:space="preserve">He trades gold (XAU) and, once, WTI oil as a side book whose results he keeps out of his crypto win-rate statistics. He offered gold as an intermarket read on BTC exactly once.</t>
  </si>
  <si>
    <t xml:space="preserve">AUDIT CORRECTION - this item was previously framed as an intermarket signal. Only one message in 1,005 makes the gold-&gt;BTC inference, and he hedges it as 'just a thought' (msg 424). He never traded crypto off it. What the evidence actually shows is a separate forex book, posted on request from chat, with its own summary: 'I won't count gold trades in crypto summary but will make separate summary for these trades' (msg 405). This matters for the record-keeping picture more than for the method.</t>
  </si>
  <si>
    <t xml:space="preserve">#405 (2026-06-09): "Guys I won't count gold trades in crypto summary but will make separate summary for these trades"
#351 (2026-06-03): "Short GOLD (XAU) ... I won't count this with Crypto TP or SL, this for who do forex and demanded in chat."
#884 (2026-08-05): "Shorted gold from 4162, will keep 30% for DCA...SL @ 4269"
#424 (2026-06-10): "Gold dumped, BTC didn't...These days they both move together, If Gold pumps probably takes BTC higher, just a thought."
#489 (2026-06-15): "I regret not giving oil here I thought I have a bad entry"</t>
  </si>
  <si>
    <t xml:space="preserve">Risks 1-2% on alts, 3-5% on BTC</t>
  </si>
  <si>
    <t xml:space="preserve">Risk rule</t>
  </si>
  <si>
    <t xml:space="preserve">EXPLICIT AND OFTEN REPEATED - this is his headline teaching, stated identically in May, July and again on 31 Jul. Earliest version was '2% on normal trades and 1% on risky ones'. AUDIT CORRECTION: the playbook's 'BEHAVIOURAL CONTRADICTION' is DROPPED - both legs collapse on inspection. The 10-20% risk is a disclosed, ring-fenced $89.36 novelty account he announced as a 'for fun' 2x challenge and explicitly told members not to copy (msg 221). The +30.92%-in-four-days curve captioned 'This is where I risk only 3-5% per trade' is arithmetically consistent with 3-5% risk, because the message immediately before it posts the exchange's own stats panel for that same window showing 11 closed orders and 11 winners. Nothing in 1,005 messages shows him exceeding his stated risk on his main book. The honest finding is that he discloses the carve-out.</t>
  </si>
  <si>
    <t xml:space="preserve">#23 (2026-05-08): "Manage risk. I risk 2% on normal traders and 1% on risky ones!"
#213 (2026-05-23): "Also guys, I risk 1-2% on ALTs and 3-5% on BTC trades"
#221 (2026-05-23): "don't follow it on main account I'll try to risk 10-20% which isn't healthy for your main wallet"
#687 (2026-07-06): "This is where I risk only 3-5% per trade"
#846 (2026-07-31): "I risk 2% on ALTs, 3-5% on BTC"</t>
  </si>
  <si>
    <t xml:space="preserve">Size every trade with a position-size calculator; leverage is irrelevant</t>
  </si>
  <si>
    <t xml:space="preserve">EXPLICIT. He posted a step-by-step tutorial (wallet, risk %, entry, SL -&gt; coin quantity), told members to set orders 'By Amount' on the exchange, and argued that once the coin quantity is right the leverage number does not matter. The observed leverage on his own share cards is nevertheless extreme (150x most common, 250x, 300x, 500x seen), which is consistent with the claim only if margin is tiny.</t>
  </si>
  <si>
    <t xml:space="preserve">#214 (2026-05-23): "Learn to use risk calculator and I PROMISE YOU, YOU'LL END MONTHLY PROFITABLE WITH ME AND NEVER EVER GET LIQUIDATED."
#216 (2026-05-23): "Step1: Write your wallet Step2: Write your risk % Step3: Write your Entry SL Step4: It gives you a position size"
#218 (2026-05-23): "you don't have to worry how much leverage to use, you can use even 500x as long as you're writing down the same amount!"
#777 (2026-07-26): "Just risk 2-3% per setup please, use a risk calculator if you don't know how to."</t>
  </si>
  <si>
    <t xml:space="preserve">'Half risk' / 'weekend size' tag on anything he judges risky</t>
  </si>
  <si>
    <t xml:space="preserve">EXPLICIT AND HEAVILY USED - 54 messages on the broad pattern (half risk / half margin / weekend size / go low / small margin / risk half). He grades each call and attaches a size instruction: half risk for risky setups, shitcoins, pumped markets, weekends, pre-FOMC, wide or manual stops, and anything against his own directional bias. This is his main risk lever, applied per-trade rather than through stop distance. WORTH NAMING: the label is also used retrospectively, after a loss, to assign responsibility for the outcome to the follower's sizing - 'mentioned it was risky so hopefully risk was managed' (msg 639), 'If anyone used half risk as I mentioned I promise we will use full risk and quickly recover' (msg 997).</t>
  </si>
  <si>
    <t xml:space="preserve">#91 (2026-05-13): "Risky trade go half. I hate ETH."
#136 (2026-05-16): "Entered ETH long here using 0.5% margin/risk only"
#700 (2026-07-10): "Shitcoins so don't go too heavy 2% at max"
#920 (2026-08-10): "Half risk on shitcoins"
#960 (2026-08-17): "I'm using half risk because bullish on BTC"
#997 (2026-08-21): "If anyone used half risk as I mentioned I promise we will use full risk and quickly recover."</t>
  </si>
  <si>
    <t xml:space="preserve">Soft SL (4h close) plus a wider hard SL to survive liquidation wicks</t>
  </si>
  <si>
    <t xml:space="preserve">EXPLICIT but a minority structure. On some trades he gives two stops: a discretionary one on a 4h close and a hard order further away, whose stated purpose is anti-liquidation rather than risk-limitation. He acknowledges the soft stop costs him R and sometimes tightens it deliberately. AUDIT CORRECTION - SOFTENED: only 14 of 139 signal posts (10%) publish a candle-close soft SL and only 10 publish the soft+hard pair; 90% of his signals carry a plain numeric stop. Across 217 positions there are 45 stop moves, of which only 15 are a widen, extend, remove or hard-to-manual switch (7% of positions). And all 35 of his losses did close at a stop. The mechanic is real and decisive when it fires, but it is not a standing feature of the book.</t>
  </si>
  <si>
    <t xml:space="preserve">#338 (2026-06-02): "Hard SL @ 0.0627, dont want anyone to get liquidated if a crashing wick comes in!"
#344 (2026-06-03): "Bringing SL closer to improve R and avoid soft SL"
#365 (2026-06-03): "Have a hard SL somewhere around 63-64k to avoid liqudiation wick"
#827 (2026-07-29): "if you enter at DCA lower your SL a bit or keep it manual to survive wicks I guess"
#902 (2026-08-06): "SL: 4h close above 66k or hard SL @ 66.3k"</t>
  </si>
  <si>
    <t xml:space="preserve">Cap total risk after DCA at ~1.5R; cap the number of concurrent positions</t>
  </si>
  <si>
    <t xml:space="preserve">EXPLICIT but soft. After averaging down he states the aggregate risk in R and gives a ceiling. Separately he repeatedly refuses good-looking setups because too many positions are already open, and closes trades purely to reduce clutter.</t>
  </si>
  <si>
    <t xml:space="preserve">#437 (2026-06-10): "Added some more @ 0.47, avg is 0.484, risking 1.3R don't risk more than 1.5R"
#24 (2026-05-08): "I like SLP and KERNEL too but I think 4 are enough for now"
#187 (2026-05-22): "Ngl SUI looks too good on daily but I have 3 trades running here so imma hold myself"
#769 (2026-07-25): "Too many trades running it's getting messy so closing this now"</t>
  </si>
  <si>
    <t xml:space="preserve">Lower risk on funded/prop accounts than on live money</t>
  </si>
  <si>
    <t xml:space="preserve">EXPLICIT, stated once with specific numbers, and consistent with his early Bybit screenshots being from a CFT funded account.</t>
  </si>
  <si>
    <t xml:space="preserve">#495 (2026-06-15): "don't risk more than 1% on real and 0.3-0.4% funded because market's highly bullish!"
#30 (2026-05-08): "Btw not trading demo it's CFT funded account on Bybit just clarifying"</t>
  </si>
  <si>
    <t xml:space="preserve">De-risk the capital, not just the price: pull the DCA money back out, take 10% to cover fees, small accounts close fully at TP1</t>
  </si>
  <si>
    <t xml:space="preserve">EXPLICIT. Once a DCA fills and the position returns to breakeven he tells members to withdraw the DCA tranche so the trade reverts to original size. Separately he recommends booking ~10% purely to cover fees before moving the stop to entry, so a breakeven stop is not actually a small loss. Guidance is scaled by account size, with small accounts told to take the whole TP rather than run partials.</t>
  </si>
  <si>
    <t xml:space="preserve">#19 (2026-05-08): "DCA filled and at BE (79590)...Kindly take out your DCA value here."
#154 (2026-05-19): "if you have a small account close entirely here or just SL to entry and exit at first TP"
#181 (2026-05-21): "Or just 10% as your fee and SL to entry to be safe"
#672 (2026-07-05): "Move SL to entry, setting TP @ 453.23...Can take 10% to get your fee in case it stops BE"</t>
  </si>
  <si>
    <t xml:space="preserve">Cut risk after a losing run</t>
  </si>
  <si>
    <t xml:space="preserve">BEHAVIOURAL, appears at the end of the sample. After five stops in two days he moved to half risk and then closed a live long at breakeven rather than carry it.</t>
  </si>
  <si>
    <t xml:space="preserve">#997 (2026-08-21): "Sorry for the past 2 days, had 5 SLs, 5 SLs is how much u have monthly usually."
#1004 (2026-08-21): "Trying a half risk BTC long... Keeping risk half because market is too pumped!"
#1005 (2026-08-21): "Closing long at BE, getting risky and I already have 5 SLs I'm gonna play safe."</t>
  </si>
  <si>
    <t xml:space="preserve">Market entry at CMP with an announced split (50/50, 70/30, 40/40/20)</t>
  </si>
  <si>
    <t xml:space="preserve">Entry pattern</t>
  </si>
  <si>
    <t xml:space="preserve">EXPLICIT AND DOMINANT - 240 messages contain 'CMP', and a strict regex finds 139 signal-format posts (Long/Short TICKER + Entry). The template is fixed: Long/Short TICKER, Entry: X CMP, DCA: Y, TP, SL, @Paladin Notify. He states the split in percentages and tells people how to divide the funds. He uses genuine limit orders rarely and flags them ('It's a CMP order, if it's a limit I always write limit').</t>
  </si>
  <si>
    <t xml:space="preserve">#9 (2026-05-07): "Entry: 50%...DCA: 50%"
#441 (2026-06-10): "Entry: 62.2k CMP (40%)...DCA: 61k (40%)...DCA2: 60.7k (20%)"
#443 (2026-06-10): "if you don't know how to divide easy way is to go to chatgpt and tell to divide the total amount into 40-40-20%"
#806 (2026-07-28): "It's a CMP order, if it's a limit I always write limit"</t>
  </si>
  <si>
    <t xml:space="preserve">Reserves a DCA tranche below entry - a rescue tool on a minority of trades, not the engine of the win rate</t>
  </si>
  <si>
    <t xml:space="preserve">AUDIT CORRECTION - the causal claim is DROPPED. The playbook said the reserved tranche 'is the mechanism that turns a losing entry into a winner'; the outcomes refute it. A DCA tranche is his standard tool for a bad entry, but not a standing feature of every trade: 53 of 139 signal posts (38%) publish a DCA level, 57 of the 200 positions he actually took plan one, and only 30 (14%) ever fill it. Decisively, positions where a DCA filled won 19 and lost 9 (68%), while positions with no DCA fill won 101, lost 26 and scratched 10 (74% including breakevens, 80% excluding) - the DCA cohort performs WORSE, so the reserved tranche cannot be what produces the headline win rate. It does genuinely rescue individual trades ('From almost an SL to a decent TP with a DCA in', msg 959; 'BTC TP hit with a DCA filled so good gains', msg 725), on roughly one trade in seven. The 162-message figure below is a count of DCA chatter, not of signals that reserve a tranche.</t>
  </si>
  <si>
    <t xml:space="preserve">#11 (2026-05-07): "Keep 50-30% funds for DCA but optional you can go all in here"
#595 (2026-06-25): "Entry: 61.3k CMP (50%)...Save DCA for 50%...For a safer entry just enter when I DCA"
#725 (2026-07-17): "BTC TP hit with a DCA filled so good gains! Avg was 63.1k"
#941 (2026-08-13): "BTW DCA is recommended entry, if you're entered at CMP like me 50-50% at least in profits"
#959 (2026-08-17): "From almost an SL to a decent TP with a DCA in"</t>
  </si>
  <si>
    <t xml:space="preserve">Two parallel books on BTC: a 0.5R scalp and a 2-3R swing</t>
  </si>
  <si>
    <t xml:space="preserve">EXPLICIT — he says so outright and often posts both at once with different SLs and TPs from nearly the same entry, letting followers pick. The scalp carries the win rate, the swing carries the R.</t>
  </si>
  <si>
    <t xml:space="preserve">#149 (2026-05-18): "Sometimes I'll have 2 BTC setups, scalps that I do very often (high WR low RR) and swings (low WR high RR)"
#464 (2026-06-11): "BTC scalps (High Win Rate low R)...High risk high reward trades (High R (+2 at least before any trim)...1R scalps (Mid risk)...That's how my trades are structured"
#540 (2026-06-17): "Swing avg is 64.5k...Scalp entry @ 64260...TP for swing 67-68k...TP for scalp 65k (0.5R)"
#722 (2026-07-17): "And if you want swing...Entry: 63323 CMP...TP: 65-66k...SL: 61.3k"</t>
  </si>
  <si>
    <t xml:space="preserve">Structural long bias — roughly 3 longs published for every short</t>
  </si>
  <si>
    <t xml:space="preserve">BEHAVIOURAL AND SELF-ACKNOWLEDGED. AUDIT CORRECTION to the counts: a strict regex finds 139 signal-format posts split 106 long / 33 short (3.2:1); the reconstructed position log has 152 longs and 47 shorts among the 200 positions he actually took (3.2:1). The playbook's '113 longs and 39 shorts of 151' was a soft estimate. The 'roughly 3 longs per short' claim is solid. Longs won 78% of resolved outcomes excluding breakevens, shorts 74% - so the bias is not a handicap in this sample, but his worst stretch (five stops in two days, 19-21 Aug) came from shorting against his own bullish view. He admits 'Idk I'm usually always bullish' and 'I'm the most bullish guy here'.</t>
  </si>
  <si>
    <t xml:space="preserve">#478 (2026-06-13): "Idk I'm usually always bullish."
#447 (2026-06-11): "Nonetheless I have a 6 win streak on BTC going on, interestingly all longs"
#977 (2026-08-19): "I'm the most bullish guy here and I'm getting fked in shorts"
#997 (2026-08-21): "I counter traded myself by BTC short, pretty shitty feeling rn"</t>
  </si>
  <si>
    <t xml:space="preserve">Grades and labels every call before the entry ('risky', 'gamble', 'half risk', 'swing', 'scalp', 'shitcoin')</t>
  </si>
  <si>
    <t xml:space="preserve">EXPLICIT AND SYSTEMATIC. Each signal carries a risk label that pre-commits the follower's sizing, and he leans on the label after a loss ('mentioned it was risky so hopefully risk was managed'). 'Gamble trade' is reserved for shitcoins and pre-event entries.</t>
  </si>
  <si>
    <t xml:space="preserve">#122 (2026-05-14): "HALF MARGIN TRADE gambling here. Don't lose today's profits on it, go low!"
#593 (2026-06-25): "Shitcoin, total gambling don't risk more than 2%"
#639 (2026-07-01): "HYPE stopped mentioned it was risky so hopefully risk was managed."
#904 (2026-08-06): "Gambe trade...Long TRADOOR...Risky, shitcoin, please go low or half!"</t>
  </si>
  <si>
    <t xml:space="preserve">Reduce-and-re-add to improve the average and the R</t>
  </si>
  <si>
    <t xml:space="preserve">BEHAVIOURAL. When a position is green but the entry was poor, he tells followers to cut size in profit and add the rest lower, explicitly to 'improve R'. He applies the same logic to his own stop placement (tightening the SL to make the ratio better).</t>
  </si>
  <si>
    <t xml:space="preserve">#521 (2026-06-16): "It's green rn so you can reduce size from 70% to 50% rn"
#557 (2026-06-19): "You can reduce size to 50% in profits and add 50% at 61.5k this will improve R and a good entry"
#805 (2026-07-28): "Can use 61.7k to improve R a bit but I just wanna play safe here."
#836 (2026-07-30): "You can short using 66k as SL to improve R I'm using 66.5k"</t>
  </si>
  <si>
    <t xml:space="preserve">Trades ideas without official status when he does not want them in the record</t>
  </si>
  <si>
    <t xml:space="preserve">BEHAVIOURAL. Ideas posted as 'not an official setup' / 'won't count TP or SL' let him publish calls whose outcomes never touch the monthly win-rate table — including gold, 5m entries, and coins he is not personally taking.</t>
  </si>
  <si>
    <t xml:space="preserve">#135 (2026-05-16): "Just an idea won't count TP or SL, not an official trade."
#317 (2026-06-01): "I'm not personally taking it but if anyone wants to try. Not a signal"
#405 (2026-06-09): "Guys I won't count gold trades in crypto summary but will make separate summary for these trades"
#843 (2026-07-31): "Not an official setup, had 40+ setups this month gonna chill rn"</t>
  </si>
  <si>
    <t xml:space="preserve">Stop to entry / BE after TP1 or ~1R</t>
  </si>
  <si>
    <t xml:space="preserve">Management tactic</t>
  </si>
  <si>
    <t xml:space="preserve">EXPLICIT RULE HE TEACHES ('Common knowledge but a reminder, SL to Entry after TP1'), instructed in ~44 messages. AUDIT CORRECTION - SOFTENED from 'the follower-facing rule and his own behaviour diverge': he does do it, just selectively - 22 of 217 positions (10%) carry a recorded to-entry stop move - and he makes a point of announcing the exceptions loudly ('will play full setup either SL or TP'). The finding is inconsistency plus loud self-exemption, not outright divergence.</t>
  </si>
  <si>
    <t xml:space="preserve">#39 (2026-05-09): "Common knowledge but a reminder, SL to Entry after TP1"
#155 (2026-05-19): "ZEC going hard, took 20% SL to entry, saving majority for TPs"
#182 (2026-05-21): "Personally didn't move SL to entry, will play full setup either SL or TP (78.4k+)"
#306 (2026-05-29): "Still holding BTC, either a full TP or SL, not moving SL to entry."
#754 (2026-07-23): "Took 70% fully at 65120, SL to BE"</t>
  </si>
  <si>
    <t xml:space="preserve">He takes one full TP and no partials — while telling followers to take partials</t>
  </si>
  <si>
    <t xml:space="preserve">EXPLICIT AND CENTRAL TO HIS IDENTITY: 'Since I don't take partials and take only 1TP so calculating my real R is very easy!' He frames partial-taking as inflating other traders' R. THE PLAYBOOK'S STRONGEST CONTRADICTION, CONFIRMED BY AUDIT AND KEPT AS-IS: on 2026-06-11 at 15:59 he wrote 'I'm still in BTC long from 62.2k I only took 25% at 63k'; at 22:42 the SAME DAY he wrote 'Made 3.2R today, that's realized without any partials, I don't take partials!'. Behaviourally, 43 of 217 positions carry a recorded partial exit - 47 partial exits in total, sized 50% (x11), 25% (x9), 20% (x9), 70% (x3), and one each at 30/40/60/75/10%. The only mitigation is that his July stats line reads '23.5R (Without Partials)', i.e. he claims the ACCOUNTING excludes partials - but that is a different claim from 'I don't take partials', which he states flatly and repeatedly.</t>
  </si>
  <si>
    <t xml:space="preserve">#226 (2026-05-23): "SUI almost TP1, only take 25-40% and save majority for when I exit, I personally take no partials."
#465 (2026-06-11): "Made 3.2R today, that's realized without any partials, I don't take partials!"
#457 (2026-06-11): "I'm still in BTC long from 62.2k I only took 25% at 63k"
#522 (2026-06-16): "Take 50, I don't take partials but I advise if you take partials at least do 50%"
#802 (2026-07-27): "Unlike some trades I don't take partial TPs and then count it a whole 5R move when I already took 50% at TP1"</t>
  </si>
  <si>
    <t xml:space="preserve">Discretionary early exit - he closes manually, below his own target, and manual closes never lose</t>
  </si>
  <si>
    <t xml:space="preserve">AUDIT REPLACEMENT for the playbook's 'breakeven exits framed as discipline'. Literal breakeven exits are too rare to carry the win rate (only 10-11 of 217 positions end BE), but the mechanism sitting next to them is bigger and cleaner. He closes MANUALLY, on his own read, usually before the published target - and manual closes essentially never lose. Of the 62 positions closed by discretionary exit, 61 are wins, 1 is breakeven, and ZERO are losses. Every one of his 35 losses arrived through a stop. Only 45 of 120 wins (38%) actually reached a target he had published; at least 26 wins were manual closes booked SHORT of the stated TP (BTC 2026-06-17 exited 63,923 against a published 65,000; BB 2026-05-14 exited 0.0371 against a published 0.39; SOL 2026-06-11 exited 67.24 against 68). There are more manual closes (62) than take-profits (45). Breakeven and 'small profits' exits - 44 messages, 15 of them using 'small profits' explicitly - are simply the most extreme version of the same act, framed as discipline. Followers who set the published TP and waited would have had a materially different, and worse, experience than his tally implies.</t>
  </si>
  <si>
    <t xml:space="preserve">#110 (2026-05-14): "I exited early because it invalidated my setup, it almost touched my SL so better to be disciplined and get out around BE, much better than SL at least?"
#423 (2026-06-10): "Exiting BTC in small profits @ 61.6k... Small win but better than red"
#718 (2026-07-16): "Closed for a very small profit, I have a feeling BTC wants 66k today better close here than in red"
#793 (2026-07-27): "Closing XRP in very small profits rn, slow mover and we have new trades"
#957 (2026-08-17): "Closing BTC here in some profits. Profits aren't much but what's nice is we survived a SL, the win streak continues!"</t>
  </si>
  <si>
    <t xml:space="preserve">Small, quickly-taken targets: 0.5-0.8R on scalps</t>
  </si>
  <si>
    <t xml:space="preserve">EXPLICIT IN HIS OWN WORDS; ONLY HALF-CONFIRMED BY THE RECONSTRUCTION. He states BTC scalps are '90% WR but 0.5R TPs', that his average TP was 0.64R in May, and that his R is '0.5-0.8R on avg' - 31 messages state a figure in that band - and defends it because 'there are so many TPs that 2 trades cover 1SL easily'. AUDIT CORRECTION: of 120 winning positions only 27 carry a stated R, and their median is 1.00R (mean 1.05R); 11 of 27 are &lt;=0.8R, 18 of 27 are &lt;=1.0R, 8 are exactly 0.5R and 2 are &gt;=2R. So the observable win distribution centres on 1R, not 0.5-0.8R, and that sample is self-selected because he reports R when it flatters. The playbook's 'CONFIRMED BY HIS OWN STATS' is downgraded: his own stats confirm it, the record only half-confirms it. Median hold is 17.2 hours (mean 33.9, max 453), consistent with the fast-target claim.</t>
  </si>
  <si>
    <t xml:space="preserve">#318 (2026-06-01): "RR:** 23.6...Avg TP R:** 0.64...Highest R Trade:** HYPE (5 R)"
#410 (2026-06-09): "Example is DEXE or BEAT trades (low win rate but minimum 2R TP)...BTC scalps (90% WR but 0.5R TPs)"
#802 (2026-07-27): "Yes my R is small 0.5-0.8R on avg but there are so many TPs that 2 trades cover 1SL easily"
#929 (2026-08-10): "I usually target 0.5R for scalps"</t>
  </si>
  <si>
    <t xml:space="preserve">Manual take-profit; resting TP orders are removed or overridden</t>
  </si>
  <si>
    <t xml:space="preserve">EXPLICIT from the first week ('I take manual TPs but you can set in case'). He often removes a set TP to extend the target, or closes early before the TP because of a rejection. This gives him discretion to book a small win at any moment - and it is the operational half of the discretionary-exit mechanic above.</t>
  </si>
  <si>
    <t xml:space="preserve">#5 (2026-05-07): "TP1: 3.669 (I take manual TPs but you can set in case)"
#105 (2026-05-14): "Remove the first TP 0.039 will take full TP around 0.404"
#355 (2026-06-03): "Up 1.6R, I'm removing my TP @ 18 and will close manually, trying for a 3R or around 17.5 on this"
#438 (2026-06-10): "Also fully out of BTC @ 62.7k don't want to round trip these gains"</t>
  </si>
  <si>
    <t xml:space="preserve">Widening, making manual, or removing the stop rather than taking the loss - rare, but decisive when it happens</t>
  </si>
  <si>
    <t xml:space="preserve">BEHAVIOURAL, and directly contradicts his own teaching. He has extended stops mid-trade, switched a hard stop to 'manual 4h close', held past a stop he had published, run an ETH short with no stop at all, and once removed his BTC stop entirely with the reasoning 'if I get stopped I'll short again so not gonna accept my SL here'. AUDIT CORRECTION - SOFTENED: documented 15 times across 217 positions (7%), not habitually. He also states the opposite instinct - 'don't want a trade running publicly without SL' (msg 550) - and 90% of the time he leaves the stop where he put it. ALSO FOLDED IN HERE (moved out of what_he_never_does, where it was refuted): the claim that he never lets a public signal run without a stated stop does not hold. He ran the 1840 ETH short with no stop for at least a day AND publicly invited followers into it - 'I don't have a SL for this, maybe 2k? But I'm using 1% margin with Max Lev if anyone wants to join' (msg 853) - while calling it 'personal'.</t>
  </si>
  <si>
    <t xml:space="preserve">#368 (2026-06-04): "Alright guys, BTC closed below the manual SL you guys can exit if you can't risk no more. I'LL PERSONALLY HOLD TILL 63K"
#381 (2026-06-05): "I'm extending SL to 59k, I'll personally hold it till 58.5k"
#550 (2026-06-18): "still believe I'll get my entry but don't want a trade running publicly without SL"
#860 (2026-08-02): "One thing ETH I'm holding without SL so it's more like a personal trade...I do not recommend trading without SL"
#969 (2026-08-18): "Removing BTC SL for now will wait a 4h close above 65.2k...Reason is if I get stopped I'll short again so not gonna accept my SL here"
#853 (2026-08-01): "Personally I have started a ETH short from 1840, I don't have a SL for this, maybe 2k?"</t>
  </si>
  <si>
    <t xml:space="preserve">Re-run the identical setup after it works</t>
  </si>
  <si>
    <t xml:space="preserve">BEHAVIOURAL. When a level-based BTC setup pays, he immediately re-posts the same entry/DCA/TP/SL and trades it again, sometimes back-to-back within days, and counts each as a separate win.</t>
  </si>
  <si>
    <t xml:space="preserve">#179 (2026-05-21): "Targeting 78+ again, it's the same last setup playing again"
#764 (2026-07-24): "Great exit on our BTC long, will use this setup again...Entry: 64.7...DCA: 64.1k...TP SL same"
#780 (2026-07-26): "Used same setup for both, won 6 out of 6 BTC trades last week!"
#371 (2026-06-04): "Longed BTC again from 62.8k same setup, get in CMP"</t>
  </si>
  <si>
    <t xml:space="preserve">Explicit percentage instructions to followers at every milestone</t>
  </si>
  <si>
    <t xml:space="preserve">EXPLICIT AND CONSTANT. He converts every update into an actionable size instruction — 'take 20-25% here', 'take 10-20% MAX', 'only take 25-40% and save majority', '50% here and remaining 50% at X'. He also caps how much followers should take when he wants them to hold.</t>
  </si>
  <si>
    <t xml:space="preserve">#140 (2026-05-17): "ETH over 1R, you can take 25-50% here"
#204 (2026-05-23): "BTC may bounce so securinh my shorts, take 10-20% MAX!"
#326 (2026-06-01): "Up 1.2R take 10-20% only, save MAJORITY!"
#534 (2026-06-17): "20% here (1R)...30% @ 67k...50% remaining at 68k"</t>
  </si>
  <si>
    <t xml:space="preserve">Add to a position that is already green ('you don't add margin to a green trade unless you're confident')</t>
  </si>
  <si>
    <t xml:space="preserve">BEHAVIOURAL AND EXPLICIT. Distinct from DCA-down: when a trade is working and he is confident he increases size, then targets the same level for a bigger result. He also converts a half-risk position to full risk once it is above breakeven.</t>
  </si>
  <si>
    <t xml:space="preserve">#163 (2026-05-20): "The original entry was from 540 I saw strength and added alot at 582 hence the avg changed."
#508 (2026-06-16): "Guys I have made BTC to full 1R, I was in 0.5R, full risk on it now, can still add if you want as it's above BE"
#569 (2026-06-22): "you don't add margin to a green trade unless you're confident!"
#564 (2026-06-20): "Added 25% here at 63.8k, new avg is 63k"</t>
  </si>
  <si>
    <t xml:space="preserve">Date</t>
  </si>
  <si>
    <t xml:space="preserve">Period claimed</t>
  </si>
  <si>
    <t xml:space="preserve">Claim</t>
  </si>
  <si>
    <t xml:space="preserve">Total</t>
  </si>
  <si>
    <t xml:space="preserve">R or %</t>
  </si>
  <si>
    <t xml:space="preserve">His words</t>
  </si>
  <si>
    <t xml:space="preserve">2026-05-06</t>
  </si>
  <si>
    <t xml:space="preserve">the month before joining the server (personal journals, pre-2026-05-06)</t>
  </si>
  <si>
    <t xml:space="preserve">25 trades, 22 wins, 3 BE, 0 losses</t>
  </si>
  <si>
    <t xml:space="preserve">2026-05-10</t>
  </si>
  <si>
    <t xml:space="preserve">streak since the 2026-05-07 start of posting</t>
  </si>
  <si>
    <t xml:space="preserve">8 consecutive wins</t>
  </si>
  <si>
    <t xml:space="preserve">2026-05-11</t>
  </si>
  <si>
    <t xml:space="preserve">10 consecutive wins</t>
  </si>
  <si>
    <t xml:space="preserve">10/10 win streak itemised: UNI, SNX, BTC, ASTER, KERNEL, ZRO, AVNT, SYRUP, ETH, BTC</t>
  </si>
  <si>
    <t xml:space="preserve">12 consecutive wins</t>
  </si>
  <si>
    <t xml:space="preserve">since 2026-05-07 (all server trades to date)</t>
  </si>
  <si>
    <t xml:space="preserve">14 trades, 12 wins (UNI, SNX, BTC, ASTER, KERNEL, ZRO, AVNT, SYRUP, ETH, BTC, ZRO, BTC), 2 losses (BTC, ETH)</t>
  </si>
  <si>
    <t xml:space="preserve">85.7% win rate implied</t>
  </si>
  <si>
    <t xml:space="preserve">2026-05-12</t>
  </si>
  <si>
    <t xml:space="preserve">since 2026-05-07 ('in this server')</t>
  </si>
  <si>
    <t xml:space="preserve">37 of 39 trades hit TP, only 2 SLs out of nearly 40 trades</t>
  </si>
  <si>
    <t xml:space="preserve">94.9% win rate implied</t>
  </si>
  <si>
    <t xml:space="preserve">2026-05-14 (single day)</t>
  </si>
  <si>
    <t xml:space="preserve">4/4 today - 2 small wins XRP/SOL, 1 decent win ENS, 1 major win BTC</t>
  </si>
  <si>
    <t xml:space="preserve">20 trades, 16 wins (UNI, SNX, BTC, ASTER, KERNEL, ZRO, AVNT, SYRUP, ETH, BTC, ZRO, BTC, SOL, XRP, BTC, ENS), 4 losses (BTC, ETH, BTC, ETH)</t>
  </si>
  <si>
    <t xml:space="preserve">80.0% win rate implied</t>
  </si>
  <si>
    <t xml:space="preserve">2026-05-23</t>
  </si>
  <si>
    <t xml:space="preserve">overnight of 2026-05-22 into 2026-05-23</t>
  </si>
  <si>
    <t xml:space="preserve">'a couple' of stop losses on the overnight crash; BTC missed TP by $200 many times; promises 3 wins before taking a planned break</t>
  </si>
  <si>
    <t xml:space="preserve">2026-05-23 (single day)</t>
  </si>
  <si>
    <t xml:space="preserve">BEAT +1R (ran 2R then hit BE), HYPE +1.2R; recovers the previous day's AVAX + XPL losses; BTC loss still outstanding</t>
  </si>
  <si>
    <t xml:space="preserve">+2.2R day (BEAT 1R + HYPE 1.2R)</t>
  </si>
  <si>
    <t xml:space="preserve">2026-05-24</t>
  </si>
  <si>
    <t xml:space="preserve">gave roughly 5R on the day</t>
  </si>
  <si>
    <t xml:space="preserve">+5R day (superseded 1 minute later by msg 244)</t>
  </si>
  <si>
    <t xml:space="preserve">revised: 8R on the day, including 3R on HYPE</t>
  </si>
  <si>
    <t xml:space="preserve">+8R day</t>
  </si>
  <si>
    <t xml:space="preserve">2026-06-01</t>
  </si>
  <si>
    <t xml:space="preserve">May 2026 (full month)</t>
  </si>
  <si>
    <t xml:space="preserve">MAY summary: 60 trades, 51 wins, 9 losses, 85.0% win rate, +159.60% net, RR 23.6</t>
  </si>
  <si>
    <t xml:space="preserve">+159.60% net, RR 23.6</t>
  </si>
  <si>
    <t xml:space="preserve">May R breakdown: RR 23.6, average TP 0.64R, highest R trade HYPE at 5R; rough model 0.5R per TP vs -1R per SL, with ZEC 3R and HYPE 5R as outliers</t>
  </si>
  <si>
    <t xml:space="preserve">RR 23.6, avg TP 0.64R, best trade HYPE 5R</t>
  </si>
  <si>
    <t xml:space="preserve">2026-06-02</t>
  </si>
  <si>
    <t xml:space="preserve">June 2026 month-to-date (2026-06-01 to 2026-06-02)</t>
  </si>
  <si>
    <t xml:space="preserve">June so far: 3 TPs (XPL, RAY, BNB) vs 1 SL (SOL); restates May as 50+ wins and 20+ R</t>
  </si>
  <si>
    <t xml:space="preserve">2026-06-03 (single day) plus forward promises</t>
  </si>
  <si>
    <t xml:space="preserve">currently -3R on the day; promises +3R by the end of the week and 10R for the month</t>
  </si>
  <si>
    <t xml:space="preserve">-3R day; promised +3R by week end and +10R for June</t>
  </si>
  <si>
    <t xml:space="preserve">2026-06-11 (single day)</t>
  </si>
  <si>
    <t xml:space="preserve">3.2R realized on the day without partials; cards posted for BTC (250x +363.9%), SOL (125x +778.04%), ALLO (100x +762.19%), INJ (75x +216.11%)</t>
  </si>
  <si>
    <t xml:space="preserve">+3.2R day</t>
  </si>
  <si>
    <t xml:space="preserve">2026-07-05</t>
  </si>
  <si>
    <t xml:space="preserve">early July 2026 (2026-07-03 to 2026-07-05)</t>
  </si>
  <si>
    <t xml:space="preserve">2026-07-06</t>
  </si>
  <si>
    <t xml:space="preserve">weekend of 2026-07-04 to 2026-07-06</t>
  </si>
  <si>
    <t xml:space="preserve">consecutive wins: JUP, XRP, TAO, ZEC and now HYPE</t>
  </si>
  <si>
    <t xml:space="preserve">week of 2026-06-29 to 2026-07-06</t>
  </si>
  <si>
    <t xml:space="preserve">100% win rate for the past week; exchange statistics panel shows 11 closed orders, 11 winners, 5,163.94 volume</t>
  </si>
  <si>
    <t xml:space="preserve">100% win rate</t>
  </si>
  <si>
    <t xml:space="preserve">2026-07-26 to 2026-07-27 batch</t>
  </si>
  <si>
    <t xml:space="preserve">wanted to hold BNB longer; survived NEAR and BTC, lost only INJ (1 loss out of 3 at-risk positions)</t>
  </si>
  <si>
    <t xml:space="preserve">July 2026 to 2026-07-27 (calling the month early)</t>
  </si>
  <si>
    <t xml:space="preserve">30 TPs, 4 SLs, +11.9R, 90% win rate, 11-win streak in the first half of the month</t>
  </si>
  <si>
    <t xml:space="preserve">+11.9R, 90% win rate</t>
  </si>
  <si>
    <t xml:space="preserve">2026-07-31</t>
  </si>
  <si>
    <t xml:space="preserve">July 2026 (full month)</t>
  </si>
  <si>
    <t xml:space="preserve">July stats: 45 trades, 40 wins, 5 SLs, 23.5R without partials, 89% win rate, 93% win rate on BTC</t>
  </si>
  <si>
    <t xml:space="preserve">+23.5R (without partials), 89% win rate, 93% win rate on BTC</t>
  </si>
  <si>
    <t xml:space="preserve">2026-08-03</t>
  </si>
  <si>
    <t xml:space="preserve">2026-08-02 to 2026-08-03 (single day)</t>
  </si>
  <si>
    <t xml:space="preserve">three winners in one day - BTC, ZEC, ETH - with HYPE still running green</t>
  </si>
  <si>
    <t xml:space="preserve">2026-08-01 to 2026-08-03 (first days of August)</t>
  </si>
  <si>
    <t xml:space="preserve">counting the TPs less than a week into August; cards posted for SPCX, ZEC, HYPE, ETH and BTC</t>
  </si>
  <si>
    <t xml:space="preserve">2026-08-10 (single day)</t>
  </si>
  <si>
    <t xml:space="preserve">BTC, ETH and GRT all closed in profit, all with the DCA filled</t>
  </si>
  <si>
    <t xml:space="preserve">2026-08-19 (single day, against the prior month)</t>
  </si>
  <si>
    <t xml:space="preserve">3 SLs after a whole month of almost only winning</t>
  </si>
  <si>
    <t xml:space="preserve">2026-08-19 to 2026-08-21 (two days)</t>
  </si>
  <si>
    <t xml:space="preserve">5 SLs in two days, which he says is a whole month's worth; counter-traded his own bullish view by shorting BTC twice, both times $1000+ in profit without booking</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</si>
</sst>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3">
    <font>
      <sz val="11"/>
      <color theme="1"/>
      <name val="Calibri"/>
      <family val="2"/>
      <charset val="1"/>
    </font>
    <font>
      <sz val="10"/>
      <name val="Arial"/>
      <family val="0"/>
    </font>
    <font>
      <sz val="10"/>
      <name val="Arial"/>
      <family val="0"/>
    </font>
    <font>
      <sz val="10"/>
      <name val="Arial"/>
      <family val="0"/>
    </font>
    <font>
      <b val="true"/>
      <sz val="15"/>
      <name val="Arial"/>
      <family val="0"/>
      <charset val="1"/>
    </font>
    <font>
      <i val="true"/>
      <sz val="10"/>
      <name val="Arial"/>
      <family val="0"/>
      <charset val="1"/>
    </font>
    <font>
      <b val="true"/>
      <sz val="12"/>
      <name val="Arial"/>
      <family val="0"/>
      <charset val="1"/>
    </font>
    <font>
      <b val="true"/>
      <sz val="10"/>
      <name val="Arial"/>
      <family val="0"/>
      <charset val="1"/>
    </font>
    <font>
      <sz val="10"/>
      <name val="Arial"/>
      <family val="0"/>
      <charset val="1"/>
    </font>
    <font>
      <i val="true"/>
      <sz val="9"/>
      <color rgb="FF808080"/>
      <name val="Arial"/>
      <family val="0"/>
      <charset val="1"/>
    </font>
    <font>
      <sz val="9"/>
      <color rgb="FF808080"/>
      <name val="Arial"/>
      <family val="0"/>
      <charset val="1"/>
    </font>
    <font>
      <b val="true"/>
      <sz val="10"/>
      <color rgb="FFFFFFFF"/>
      <name val="Arial"/>
      <family val="0"/>
      <charset val="1"/>
    </font>
    <font>
      <sz val="10"/>
      <name val="Noto Sans CJK SC"/>
      <family val="2"/>
    </font>
  </fonts>
  <fills count="3">
    <fill>
      <patternFill patternType="none"/>
    </fill>
    <fill>
      <patternFill patternType="gray125"/>
    </fill>
    <fill>
      <patternFill patternType="solid">
        <fgColor rgb="FF23303F"/>
        <bgColor rgb="FF333300"/>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23303F"/>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330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Events" displayName="Events" ref="A1:U1243" headerRowCount="1" totalsRowCount="0" totalsRowShown="0">
  <autoFilter ref="A1:U1243"/>
  <tableColumns count="21">
    <tableColumn id="1" name="Msg"/>
    <tableColumn id="2" name="Timestamp"/>
    <tableColumn id="3" name="Event"/>
    <tableColumn id="4" name="Symbol"/>
    <tableColumn id="5" name="Side"/>
    <tableColumn id="6" name="Entry"/>
    <tableColumn id="7" name="DCA"/>
    <tableColumn id="8" name="Targets"/>
    <tableColumn id="9" name="Stop"/>
    <tableColumn id="10" name="Portion %"/>
    <tableColumn id="11" name="Leverage"/>
    <tableColumn id="12" name="R"/>
    <tableColumn id="13" name="ROI %"/>
    <tableColumn id="14" name="Price referenced"/>
    <tableColumn id="15" name="Risk note"/>
    <tableColumn id="16" name="Why he did it"/>
    <tableColumn id="17" name="Indicators"/>
    <tableColumn id="18" name="Market context"/>
    <tableColumn id="19" name="What he wrote"/>
    <tableColumn id="20" name="Confidence"/>
    <tableColumn id="21" name="Link"/>
  </tableColumns>
</table>
</file>

<file path=xl/tables/table2.xml><?xml version="1.0" encoding="utf-8"?>
<table xmlns="http://schemas.openxmlformats.org/spreadsheetml/2006/main" id="2" name="Positions" displayName="Positions" ref="A1:AG218" headerRowCount="1" totalsRowCount="0" totalsRowShown="0">
  <autoFilter ref="A1:AG218"/>
  <tableColumns count="33">
    <tableColumn id="1" name="#"/>
    <tableColumn id="2" name="First seen"/>
    <tableColumn id="3" name="Symbol"/>
    <tableColumn id="4" name="Side"/>
    <tableColumn id="5" name="Outcome"/>
    <tableColumn id="6" name="Exit type"/>
    <tableColumn id="7" name="R"/>
    <tableColumn id="8" name="Card ROI %"/>
    <tableColumn id="9" name="Leverage"/>
    <tableColumn id="10" name="Planned entry"/>
    <tableColumn id="11" name="Entry note"/>
    <tableColumn id="12" name="Planned DCA"/>
    <tableColumn id="13" name="Planned stop"/>
    <tableColumn id="14" name="Planned targets"/>
    <tableColumn id="15" name="Risk note"/>
    <tableColumn id="16" name="Avg entry"/>
    <tableColumn id="17" name="DCA filled"/>
    <tableColumn id="18" name="Stop moves"/>
    <tableColumn id="19" name="Target changes"/>
    <tableColumn id="20" name="Partials taken"/>
    <tableColumn id="21" name="Exit price"/>
    <tableColumn id="22" name="Entry time"/>
    <tableColumn id="23" name="Exit time"/>
    <tableColumn id="24" name="Held (h)"/>
    <tableColumn id="25" name="Thesis"/>
    <tableColumn id="26" name="What he did"/>
    <tableColumn id="27" name="Indicators"/>
    <tableColumn id="28" name="Market context"/>
    <tableColumn id="29" name="Still open"/>
    <tableColumn id="30" name="Confidence"/>
    <tableColumn id="31" name="Trust notes"/>
    <tableColumn id="32" name="Messages"/>
    <tableColumn id="33" name="First message link"/>
  </tableColumns>
</table>
</file>

<file path=xl/tables/table3.xml><?xml version="1.0" encoding="utf-8"?>
<table xmlns="http://schemas.openxmlformats.org/spreadsheetml/2006/main" id="3" name="Scoreboard" displayName="Scoreboard" ref="A1:K30" headerRowCount="1" totalsRowCount="0" totalsRowShown="0">
  <autoFilter ref="A1:K30"/>
  <tableColumns count="11">
    <tableColumn id="1" name="Msg"/>
    <tableColumn id="2" name="Date"/>
    <tableColumn id="3" name="Period claimed"/>
    <tableColumn id="4" name="Claim"/>
    <tableColumn id="5" name="Wins"/>
    <tableColumn id="6" name="Losses"/>
    <tableColumn id="7" name="BE"/>
    <tableColumn id="8" name="Total"/>
    <tableColumn id="9" name="R or %"/>
    <tableColumn id="10" name="His words"/>
    <tableColumn id="11" name="Link"/>
  </tableColumns>
</table>
</file>

<file path=xl/tables/table4.xml><?xml version="1.0" encoding="utf-8"?>
<table xmlns="http://schemas.openxmlformats.org/spreadsheetml/2006/main" id="4" name="Signals" displayName="Signals" ref="A1:H41" headerRowCount="1" totalsRowCount="0" totalsRowShown="0">
  <autoFilter ref="A1:H41"/>
  <tableColumns count="8">
    <tableColumn id="1" name="Signal"/>
    <tableColumn id="2" name="Category"/>
    <tableColumn id="3" name="Messages"/>
    <tableColumn id="4" name="First seen"/>
    <tableColumn id="5" name="Last seen"/>
    <tableColumn id="6" name="What it is"/>
    <tableColumn id="7" name="How he uses it"/>
    <tableColumn id="8" name="Evidence (his word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2.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4.xml.rels><?xml version="1.0" encoding="UTF-8"?>
<Relationships xmlns="http://schemas.openxmlformats.org/package/2006/relationships"><Relationship Id="rId1" Type="http://schemas.openxmlformats.org/officeDocument/2006/relationships/table" Target="../tables/table4.xml"/>
</Relationships>
</file>

<file path=xl/worksheets/_rels/sheet5.xml.rels><?xml version="1.0" encoding="UTF-8"?>
<Relationships xmlns="http://schemas.openxmlformats.org/package/2006/relationships"><Relationship Id="rId1" Type="http://schemas.openxmlformats.org/officeDocument/2006/relationships/table" Target="../tables/table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3" min="2" style="0" width="14"/>
    <col collapsed="false" customWidth="true" hidden="false" outlineLevel="0" max="4" min="4" style="0" width="16"/>
    <col collapsed="false" customWidth="true" hidden="false" outlineLevel="0" max="5" min="5" style="0" width="18"/>
    <col collapsed="false" customWidth="true" hidden="false" outlineLevel="0" max="6" min="6" style="0" width="34"/>
  </cols>
  <sheetData>
    <row r="1" customFormat="false" ht="18.5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n">
        <f aca="false">COUNTA(Positions!C2:C100000)</f>
        <v>217</v>
      </c>
    </row>
    <row r="6" customFormat="false" ht="15" hidden="false" customHeight="false" outlineLevel="0" collapsed="false">
      <c r="A6" s="4" t="s">
        <v>4</v>
      </c>
      <c r="B6" s="5" t="n">
        <f aca="false">COUNTA(Positions!C2:C100000)-COUNTIF(Positions!E2:E100000,"not_taken")-COUNTIF(Positions!E2:E100000,"never_filled")</f>
        <v>200</v>
      </c>
    </row>
    <row r="7" customFormat="false" ht="15" hidden="false" customHeight="false" outlineLevel="0" collapsed="false">
      <c r="A7" s="4" t="s">
        <v>5</v>
      </c>
      <c r="B7" s="5" t="n">
        <f aca="false">COUNTIF(Positions!E2:E100000,"win")+COUNTIF(Positions!E2:E100000,"loss")+COUNTIF(Positions!E2:E100000,"breakeven")</f>
        <v>165</v>
      </c>
    </row>
    <row r="8" customFormat="false" ht="15" hidden="false" customHeight="false" outlineLevel="0" collapsed="false">
      <c r="A8" s="4" t="s">
        <v>6</v>
      </c>
      <c r="B8" s="5" t="n">
        <f aca="false">COUNTIF(Positions!E2:E100000,"win")</f>
        <v>120</v>
      </c>
    </row>
    <row r="9" customFormat="false" ht="15" hidden="false" customHeight="false" outlineLevel="0" collapsed="false">
      <c r="A9" s="4" t="s">
        <v>7</v>
      </c>
      <c r="B9" s="5" t="n">
        <f aca="false">COUNTIF(Positions!E2:E100000,"loss")</f>
        <v>35</v>
      </c>
    </row>
    <row r="10" customFormat="false" ht="15" hidden="false" customHeight="false" outlineLevel="0" collapsed="false">
      <c r="A10" s="4" t="s">
        <v>8</v>
      </c>
      <c r="B10" s="5" t="n">
        <f aca="false">COUNTIF(Positions!E2:E100000,"breakeven")</f>
        <v>10</v>
      </c>
    </row>
    <row r="11" customFormat="false" ht="15" hidden="false" customHeight="false" outlineLevel="0" collapsed="false">
      <c r="A11" s="4" t="s">
        <v>9</v>
      </c>
      <c r="B11" s="5" t="n">
        <f aca="false">COUNTIF(Positions!E2:E100000,"unknown")</f>
        <v>35</v>
      </c>
    </row>
    <row r="12" customFormat="false" ht="15" hidden="false" customHeight="false" outlineLevel="0" collapsed="false">
      <c r="A12" s="4" t="s">
        <v>10</v>
      </c>
      <c r="B12" s="5" t="n">
        <f aca="false">COUNTIF(Positions!E2:E100000,"not_taken")+COUNTIF(Positions!E2:E100000,"never_filled")</f>
        <v>17</v>
      </c>
    </row>
    <row r="13" customFormat="false" ht="15" hidden="false" customHeight="false" outlineLevel="0" collapsed="false">
      <c r="A13" s="4" t="s">
        <v>11</v>
      </c>
      <c r="B13" s="6" t="n">
        <f aca="false">B8/(B8+B9)</f>
        <v>0.774193548387097</v>
      </c>
    </row>
    <row r="14" customFormat="false" ht="15" hidden="false" customHeight="false" outlineLevel="0" collapsed="false">
      <c r="A14" s="4" t="s">
        <v>12</v>
      </c>
      <c r="B14" s="6" t="n">
        <f aca="false">B8/B7</f>
        <v>0.727272727272727</v>
      </c>
    </row>
    <row r="15" customFormat="false" ht="15" hidden="false" customHeight="false" outlineLevel="0" collapsed="false">
      <c r="A15" s="7" t="s">
        <v>13</v>
      </c>
    </row>
    <row r="17" customFormat="false" ht="15" hidden="false" customHeight="false" outlineLevel="0" collapsed="false">
      <c r="A17" s="3" t="s">
        <v>14</v>
      </c>
    </row>
    <row r="18" customFormat="false" ht="15" hidden="false" customHeight="false" outlineLevel="0" collapsed="false">
      <c r="A18" s="4" t="s">
        <v>15</v>
      </c>
      <c r="B18" s="5" t="n">
        <f aca="false">COUNTIF(Positions!F2:F100000,"manual_close")</f>
        <v>62</v>
      </c>
      <c r="C18" s="5" t="n">
        <f aca="false">COUNTIFS(Positions!F2:F100000,"manual_close",Positions!E2:E100000,"win")</f>
        <v>61</v>
      </c>
      <c r="D18" s="8" t="s">
        <v>16</v>
      </c>
    </row>
    <row r="19" customFormat="false" ht="15" hidden="false" customHeight="false" outlineLevel="0" collapsed="false">
      <c r="A19" s="4" t="s">
        <v>17</v>
      </c>
      <c r="B19" s="5" t="n">
        <f aca="false">COUNTIF(Positions!F2:F100000,"take_profit")</f>
        <v>45</v>
      </c>
    </row>
    <row r="20" customFormat="false" ht="15" hidden="false" customHeight="false" outlineLevel="0" collapsed="false">
      <c r="A20" s="4" t="s">
        <v>18</v>
      </c>
      <c r="B20" s="5" t="n">
        <f aca="false">COUNTIF(Positions!F2:F100000,"stop_loss")</f>
        <v>35</v>
      </c>
      <c r="C20" s="8" t="s">
        <v>19</v>
      </c>
    </row>
    <row r="21" customFormat="false" ht="15" hidden="false" customHeight="false" outlineLevel="0" collapsed="false">
      <c r="A21" s="4" t="s">
        <v>20</v>
      </c>
      <c r="B21" s="5" t="n">
        <f aca="false">COUNTIF(Positions!F2:F100000,"breakeven")</f>
        <v>11</v>
      </c>
    </row>
    <row r="22" customFormat="false" ht="15" hidden="false" customHeight="false" outlineLevel="0" collapsed="false">
      <c r="A22" s="4" t="s">
        <v>21</v>
      </c>
      <c r="B22" s="5" t="n">
        <f aca="false">COUNTIF(Positions!F2:F100000,"unknown")</f>
        <v>43</v>
      </c>
    </row>
    <row r="24" customFormat="false" ht="15" hidden="false" customHeight="false" outlineLevel="0" collapsed="false">
      <c r="A24" s="3" t="s">
        <v>22</v>
      </c>
    </row>
    <row r="25" customFormat="false" ht="15" hidden="false" customHeight="false" outlineLevel="0" collapsed="false">
      <c r="A25" s="4" t="s">
        <v>23</v>
      </c>
      <c r="B25" s="5" t="n">
        <f aca="false">COUNT(Positions!M2:M100000)</f>
        <v>187</v>
      </c>
    </row>
    <row r="26" customFormat="false" ht="15" hidden="false" customHeight="false" outlineLevel="0" collapsed="false">
      <c r="A26" s="4" t="s">
        <v>24</v>
      </c>
      <c r="B26" s="5" t="n">
        <f aca="false">COUNTA(Positions!N2:N100000)</f>
        <v>122</v>
      </c>
    </row>
    <row r="27" customFormat="false" ht="15" hidden="false" customHeight="false" outlineLevel="0" collapsed="false">
      <c r="A27" s="4" t="s">
        <v>25</v>
      </c>
      <c r="B27" s="5" t="n">
        <f aca="false">COUNTA(Positions!L2:L100000)</f>
        <v>58</v>
      </c>
    </row>
    <row r="28" customFormat="false" ht="15" hidden="false" customHeight="false" outlineLevel="0" collapsed="false">
      <c r="A28" s="4" t="s">
        <v>26</v>
      </c>
      <c r="B28" s="5" t="n">
        <f aca="false">COUNTA(Positions!Q2:Q100000)</f>
        <v>30</v>
      </c>
    </row>
    <row r="29" customFormat="false" ht="15" hidden="false" customHeight="false" outlineLevel="0" collapsed="false">
      <c r="A29" s="4" t="s">
        <v>27</v>
      </c>
      <c r="B29" s="5" t="n">
        <f aca="false">COUNTA(Positions!R2:R100000)</f>
        <v>46</v>
      </c>
    </row>
    <row r="30" customFormat="false" ht="15" hidden="false" customHeight="false" outlineLevel="0" collapsed="false">
      <c r="A30" s="4" t="s">
        <v>28</v>
      </c>
      <c r="B30" s="5" t="n">
        <f aca="false">COUNTA(Positions!T2:T100000)</f>
        <v>43</v>
      </c>
    </row>
    <row r="32" customFormat="false" ht="15" hidden="false" customHeight="false" outlineLevel="0" collapsed="false">
      <c r="A32" s="3" t="s">
        <v>29</v>
      </c>
    </row>
    <row r="33" customFormat="false" ht="15" hidden="false" customHeight="false" outlineLevel="0" collapsed="false">
      <c r="A33" s="4" t="s">
        <v>30</v>
      </c>
      <c r="B33" s="4" t="s">
        <v>6</v>
      </c>
      <c r="C33" s="4" t="s">
        <v>7</v>
      </c>
      <c r="D33" s="4" t="s">
        <v>31</v>
      </c>
      <c r="E33" s="4" t="s">
        <v>32</v>
      </c>
      <c r="F33" s="4" t="s">
        <v>33</v>
      </c>
    </row>
    <row r="34" customFormat="false" ht="15" hidden="false" customHeight="false" outlineLevel="0" collapsed="false">
      <c r="A34" s="5" t="s">
        <v>34</v>
      </c>
      <c r="B34" s="5" t="n">
        <f aca="false">COUNTIFS(Positions!$B$2:$B$100000,"2026-05*",Positions!$E$2:$E$100000,"win")</f>
        <v>36</v>
      </c>
      <c r="C34" s="5" t="n">
        <f aca="false">COUNTIFS(Positions!$B$2:$B$100000,"2026-05*",Positions!$E$2:$E$100000,"loss")</f>
        <v>13</v>
      </c>
      <c r="D34" s="5" t="n">
        <f aca="false">COUNTIFS(Positions!$B$2:$B$100000,"2026-05*",Positions!$E$2:$E$100000,"breakeven")</f>
        <v>1</v>
      </c>
      <c r="E34" s="9" t="n">
        <f aca="false">IFERROR(B34/(B34+C34),"-")</f>
        <v>0.73469387755102</v>
      </c>
      <c r="F34" s="8" t="s">
        <v>35</v>
      </c>
    </row>
    <row r="35" customFormat="false" ht="15" hidden="false" customHeight="false" outlineLevel="0" collapsed="false">
      <c r="A35" s="5" t="s">
        <v>36</v>
      </c>
      <c r="B35" s="5" t="n">
        <f aca="false">COUNTIFS(Positions!$B$2:$B$100000,"2026-06*",Positions!$E$2:$E$100000,"win")</f>
        <v>34</v>
      </c>
      <c r="C35" s="5" t="n">
        <f aca="false">COUNTIFS(Positions!$B$2:$B$100000,"2026-06*",Positions!$E$2:$E$100000,"loss")</f>
        <v>11</v>
      </c>
      <c r="D35" s="5" t="n">
        <f aca="false">COUNTIFS(Positions!$B$2:$B$100000,"2026-06*",Positions!$E$2:$E$100000,"breakeven")</f>
        <v>4</v>
      </c>
      <c r="E35" s="9" t="n">
        <f aca="false">IFERROR(B35/(B35+C35),"-")</f>
        <v>0.755555555555556</v>
      </c>
      <c r="F35" s="8" t="s">
        <v>37</v>
      </c>
    </row>
    <row r="36" customFormat="false" ht="15" hidden="false" customHeight="false" outlineLevel="0" collapsed="false">
      <c r="A36" s="5" t="s">
        <v>38</v>
      </c>
      <c r="B36" s="5" t="n">
        <f aca="false">COUNTIFS(Positions!$B$2:$B$100000,"2026-07*",Positions!$E$2:$E$100000,"win")</f>
        <v>31</v>
      </c>
      <c r="C36" s="5" t="n">
        <f aca="false">COUNTIFS(Positions!$B$2:$B$100000,"2026-07*",Positions!$E$2:$E$100000,"loss")</f>
        <v>7</v>
      </c>
      <c r="D36" s="5" t="n">
        <f aca="false">COUNTIFS(Positions!$B$2:$B$100000,"2026-07*",Positions!$E$2:$E$100000,"breakeven")</f>
        <v>3</v>
      </c>
      <c r="E36" s="9" t="n">
        <f aca="false">IFERROR(B36/(B36+C36),"-")</f>
        <v>0.815789473684211</v>
      </c>
      <c r="F36" s="8" t="s">
        <v>39</v>
      </c>
    </row>
    <row r="37" customFormat="false" ht="15" hidden="false" customHeight="false" outlineLevel="0" collapsed="false">
      <c r="A37" s="5" t="s">
        <v>40</v>
      </c>
      <c r="B37" s="5" t="n">
        <f aca="false">COUNTIFS(Positions!$B$2:$B$100000,"2026-08*",Positions!$E$2:$E$100000,"win")</f>
        <v>19</v>
      </c>
      <c r="C37" s="5" t="n">
        <f aca="false">COUNTIFS(Positions!$B$2:$B$100000,"2026-08*",Positions!$E$2:$E$100000,"loss")</f>
        <v>4</v>
      </c>
      <c r="D37" s="5" t="n">
        <f aca="false">COUNTIFS(Positions!$B$2:$B$100000,"2026-08*",Positions!$E$2:$E$100000,"breakeven")</f>
        <v>2</v>
      </c>
      <c r="E37" s="9" t="n">
        <f aca="false">IFERROR(B37/(B37+C37),"-")</f>
        <v>0.826086956521739</v>
      </c>
      <c r="F37" s="8" t="s">
        <v>41</v>
      </c>
    </row>
    <row r="40" customFormat="false" ht="15" hidden="false" customHeight="false" outlineLevel="0" collapsed="false">
      <c r="A40" s="3" t="s">
        <v>42</v>
      </c>
    </row>
    <row r="41" customFormat="false" ht="30" hidden="false" customHeight="true" outlineLevel="0" collapsed="false">
      <c r="A41" s="10" t="s">
        <v>43</v>
      </c>
      <c r="B41" s="10"/>
      <c r="C41" s="10"/>
      <c r="D41" s="10"/>
      <c r="E41" s="10"/>
      <c r="F41" s="10"/>
    </row>
    <row r="42" customFormat="false" ht="30" hidden="false" customHeight="true" outlineLevel="0" collapsed="false">
      <c r="A42" s="10" t="s">
        <v>44</v>
      </c>
      <c r="B42" s="10"/>
      <c r="C42" s="10"/>
      <c r="D42" s="10"/>
      <c r="E42" s="10"/>
      <c r="F42" s="10"/>
    </row>
    <row r="43" customFormat="false" ht="30" hidden="false" customHeight="true" outlineLevel="0" collapsed="false">
      <c r="A43" s="10" t="s">
        <v>45</v>
      </c>
      <c r="B43" s="10"/>
      <c r="C43" s="10"/>
      <c r="D43" s="10"/>
      <c r="E43" s="10"/>
      <c r="F43" s="10"/>
    </row>
    <row r="44" customFormat="false" ht="30" hidden="false" customHeight="true" outlineLevel="0" collapsed="false">
      <c r="A44" s="10" t="s">
        <v>46</v>
      </c>
      <c r="B44" s="10"/>
      <c r="C44" s="10"/>
      <c r="D44" s="10"/>
      <c r="E44" s="10"/>
      <c r="F44" s="10"/>
    </row>
    <row r="45" customFormat="false" ht="30" hidden="false" customHeight="true" outlineLevel="0" collapsed="false">
      <c r="A45" s="10" t="s">
        <v>47</v>
      </c>
      <c r="B45" s="10"/>
      <c r="C45" s="10"/>
      <c r="D45" s="10"/>
      <c r="E45" s="10"/>
      <c r="F45" s="10"/>
    </row>
  </sheetData>
  <mergeCells count="5">
    <mergeCell ref="A41:F41"/>
    <mergeCell ref="A42:F42"/>
    <mergeCell ref="A43:F43"/>
    <mergeCell ref="A44:F44"/>
    <mergeCell ref="A45:F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G2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9"/>
    <col collapsed="false" customWidth="true" hidden="false" outlineLevel="0" max="3" min="3" style="0" width="11"/>
    <col collapsed="false" customWidth="true" hidden="false" outlineLevel="0" max="4" min="4" style="0" width="7"/>
    <col collapsed="false" customWidth="true" hidden="false" outlineLevel="0" max="5" min="5" style="0" width="11"/>
    <col collapsed="false" customWidth="true" hidden="false" outlineLevel="0" max="6" min="6" style="0" width="13"/>
    <col collapsed="false" customWidth="true" hidden="false" outlineLevel="0" max="7" min="7" style="0" width="7"/>
    <col collapsed="false" customWidth="true" hidden="false" outlineLevel="0" max="8" min="8" style="0" width="10"/>
    <col collapsed="false" customWidth="true" hidden="false" outlineLevel="0" max="9" min="9" style="0" width="9"/>
    <col collapsed="false" customWidth="true" hidden="false" outlineLevel="0" max="10" min="10" style="0" width="13"/>
    <col collapsed="false" customWidth="true" hidden="false" outlineLevel="0" max="11" min="11" style="0" width="26"/>
    <col collapsed="false" customWidth="true" hidden="false" outlineLevel="0" max="12" min="12" style="0" width="16"/>
    <col collapsed="false" customWidth="true" hidden="false" outlineLevel="0" max="13" min="13" style="0" width="12"/>
    <col collapsed="false" customWidth="true" hidden="false" outlineLevel="0" max="14" min="14" style="0" width="20"/>
    <col collapsed="false" customWidth="true" hidden="false" outlineLevel="0" max="15" min="15" style="0" width="24"/>
    <col collapsed="false" customWidth="true" hidden="false" outlineLevel="0" max="16" min="16" style="0" width="12"/>
    <col collapsed="false" customWidth="true" hidden="false" outlineLevel="0" max="17" min="17" style="0" width="26"/>
    <col collapsed="false" customWidth="true" hidden="false" outlineLevel="0" max="18" min="18" style="0" width="24"/>
    <col collapsed="false" customWidth="true" hidden="false" outlineLevel="0" max="19" min="19" style="0" width="20"/>
    <col collapsed="false" customWidth="true" hidden="false" outlineLevel="0" max="20" min="20" style="0" width="26"/>
    <col collapsed="false" customWidth="true" hidden="false" outlineLevel="0" max="21" min="21" style="0" width="12"/>
    <col collapsed="false" customWidth="true" hidden="false" outlineLevel="0" max="23" min="22" style="0" width="19"/>
    <col collapsed="false" customWidth="true" hidden="false" outlineLevel="0" max="24" min="24" style="0" width="9"/>
    <col collapsed="false" customWidth="true" hidden="false" outlineLevel="0" max="25" min="25" style="0" width="52"/>
    <col collapsed="false" customWidth="true" hidden="false" outlineLevel="0" max="26" min="26" style="0" width="74"/>
    <col collapsed="false" customWidth="true" hidden="false" outlineLevel="0" max="27" min="27" style="0" width="22"/>
    <col collapsed="false" customWidth="true" hidden="false" outlineLevel="0" max="28" min="28" style="0" width="26"/>
    <col collapsed="false" customWidth="true" hidden="false" outlineLevel="0" max="29" min="29" style="0" width="9"/>
    <col collapsed="false" customWidth="true" hidden="false" outlineLevel="0" max="30" min="30" style="0" width="10"/>
    <col collapsed="false" customWidth="true" hidden="false" outlineLevel="0" max="31" min="31" style="0" width="60"/>
    <col collapsed="false" customWidth="true" hidden="false" outlineLevel="0" max="32" min="32" style="0" width="30"/>
    <col collapsed="false" customWidth="true" hidden="false" outlineLevel="0" max="33" min="33" style="0" width="36"/>
  </cols>
  <sheetData>
    <row r="1" customFormat="false" ht="31.5" hidden="false" customHeight="true" outlineLevel="0" collapsed="false">
      <c r="A1" s="11" t="s">
        <v>48</v>
      </c>
      <c r="B1" s="11" t="s">
        <v>49</v>
      </c>
      <c r="C1" s="11" t="s">
        <v>50</v>
      </c>
      <c r="D1" s="11" t="s">
        <v>51</v>
      </c>
      <c r="E1" s="11" t="s">
        <v>52</v>
      </c>
      <c r="F1" s="11" t="s">
        <v>53</v>
      </c>
      <c r="G1" s="11" t="s">
        <v>54</v>
      </c>
      <c r="H1" s="11" t="s">
        <v>55</v>
      </c>
      <c r="I1" s="11" t="s">
        <v>56</v>
      </c>
      <c r="J1" s="11" t="s">
        <v>57</v>
      </c>
      <c r="K1" s="11" t="s">
        <v>58</v>
      </c>
      <c r="L1" s="11" t="s">
        <v>59</v>
      </c>
      <c r="M1" s="11" t="s">
        <v>60</v>
      </c>
      <c r="N1" s="11" t="s">
        <v>61</v>
      </c>
      <c r="O1" s="11" t="s">
        <v>62</v>
      </c>
      <c r="P1" s="11" t="s">
        <v>63</v>
      </c>
      <c r="Q1" s="11" t="s">
        <v>64</v>
      </c>
      <c r="R1" s="11" t="s">
        <v>65</v>
      </c>
      <c r="S1" s="11" t="s">
        <v>66</v>
      </c>
      <c r="T1" s="11" t="s">
        <v>67</v>
      </c>
      <c r="U1" s="11" t="s">
        <v>68</v>
      </c>
      <c r="V1" s="11" t="s">
        <v>69</v>
      </c>
      <c r="W1" s="11" t="s">
        <v>70</v>
      </c>
      <c r="X1" s="11" t="s">
        <v>71</v>
      </c>
      <c r="Y1" s="11" t="s">
        <v>72</v>
      </c>
      <c r="Z1" s="11" t="s">
        <v>73</v>
      </c>
      <c r="AA1" s="11" t="s">
        <v>74</v>
      </c>
      <c r="AB1" s="11" t="s">
        <v>75</v>
      </c>
      <c r="AC1" s="11" t="s">
        <v>76</v>
      </c>
      <c r="AD1" s="11" t="s">
        <v>77</v>
      </c>
      <c r="AE1" s="11" t="s">
        <v>78</v>
      </c>
      <c r="AF1" s="11" t="s">
        <v>79</v>
      </c>
      <c r="AG1" s="11" t="s">
        <v>80</v>
      </c>
    </row>
    <row r="2" customFormat="false" ht="43.5" hidden="false" customHeight="true" outlineLevel="0" collapsed="false">
      <c r="A2" s="12" t="n">
        <v>1</v>
      </c>
      <c r="B2" s="12" t="s">
        <v>81</v>
      </c>
      <c r="C2" s="12" t="s">
        <v>82</v>
      </c>
      <c r="D2" s="12" t="s">
        <v>83</v>
      </c>
      <c r="E2" s="12" t="s">
        <v>84</v>
      </c>
      <c r="F2" s="12" t="s">
        <v>85</v>
      </c>
      <c r="G2" s="12" t="n">
        <v>1.4</v>
      </c>
      <c r="H2" s="12" t="n">
        <v>101.21</v>
      </c>
      <c r="I2" s="12" t="n">
        <v>50</v>
      </c>
      <c r="J2" s="12" t="n">
        <v>3.46</v>
      </c>
      <c r="K2" s="13" t="s">
        <v>86</v>
      </c>
      <c r="L2" s="12"/>
      <c r="M2" s="12" t="n">
        <v>3.28</v>
      </c>
      <c r="N2" s="12" t="s">
        <v>87</v>
      </c>
      <c r="O2" s="13"/>
      <c r="P2" s="12" t="n">
        <v>3.458</v>
      </c>
      <c r="Q2" s="12"/>
      <c r="R2" s="12" t="s">
        <v>88</v>
      </c>
      <c r="S2" s="12" t="s">
        <v>89</v>
      </c>
      <c r="T2" s="12" t="s">
        <v>90</v>
      </c>
      <c r="U2" s="12" t="n">
        <v>3.7</v>
      </c>
      <c r="V2" s="12" t="s">
        <v>81</v>
      </c>
      <c r="W2" s="12" t="s">
        <v>91</v>
      </c>
      <c r="X2" s="12" t="n">
        <v>41.1</v>
      </c>
      <c r="Y2" s="13" t="s">
        <v>92</v>
      </c>
      <c r="Z2" s="13" t="s">
        <v>93</v>
      </c>
      <c r="AA2" s="13"/>
      <c r="AB2" s="13"/>
      <c r="AC2" s="12"/>
      <c r="AD2" s="12" t="s">
        <v>94</v>
      </c>
      <c r="AE2" s="13" t="s">
        <v>95</v>
      </c>
      <c r="AF2" s="12" t="s">
        <v>96</v>
      </c>
      <c r="AG2" s="12" t="s">
        <v>97</v>
      </c>
    </row>
    <row r="3" customFormat="false" ht="43.5" hidden="false" customHeight="true" outlineLevel="0" collapsed="false">
      <c r="A3" s="12" t="n">
        <v>2</v>
      </c>
      <c r="B3" s="12" t="s">
        <v>98</v>
      </c>
      <c r="C3" s="12" t="s">
        <v>99</v>
      </c>
      <c r="D3" s="12" t="s">
        <v>83</v>
      </c>
      <c r="E3" s="12" t="s">
        <v>100</v>
      </c>
      <c r="F3" s="12" t="s">
        <v>101</v>
      </c>
      <c r="G3" s="12"/>
      <c r="H3" s="12"/>
      <c r="I3" s="12"/>
      <c r="J3" s="12" t="n">
        <v>2348</v>
      </c>
      <c r="K3" s="13" t="s">
        <v>102</v>
      </c>
      <c r="L3" s="12"/>
      <c r="M3" s="12" t="n">
        <v>2292</v>
      </c>
      <c r="N3" s="12" t="s">
        <v>103</v>
      </c>
      <c r="O3" s="13"/>
      <c r="P3" s="12"/>
      <c r="Q3" s="12"/>
      <c r="R3" s="12"/>
      <c r="S3" s="12"/>
      <c r="T3" s="12"/>
      <c r="U3" s="12"/>
      <c r="V3" s="12" t="s">
        <v>98</v>
      </c>
      <c r="W3" s="12" t="s">
        <v>104</v>
      </c>
      <c r="X3" s="12" t="n">
        <v>17.2</v>
      </c>
      <c r="Y3" s="13" t="s">
        <v>105</v>
      </c>
      <c r="Z3" s="13" t="s">
        <v>106</v>
      </c>
      <c r="AA3" s="13"/>
      <c r="AB3" s="13" t="s">
        <v>107</v>
      </c>
      <c r="AC3" s="12"/>
      <c r="AD3" s="12" t="s">
        <v>108</v>
      </c>
      <c r="AE3" s="13" t="s">
        <v>109</v>
      </c>
      <c r="AF3" s="12" t="s">
        <v>110</v>
      </c>
      <c r="AG3" s="12" t="s">
        <v>111</v>
      </c>
    </row>
    <row r="4" customFormat="false" ht="43.5" hidden="false" customHeight="true" outlineLevel="0" collapsed="false">
      <c r="A4" s="12" t="n">
        <v>3</v>
      </c>
      <c r="B4" s="12" t="s">
        <v>112</v>
      </c>
      <c r="C4" s="12" t="s">
        <v>113</v>
      </c>
      <c r="D4" s="12" t="s">
        <v>83</v>
      </c>
      <c r="E4" s="12" t="s">
        <v>100</v>
      </c>
      <c r="F4" s="12" t="s">
        <v>101</v>
      </c>
      <c r="G4" s="12"/>
      <c r="H4" s="12"/>
      <c r="I4" s="12"/>
      <c r="J4" s="12" t="n">
        <v>81500</v>
      </c>
      <c r="K4" s="13" t="s">
        <v>114</v>
      </c>
      <c r="L4" s="12" t="s">
        <v>115</v>
      </c>
      <c r="M4" s="12" t="n">
        <v>79600</v>
      </c>
      <c r="N4" s="12" t="s">
        <v>116</v>
      </c>
      <c r="O4" s="13" t="s">
        <v>117</v>
      </c>
      <c r="P4" s="12"/>
      <c r="Q4" s="12" t="s">
        <v>118</v>
      </c>
      <c r="R4" s="12"/>
      <c r="S4" s="12"/>
      <c r="T4" s="12"/>
      <c r="U4" s="12"/>
      <c r="V4" s="12" t="s">
        <v>112</v>
      </c>
      <c r="W4" s="12" t="s">
        <v>104</v>
      </c>
      <c r="X4" s="12" t="n">
        <v>8.7</v>
      </c>
      <c r="Y4" s="13" t="s">
        <v>119</v>
      </c>
      <c r="Z4" s="13" t="s">
        <v>120</v>
      </c>
      <c r="AA4" s="13" t="s">
        <v>121</v>
      </c>
      <c r="AB4" s="13" t="s">
        <v>122</v>
      </c>
      <c r="AC4" s="12"/>
      <c r="AD4" s="12" t="s">
        <v>108</v>
      </c>
      <c r="AE4" s="13" t="s">
        <v>123</v>
      </c>
      <c r="AF4" s="12" t="s">
        <v>124</v>
      </c>
      <c r="AG4" s="12" t="s">
        <v>125</v>
      </c>
    </row>
    <row r="5" customFormat="false" ht="43.5" hidden="false" customHeight="true" outlineLevel="0" collapsed="false">
      <c r="A5" s="12" t="n">
        <v>4</v>
      </c>
      <c r="B5" s="12" t="s">
        <v>126</v>
      </c>
      <c r="C5" s="12" t="s">
        <v>127</v>
      </c>
      <c r="D5" s="12" t="s">
        <v>83</v>
      </c>
      <c r="E5" s="12" t="s">
        <v>84</v>
      </c>
      <c r="F5" s="12" t="s">
        <v>128</v>
      </c>
      <c r="G5" s="12"/>
      <c r="H5" s="12" t="n">
        <v>178.94</v>
      </c>
      <c r="I5" s="12" t="n">
        <v>50</v>
      </c>
      <c r="J5" s="12" t="n">
        <v>1.48</v>
      </c>
      <c r="K5" s="13" t="s">
        <v>129</v>
      </c>
      <c r="L5" s="12" t="s">
        <v>130</v>
      </c>
      <c r="M5" s="12" t="n">
        <v>1.36</v>
      </c>
      <c r="N5" s="12" t="s">
        <v>131</v>
      </c>
      <c r="O5" s="13" t="s">
        <v>132</v>
      </c>
      <c r="P5" s="12" t="n">
        <v>1.4744</v>
      </c>
      <c r="Q5" s="12"/>
      <c r="R5" s="12"/>
      <c r="S5" s="12" t="s">
        <v>133</v>
      </c>
      <c r="T5" s="12" t="s">
        <v>134</v>
      </c>
      <c r="U5" s="12" t="n">
        <v>1.4744</v>
      </c>
      <c r="V5" s="12" t="s">
        <v>126</v>
      </c>
      <c r="W5" s="12" t="s">
        <v>135</v>
      </c>
      <c r="X5" s="12" t="n">
        <v>81.1</v>
      </c>
      <c r="Y5" s="13" t="s">
        <v>136</v>
      </c>
      <c r="Z5" s="13" t="s">
        <v>137</v>
      </c>
      <c r="AA5" s="13"/>
      <c r="AB5" s="13"/>
      <c r="AC5" s="12"/>
      <c r="AD5" s="12" t="s">
        <v>94</v>
      </c>
      <c r="AE5" s="13" t="s">
        <v>138</v>
      </c>
      <c r="AF5" s="12" t="s">
        <v>139</v>
      </c>
      <c r="AG5" s="12" t="s">
        <v>140</v>
      </c>
    </row>
    <row r="6" customFormat="false" ht="43.5" hidden="false" customHeight="true" outlineLevel="0" collapsed="false">
      <c r="A6" s="12" t="n">
        <v>5</v>
      </c>
      <c r="B6" s="12" t="s">
        <v>141</v>
      </c>
      <c r="C6" s="12" t="s">
        <v>142</v>
      </c>
      <c r="D6" s="12" t="s">
        <v>83</v>
      </c>
      <c r="E6" s="12" t="s">
        <v>143</v>
      </c>
      <c r="F6" s="12" t="s">
        <v>143</v>
      </c>
      <c r="G6" s="12"/>
      <c r="H6" s="12"/>
      <c r="I6" s="12"/>
      <c r="J6" s="12"/>
      <c r="K6" s="13"/>
      <c r="L6" s="12"/>
      <c r="M6" s="12"/>
      <c r="N6" s="12"/>
      <c r="O6" s="13" t="s">
        <v>144</v>
      </c>
      <c r="P6" s="12"/>
      <c r="Q6" s="12"/>
      <c r="R6" s="12"/>
      <c r="S6" s="12"/>
      <c r="T6" s="12"/>
      <c r="U6" s="12"/>
      <c r="V6" s="12"/>
      <c r="W6" s="12"/>
      <c r="X6" s="12"/>
      <c r="Y6" s="13" t="s">
        <v>145</v>
      </c>
      <c r="Z6" s="13" t="s">
        <v>146</v>
      </c>
      <c r="AA6" s="13"/>
      <c r="AB6" s="13"/>
      <c r="AC6" s="12"/>
      <c r="AD6" s="12" t="s">
        <v>94</v>
      </c>
      <c r="AE6" s="13" t="s">
        <v>147</v>
      </c>
      <c r="AF6" s="12" t="s">
        <v>148</v>
      </c>
      <c r="AG6" s="12" t="s">
        <v>149</v>
      </c>
    </row>
    <row r="7" customFormat="false" ht="43.5" hidden="false" customHeight="true" outlineLevel="0" collapsed="false">
      <c r="A7" s="12" t="n">
        <v>6</v>
      </c>
      <c r="B7" s="12" t="s">
        <v>150</v>
      </c>
      <c r="C7" s="12" t="s">
        <v>113</v>
      </c>
      <c r="D7" s="12" t="s">
        <v>83</v>
      </c>
      <c r="E7" s="12" t="s">
        <v>84</v>
      </c>
      <c r="F7" s="12" t="s">
        <v>151</v>
      </c>
      <c r="G7" s="12"/>
      <c r="H7" s="12" t="n">
        <v>72.31</v>
      </c>
      <c r="I7" s="12" t="n">
        <v>100</v>
      </c>
      <c r="J7" s="12" t="n">
        <v>79700</v>
      </c>
      <c r="K7" s="13" t="s">
        <v>152</v>
      </c>
      <c r="L7" s="12" t="s">
        <v>153</v>
      </c>
      <c r="M7" s="12" t="n">
        <v>78500</v>
      </c>
      <c r="N7" s="12" t="s">
        <v>154</v>
      </c>
      <c r="O7" s="13" t="s">
        <v>155</v>
      </c>
      <c r="P7" s="12" t="n">
        <v>79764.4</v>
      </c>
      <c r="Q7" s="12" t="s">
        <v>156</v>
      </c>
      <c r="R7" s="12" t="s">
        <v>157</v>
      </c>
      <c r="S7" s="12" t="s">
        <v>158</v>
      </c>
      <c r="T7" s="12" t="s">
        <v>159</v>
      </c>
      <c r="U7" s="12" t="n">
        <v>80341.2</v>
      </c>
      <c r="V7" s="12" t="s">
        <v>150</v>
      </c>
      <c r="W7" s="12" t="s">
        <v>160</v>
      </c>
      <c r="X7" s="12" t="n">
        <v>28.4</v>
      </c>
      <c r="Y7" s="13" t="s">
        <v>161</v>
      </c>
      <c r="Z7" s="13" t="s">
        <v>162</v>
      </c>
      <c r="AA7" s="13" t="s">
        <v>163</v>
      </c>
      <c r="AB7" s="13" t="s">
        <v>164</v>
      </c>
      <c r="AC7" s="12"/>
      <c r="AD7" s="12" t="s">
        <v>94</v>
      </c>
      <c r="AE7" s="13" t="s">
        <v>165</v>
      </c>
      <c r="AF7" s="12" t="s">
        <v>166</v>
      </c>
      <c r="AG7" s="12" t="s">
        <v>167</v>
      </c>
    </row>
    <row r="8" customFormat="false" ht="43.5" hidden="false" customHeight="true" outlineLevel="0" collapsed="false">
      <c r="A8" s="12" t="n">
        <v>7</v>
      </c>
      <c r="B8" s="12" t="s">
        <v>168</v>
      </c>
      <c r="C8" s="12" t="s">
        <v>169</v>
      </c>
      <c r="D8" s="12" t="s">
        <v>83</v>
      </c>
      <c r="E8" s="12" t="s">
        <v>84</v>
      </c>
      <c r="F8" s="12" t="s">
        <v>170</v>
      </c>
      <c r="G8" s="12"/>
      <c r="H8" s="12" t="n">
        <v>246.69</v>
      </c>
      <c r="I8" s="12" t="n">
        <v>50</v>
      </c>
      <c r="J8" s="12" t="n">
        <v>0.158</v>
      </c>
      <c r="K8" s="13" t="s">
        <v>171</v>
      </c>
      <c r="L8" s="12"/>
      <c r="M8" s="12" t="n">
        <v>0.1411</v>
      </c>
      <c r="N8" s="12" t="s">
        <v>172</v>
      </c>
      <c r="O8" s="13"/>
      <c r="P8" s="12" t="n">
        <v>0.15851</v>
      </c>
      <c r="Q8" s="12"/>
      <c r="R8" s="12"/>
      <c r="S8" s="12" t="s">
        <v>173</v>
      </c>
      <c r="T8" s="12" t="s">
        <v>174</v>
      </c>
      <c r="U8" s="12"/>
      <c r="V8" s="12" t="s">
        <v>168</v>
      </c>
      <c r="W8" s="12"/>
      <c r="X8" s="12"/>
      <c r="Y8" s="13" t="s">
        <v>175</v>
      </c>
      <c r="Z8" s="13" t="s">
        <v>176</v>
      </c>
      <c r="AA8" s="13"/>
      <c r="AB8" s="13"/>
      <c r="AC8" s="12" t="s">
        <v>177</v>
      </c>
      <c r="AD8" s="12" t="s">
        <v>108</v>
      </c>
      <c r="AE8" s="13" t="s">
        <v>178</v>
      </c>
      <c r="AF8" s="12" t="s">
        <v>179</v>
      </c>
      <c r="AG8" s="12" t="s">
        <v>180</v>
      </c>
    </row>
    <row r="9" customFormat="false" ht="43.5" hidden="false" customHeight="true" outlineLevel="0" collapsed="false">
      <c r="A9" s="12" t="n">
        <v>8</v>
      </c>
      <c r="B9" s="12" t="s">
        <v>181</v>
      </c>
      <c r="C9" s="12" t="s">
        <v>182</v>
      </c>
      <c r="D9" s="12" t="s">
        <v>83</v>
      </c>
      <c r="E9" s="12" t="s">
        <v>84</v>
      </c>
      <c r="F9" s="12" t="s">
        <v>170</v>
      </c>
      <c r="G9" s="12"/>
      <c r="H9" s="12" t="n">
        <v>49.35</v>
      </c>
      <c r="I9" s="12" t="n">
        <v>20</v>
      </c>
      <c r="J9" s="12" t="n">
        <v>0.064</v>
      </c>
      <c r="K9" s="13" t="s">
        <v>183</v>
      </c>
      <c r="L9" s="12"/>
      <c r="M9" s="12" t="n">
        <v>0.581</v>
      </c>
      <c r="N9" s="12" t="s">
        <v>184</v>
      </c>
      <c r="O9" s="13" t="s">
        <v>185</v>
      </c>
      <c r="P9" s="12" t="n">
        <v>0.06454</v>
      </c>
      <c r="Q9" s="12"/>
      <c r="R9" s="12" t="s">
        <v>186</v>
      </c>
      <c r="S9" s="12" t="s">
        <v>187</v>
      </c>
      <c r="T9" s="12" t="s">
        <v>188</v>
      </c>
      <c r="U9" s="12"/>
      <c r="V9" s="12" t="s">
        <v>181</v>
      </c>
      <c r="W9" s="12"/>
      <c r="X9" s="12"/>
      <c r="Y9" s="13" t="s">
        <v>189</v>
      </c>
      <c r="Z9" s="13" t="s">
        <v>190</v>
      </c>
      <c r="AA9" s="13" t="s">
        <v>191</v>
      </c>
      <c r="AB9" s="13"/>
      <c r="AC9" s="12" t="s">
        <v>177</v>
      </c>
      <c r="AD9" s="12" t="s">
        <v>108</v>
      </c>
      <c r="AE9" s="13" t="s">
        <v>192</v>
      </c>
      <c r="AF9" s="12" t="s">
        <v>193</v>
      </c>
      <c r="AG9" s="12" t="s">
        <v>194</v>
      </c>
    </row>
    <row r="10" customFormat="false" ht="43.5" hidden="false" customHeight="true" outlineLevel="0" collapsed="false">
      <c r="A10" s="12" t="n">
        <v>9</v>
      </c>
      <c r="B10" s="12" t="s">
        <v>195</v>
      </c>
      <c r="C10" s="12" t="s">
        <v>196</v>
      </c>
      <c r="D10" s="12" t="s">
        <v>83</v>
      </c>
      <c r="E10" s="12" t="s">
        <v>84</v>
      </c>
      <c r="F10" s="12" t="s">
        <v>151</v>
      </c>
      <c r="G10" s="12"/>
      <c r="H10" s="12" t="n">
        <v>55.8</v>
      </c>
      <c r="I10" s="12" t="n">
        <v>25</v>
      </c>
      <c r="J10" s="12" t="n">
        <v>0.354</v>
      </c>
      <c r="K10" s="13" t="s">
        <v>197</v>
      </c>
      <c r="L10" s="12" t="s">
        <v>198</v>
      </c>
      <c r="M10" s="12" t="n">
        <v>0.31</v>
      </c>
      <c r="N10" s="12" t="s">
        <v>199</v>
      </c>
      <c r="O10" s="13" t="s">
        <v>200</v>
      </c>
      <c r="P10" s="12" t="n">
        <v>0.3545</v>
      </c>
      <c r="Q10" s="12"/>
      <c r="R10" s="12"/>
      <c r="S10" s="12"/>
      <c r="T10" s="12"/>
      <c r="U10" s="12" t="n">
        <v>0.3626</v>
      </c>
      <c r="V10" s="12" t="s">
        <v>195</v>
      </c>
      <c r="W10" s="12" t="s">
        <v>201</v>
      </c>
      <c r="X10" s="12" t="n">
        <v>51.7</v>
      </c>
      <c r="Y10" s="13" t="s">
        <v>202</v>
      </c>
      <c r="Z10" s="13" t="s">
        <v>203</v>
      </c>
      <c r="AA10" s="13"/>
      <c r="AB10" s="13" t="s">
        <v>204</v>
      </c>
      <c r="AC10" s="12"/>
      <c r="AD10" s="12" t="s">
        <v>94</v>
      </c>
      <c r="AE10" s="13" t="s">
        <v>205</v>
      </c>
      <c r="AF10" s="12" t="s">
        <v>206</v>
      </c>
      <c r="AG10" s="12" t="s">
        <v>207</v>
      </c>
    </row>
    <row r="11" customFormat="false" ht="43.5" hidden="false" customHeight="true" outlineLevel="0" collapsed="false">
      <c r="A11" s="12" t="n">
        <v>10</v>
      </c>
      <c r="B11" s="12" t="s">
        <v>208</v>
      </c>
      <c r="C11" s="12" t="s">
        <v>209</v>
      </c>
      <c r="D11" s="12" t="s">
        <v>83</v>
      </c>
      <c r="E11" s="12" t="s">
        <v>84</v>
      </c>
      <c r="F11" s="12" t="s">
        <v>151</v>
      </c>
      <c r="G11" s="12"/>
      <c r="H11" s="12" t="n">
        <v>67.61</v>
      </c>
      <c r="I11" s="12" t="n">
        <v>25</v>
      </c>
      <c r="J11" s="12"/>
      <c r="K11" s="13"/>
      <c r="L11" s="12"/>
      <c r="M11" s="12"/>
      <c r="N11" s="12"/>
      <c r="O11" s="13"/>
      <c r="P11" s="12" t="n">
        <v>0.25328</v>
      </c>
      <c r="Q11" s="12"/>
      <c r="R11" s="12"/>
      <c r="S11" s="12"/>
      <c r="T11" s="12"/>
      <c r="U11" s="12" t="n">
        <v>0.26013</v>
      </c>
      <c r="V11" s="12"/>
      <c r="W11" s="12" t="s">
        <v>208</v>
      </c>
      <c r="X11" s="12"/>
      <c r="Y11" s="13" t="s">
        <v>210</v>
      </c>
      <c r="Z11" s="13" t="s">
        <v>211</v>
      </c>
      <c r="AA11" s="13"/>
      <c r="AB11" s="13"/>
      <c r="AC11" s="12"/>
      <c r="AD11" s="12" t="s">
        <v>108</v>
      </c>
      <c r="AE11" s="13" t="s">
        <v>212</v>
      </c>
      <c r="AF11" s="12" t="s">
        <v>213</v>
      </c>
      <c r="AG11" s="12" t="s">
        <v>214</v>
      </c>
    </row>
    <row r="12" customFormat="false" ht="43.5" hidden="false" customHeight="true" outlineLevel="0" collapsed="false">
      <c r="A12" s="12" t="n">
        <v>11</v>
      </c>
      <c r="B12" s="12" t="s">
        <v>215</v>
      </c>
      <c r="C12" s="12" t="s">
        <v>216</v>
      </c>
      <c r="D12" s="12" t="s">
        <v>83</v>
      </c>
      <c r="E12" s="12" t="s">
        <v>84</v>
      </c>
      <c r="F12" s="12" t="s">
        <v>85</v>
      </c>
      <c r="G12" s="12"/>
      <c r="H12" s="12" t="n">
        <v>231.02</v>
      </c>
      <c r="I12" s="12" t="n">
        <v>25</v>
      </c>
      <c r="J12" s="12" t="n">
        <v>0.0346</v>
      </c>
      <c r="K12" s="13" t="s">
        <v>217</v>
      </c>
      <c r="L12" s="12"/>
      <c r="M12" s="12" t="n">
        <v>0.03</v>
      </c>
      <c r="N12" s="12" t="s">
        <v>218</v>
      </c>
      <c r="O12" s="13"/>
      <c r="P12" s="12" t="n">
        <v>0.03459</v>
      </c>
      <c r="Q12" s="12"/>
      <c r="R12" s="12"/>
      <c r="S12" s="12" t="s">
        <v>219</v>
      </c>
      <c r="T12" s="12" t="s">
        <v>220</v>
      </c>
      <c r="U12" s="12" t="n">
        <v>0.04</v>
      </c>
      <c r="V12" s="12" t="s">
        <v>215</v>
      </c>
      <c r="W12" s="12" t="s">
        <v>221</v>
      </c>
      <c r="X12" s="12" t="n">
        <v>90.4</v>
      </c>
      <c r="Y12" s="13" t="s">
        <v>222</v>
      </c>
      <c r="Z12" s="13" t="s">
        <v>223</v>
      </c>
      <c r="AA12" s="13" t="s">
        <v>224</v>
      </c>
      <c r="AB12" s="13" t="s">
        <v>225</v>
      </c>
      <c r="AC12" s="12"/>
      <c r="AD12" s="12" t="s">
        <v>108</v>
      </c>
      <c r="AE12" s="13" t="s">
        <v>226</v>
      </c>
      <c r="AF12" s="12" t="s">
        <v>227</v>
      </c>
      <c r="AG12" s="12" t="s">
        <v>228</v>
      </c>
    </row>
    <row r="13" customFormat="false" ht="43.5" hidden="false" customHeight="true" outlineLevel="0" collapsed="false">
      <c r="A13" s="12" t="n">
        <v>12</v>
      </c>
      <c r="B13" s="12" t="s">
        <v>229</v>
      </c>
      <c r="C13" s="12" t="s">
        <v>99</v>
      </c>
      <c r="D13" s="12" t="s">
        <v>83</v>
      </c>
      <c r="E13" s="12" t="s">
        <v>84</v>
      </c>
      <c r="F13" s="12" t="s">
        <v>151</v>
      </c>
      <c r="G13" s="12"/>
      <c r="H13" s="12" t="n">
        <v>124.58</v>
      </c>
      <c r="I13" s="12" t="n">
        <v>100</v>
      </c>
      <c r="J13" s="12" t="n">
        <v>2310</v>
      </c>
      <c r="K13" s="13" t="s">
        <v>230</v>
      </c>
      <c r="L13" s="12" t="s">
        <v>231</v>
      </c>
      <c r="M13" s="12" t="n">
        <v>2260</v>
      </c>
      <c r="N13" s="12" t="s">
        <v>232</v>
      </c>
      <c r="O13" s="13" t="s">
        <v>233</v>
      </c>
      <c r="P13" s="12" t="n">
        <v>2311.73</v>
      </c>
      <c r="Q13" s="12"/>
      <c r="R13" s="12"/>
      <c r="S13" s="12" t="s">
        <v>232</v>
      </c>
      <c r="T13" s="12"/>
      <c r="U13" s="12" t="n">
        <v>2340.53</v>
      </c>
      <c r="V13" s="12" t="s">
        <v>229</v>
      </c>
      <c r="W13" s="12" t="s">
        <v>234</v>
      </c>
      <c r="X13" s="12" t="n">
        <v>28.8</v>
      </c>
      <c r="Y13" s="13" t="s">
        <v>235</v>
      </c>
      <c r="Z13" s="13" t="s">
        <v>236</v>
      </c>
      <c r="AA13" s="13"/>
      <c r="AB13" s="13" t="s">
        <v>237</v>
      </c>
      <c r="AC13" s="12"/>
      <c r="AD13" s="12" t="s">
        <v>94</v>
      </c>
      <c r="AE13" s="13" t="s">
        <v>238</v>
      </c>
      <c r="AF13" s="12" t="s">
        <v>239</v>
      </c>
      <c r="AG13" s="12" t="s">
        <v>240</v>
      </c>
    </row>
    <row r="14" customFormat="false" ht="43.5" hidden="false" customHeight="true" outlineLevel="0" collapsed="false">
      <c r="A14" s="12" t="n">
        <v>13</v>
      </c>
      <c r="B14" s="12" t="s">
        <v>241</v>
      </c>
      <c r="C14" s="12" t="s">
        <v>242</v>
      </c>
      <c r="D14" s="12" t="s">
        <v>83</v>
      </c>
      <c r="E14" s="12" t="s">
        <v>143</v>
      </c>
      <c r="F14" s="12" t="s">
        <v>143</v>
      </c>
      <c r="G14" s="12"/>
      <c r="H14" s="12"/>
      <c r="I14" s="12"/>
      <c r="J14" s="12"/>
      <c r="K14" s="13"/>
      <c r="L14" s="12"/>
      <c r="M14" s="12"/>
      <c r="N14" s="12"/>
      <c r="O14" s="13" t="s">
        <v>243</v>
      </c>
      <c r="P14" s="12"/>
      <c r="Q14" s="12"/>
      <c r="R14" s="12"/>
      <c r="S14" s="12"/>
      <c r="T14" s="12"/>
      <c r="U14" s="12"/>
      <c r="V14" s="12"/>
      <c r="W14" s="12"/>
      <c r="X14" s="12"/>
      <c r="Y14" s="13" t="s">
        <v>244</v>
      </c>
      <c r="Z14" s="13" t="s">
        <v>245</v>
      </c>
      <c r="AA14" s="13"/>
      <c r="AB14" s="13"/>
      <c r="AC14" s="12"/>
      <c r="AD14" s="12" t="s">
        <v>94</v>
      </c>
      <c r="AE14" s="13" t="s">
        <v>246</v>
      </c>
      <c r="AF14" s="12" t="s">
        <v>247</v>
      </c>
      <c r="AG14" s="12" t="s">
        <v>248</v>
      </c>
    </row>
    <row r="15" customFormat="false" ht="43.5" hidden="false" customHeight="true" outlineLevel="0" collapsed="false">
      <c r="A15" s="12" t="n">
        <v>14</v>
      </c>
      <c r="B15" s="12" t="s">
        <v>135</v>
      </c>
      <c r="C15" s="12" t="s">
        <v>127</v>
      </c>
      <c r="D15" s="12" t="s">
        <v>83</v>
      </c>
      <c r="E15" s="12" t="s">
        <v>84</v>
      </c>
      <c r="F15" s="12" t="s">
        <v>85</v>
      </c>
      <c r="G15" s="12"/>
      <c r="H15" s="12" t="n">
        <v>215.72</v>
      </c>
      <c r="I15" s="12" t="n">
        <v>50</v>
      </c>
      <c r="J15" s="12" t="n">
        <v>1.486</v>
      </c>
      <c r="K15" s="13" t="s">
        <v>249</v>
      </c>
      <c r="L15" s="12" t="s">
        <v>250</v>
      </c>
      <c r="M15" s="12" t="n">
        <v>1.37</v>
      </c>
      <c r="N15" s="12" t="s">
        <v>133</v>
      </c>
      <c r="O15" s="13"/>
      <c r="P15" s="12" t="n">
        <v>1.4772</v>
      </c>
      <c r="Q15" s="12"/>
      <c r="R15" s="12"/>
      <c r="S15" s="12"/>
      <c r="T15" s="12" t="s">
        <v>251</v>
      </c>
      <c r="U15" s="12" t="n">
        <v>1.5457</v>
      </c>
      <c r="V15" s="12" t="s">
        <v>135</v>
      </c>
      <c r="W15" s="12" t="s">
        <v>252</v>
      </c>
      <c r="X15" s="12" t="n">
        <v>11.9</v>
      </c>
      <c r="Y15" s="13" t="s">
        <v>253</v>
      </c>
      <c r="Z15" s="13" t="s">
        <v>254</v>
      </c>
      <c r="AA15" s="13"/>
      <c r="AB15" s="13"/>
      <c r="AC15" s="12"/>
      <c r="AD15" s="12" t="s">
        <v>94</v>
      </c>
      <c r="AE15" s="13" t="s">
        <v>255</v>
      </c>
      <c r="AF15" s="12" t="s">
        <v>256</v>
      </c>
      <c r="AG15" s="12" t="s">
        <v>257</v>
      </c>
    </row>
    <row r="16" customFormat="false" ht="43.5" hidden="false" customHeight="true" outlineLevel="0" collapsed="false">
      <c r="A16" s="12" t="n">
        <v>15</v>
      </c>
      <c r="B16" s="12" t="s">
        <v>258</v>
      </c>
      <c r="C16" s="12" t="s">
        <v>113</v>
      </c>
      <c r="D16" s="12" t="s">
        <v>259</v>
      </c>
      <c r="E16" s="12" t="s">
        <v>84</v>
      </c>
      <c r="F16" s="12" t="s">
        <v>151</v>
      </c>
      <c r="G16" s="12"/>
      <c r="H16" s="12" t="n">
        <v>109.47</v>
      </c>
      <c r="I16" s="12" t="n">
        <v>100</v>
      </c>
      <c r="J16" s="12" t="n">
        <v>82300</v>
      </c>
      <c r="K16" s="13" t="s">
        <v>260</v>
      </c>
      <c r="L16" s="12" t="s">
        <v>261</v>
      </c>
      <c r="M16" s="12" t="n">
        <v>83650</v>
      </c>
      <c r="N16" s="12" t="s">
        <v>262</v>
      </c>
      <c r="O16" s="13"/>
      <c r="P16" s="12" t="n">
        <v>82202.8</v>
      </c>
      <c r="Q16" s="12"/>
      <c r="R16" s="12"/>
      <c r="S16" s="12"/>
      <c r="T16" s="12"/>
      <c r="U16" s="12" t="n">
        <v>81302.9</v>
      </c>
      <c r="V16" s="12" t="s">
        <v>258</v>
      </c>
      <c r="W16" s="12" t="s">
        <v>263</v>
      </c>
      <c r="X16" s="12" t="n">
        <v>1.5</v>
      </c>
      <c r="Y16" s="13" t="s">
        <v>264</v>
      </c>
      <c r="Z16" s="13" t="s">
        <v>265</v>
      </c>
      <c r="AA16" s="13"/>
      <c r="AB16" s="13" t="s">
        <v>266</v>
      </c>
      <c r="AC16" s="12"/>
      <c r="AD16" s="12" t="s">
        <v>94</v>
      </c>
      <c r="AE16" s="13" t="s">
        <v>267</v>
      </c>
      <c r="AF16" s="12" t="s">
        <v>268</v>
      </c>
      <c r="AG16" s="12" t="s">
        <v>269</v>
      </c>
    </row>
    <row r="17" customFormat="false" ht="43.5" hidden="false" customHeight="true" outlineLevel="0" collapsed="false">
      <c r="A17" s="12" t="n">
        <v>16</v>
      </c>
      <c r="B17" s="12" t="s">
        <v>270</v>
      </c>
      <c r="C17" s="12" t="s">
        <v>113</v>
      </c>
      <c r="D17" s="12" t="s">
        <v>83</v>
      </c>
      <c r="E17" s="12" t="s">
        <v>84</v>
      </c>
      <c r="F17" s="12" t="s">
        <v>151</v>
      </c>
      <c r="G17" s="12"/>
      <c r="H17" s="12" t="n">
        <v>109.31</v>
      </c>
      <c r="I17" s="12" t="n">
        <v>100</v>
      </c>
      <c r="J17" s="12" t="n">
        <v>80900</v>
      </c>
      <c r="K17" s="13" t="s">
        <v>271</v>
      </c>
      <c r="L17" s="12"/>
      <c r="M17" s="12" t="n">
        <v>79500</v>
      </c>
      <c r="N17" s="12" t="s">
        <v>272</v>
      </c>
      <c r="O17" s="13" t="s">
        <v>273</v>
      </c>
      <c r="P17" s="12" t="n">
        <v>80914.2</v>
      </c>
      <c r="Q17" s="12"/>
      <c r="R17" s="12"/>
      <c r="S17" s="12" t="s">
        <v>274</v>
      </c>
      <c r="T17" s="12"/>
      <c r="U17" s="12" t="n">
        <v>81798.7</v>
      </c>
      <c r="V17" s="12" t="s">
        <v>270</v>
      </c>
      <c r="W17" s="12" t="s">
        <v>275</v>
      </c>
      <c r="X17" s="12" t="n">
        <v>10.3</v>
      </c>
      <c r="Y17" s="13" t="s">
        <v>276</v>
      </c>
      <c r="Z17" s="13" t="s">
        <v>277</v>
      </c>
      <c r="AA17" s="13" t="s">
        <v>121</v>
      </c>
      <c r="AB17" s="13" t="s">
        <v>278</v>
      </c>
      <c r="AC17" s="12"/>
      <c r="AD17" s="12" t="s">
        <v>94</v>
      </c>
      <c r="AE17" s="13" t="s">
        <v>279</v>
      </c>
      <c r="AF17" s="12" t="s">
        <v>280</v>
      </c>
      <c r="AG17" s="12" t="s">
        <v>281</v>
      </c>
    </row>
    <row r="18" customFormat="false" ht="43.5" hidden="false" customHeight="true" outlineLevel="0" collapsed="false">
      <c r="A18" s="12" t="n">
        <v>17</v>
      </c>
      <c r="B18" s="12" t="s">
        <v>282</v>
      </c>
      <c r="C18" s="12" t="s">
        <v>113</v>
      </c>
      <c r="D18" s="12" t="s">
        <v>83</v>
      </c>
      <c r="E18" s="12" t="s">
        <v>100</v>
      </c>
      <c r="F18" s="12" t="s">
        <v>101</v>
      </c>
      <c r="G18" s="12"/>
      <c r="H18" s="12"/>
      <c r="I18" s="12"/>
      <c r="J18" s="12" t="n">
        <v>81300</v>
      </c>
      <c r="K18" s="13" t="s">
        <v>283</v>
      </c>
      <c r="L18" s="12" t="s">
        <v>284</v>
      </c>
      <c r="M18" s="12" t="n">
        <v>79500</v>
      </c>
      <c r="N18" s="12"/>
      <c r="O18" s="13" t="s">
        <v>285</v>
      </c>
      <c r="P18" s="12" t="n">
        <v>81000</v>
      </c>
      <c r="Q18" s="12" t="s">
        <v>286</v>
      </c>
      <c r="R18" s="12"/>
      <c r="S18" s="12" t="s">
        <v>287</v>
      </c>
      <c r="T18" s="12"/>
      <c r="U18" s="12"/>
      <c r="V18" s="12" t="s">
        <v>282</v>
      </c>
      <c r="W18" s="12" t="s">
        <v>288</v>
      </c>
      <c r="X18" s="12" t="n">
        <v>37.7</v>
      </c>
      <c r="Y18" s="13" t="s">
        <v>289</v>
      </c>
      <c r="Z18" s="13" t="s">
        <v>290</v>
      </c>
      <c r="AA18" s="13" t="s">
        <v>191</v>
      </c>
      <c r="AB18" s="13" t="s">
        <v>291</v>
      </c>
      <c r="AC18" s="12"/>
      <c r="AD18" s="12" t="s">
        <v>94</v>
      </c>
      <c r="AE18" s="13" t="s">
        <v>292</v>
      </c>
      <c r="AF18" s="12" t="s">
        <v>293</v>
      </c>
      <c r="AG18" s="12" t="s">
        <v>294</v>
      </c>
    </row>
    <row r="19" customFormat="false" ht="43.5" hidden="false" customHeight="true" outlineLevel="0" collapsed="false">
      <c r="A19" s="12" t="n">
        <v>18</v>
      </c>
      <c r="B19" s="12" t="s">
        <v>295</v>
      </c>
      <c r="C19" s="12" t="s">
        <v>296</v>
      </c>
      <c r="D19" s="12" t="s">
        <v>83</v>
      </c>
      <c r="E19" s="12" t="s">
        <v>84</v>
      </c>
      <c r="F19" s="12" t="s">
        <v>151</v>
      </c>
      <c r="G19" s="12"/>
      <c r="H19" s="12" t="n">
        <v>23.45</v>
      </c>
      <c r="I19" s="12" t="n">
        <v>100</v>
      </c>
      <c r="J19" s="12" t="n">
        <v>1.448</v>
      </c>
      <c r="K19" s="13" t="s">
        <v>297</v>
      </c>
      <c r="L19" s="12"/>
      <c r="M19" s="12" t="n">
        <v>1.4</v>
      </c>
      <c r="N19" s="12" t="s">
        <v>298</v>
      </c>
      <c r="O19" s="13"/>
      <c r="P19" s="12" t="n">
        <v>1.4497</v>
      </c>
      <c r="Q19" s="12"/>
      <c r="R19" s="12"/>
      <c r="S19" s="12"/>
      <c r="T19" s="12"/>
      <c r="U19" s="12" t="n">
        <v>1.4531</v>
      </c>
      <c r="V19" s="12" t="s">
        <v>295</v>
      </c>
      <c r="W19" s="12" t="s">
        <v>299</v>
      </c>
      <c r="X19" s="12" t="n">
        <v>50.5</v>
      </c>
      <c r="Y19" s="13" t="s">
        <v>300</v>
      </c>
      <c r="Z19" s="13" t="s">
        <v>301</v>
      </c>
      <c r="AA19" s="13"/>
      <c r="AB19" s="13" t="s">
        <v>302</v>
      </c>
      <c r="AC19" s="12"/>
      <c r="AD19" s="12" t="s">
        <v>94</v>
      </c>
      <c r="AE19" s="13" t="s">
        <v>303</v>
      </c>
      <c r="AF19" s="12" t="s">
        <v>304</v>
      </c>
      <c r="AG19" s="12" t="s">
        <v>305</v>
      </c>
    </row>
    <row r="20" customFormat="false" ht="43.5" hidden="false" customHeight="true" outlineLevel="0" collapsed="false">
      <c r="A20" s="12" t="n">
        <v>19</v>
      </c>
      <c r="B20" s="12" t="s">
        <v>306</v>
      </c>
      <c r="C20" s="12" t="s">
        <v>99</v>
      </c>
      <c r="D20" s="12" t="s">
        <v>83</v>
      </c>
      <c r="E20" s="12" t="s">
        <v>170</v>
      </c>
      <c r="F20" s="12" t="s">
        <v>170</v>
      </c>
      <c r="G20" s="12"/>
      <c r="H20" s="12"/>
      <c r="I20" s="12"/>
      <c r="J20" s="12" t="n">
        <v>2293</v>
      </c>
      <c r="K20" s="13" t="s">
        <v>307</v>
      </c>
      <c r="L20" s="12"/>
      <c r="M20" s="12" t="n">
        <v>2245</v>
      </c>
      <c r="N20" s="12" t="s">
        <v>308</v>
      </c>
      <c r="O20" s="13" t="s">
        <v>309</v>
      </c>
      <c r="P20" s="12"/>
      <c r="Q20" s="12"/>
      <c r="R20" s="12"/>
      <c r="S20" s="12" t="s">
        <v>308</v>
      </c>
      <c r="T20" s="12"/>
      <c r="U20" s="12"/>
      <c r="V20" s="12" t="s">
        <v>306</v>
      </c>
      <c r="W20" s="12"/>
      <c r="X20" s="12"/>
      <c r="Y20" s="13" t="s">
        <v>310</v>
      </c>
      <c r="Z20" s="13" t="s">
        <v>311</v>
      </c>
      <c r="AA20" s="13"/>
      <c r="AB20" s="13" t="s">
        <v>302</v>
      </c>
      <c r="AC20" s="12"/>
      <c r="AD20" s="12" t="s">
        <v>312</v>
      </c>
      <c r="AE20" s="13" t="s">
        <v>313</v>
      </c>
      <c r="AF20" s="12" t="s">
        <v>314</v>
      </c>
      <c r="AG20" s="12" t="s">
        <v>315</v>
      </c>
    </row>
    <row r="21" customFormat="false" ht="43.5" hidden="false" customHeight="true" outlineLevel="0" collapsed="false">
      <c r="A21" s="12" t="n">
        <v>20</v>
      </c>
      <c r="B21" s="12" t="s">
        <v>316</v>
      </c>
      <c r="C21" s="12" t="s">
        <v>317</v>
      </c>
      <c r="D21" s="12" t="s">
        <v>83</v>
      </c>
      <c r="E21" s="12" t="s">
        <v>84</v>
      </c>
      <c r="F21" s="12" t="s">
        <v>151</v>
      </c>
      <c r="G21" s="12"/>
      <c r="H21" s="12" t="n">
        <v>17.79</v>
      </c>
      <c r="I21" s="12" t="n">
        <v>100</v>
      </c>
      <c r="J21" s="12" t="n">
        <v>95.5</v>
      </c>
      <c r="K21" s="13" t="s">
        <v>318</v>
      </c>
      <c r="L21" s="12"/>
      <c r="M21" s="12" t="n">
        <v>93.5</v>
      </c>
      <c r="N21" s="12" t="s">
        <v>319</v>
      </c>
      <c r="O21" s="13"/>
      <c r="P21" s="12" t="n">
        <v>95.53</v>
      </c>
      <c r="Q21" s="12"/>
      <c r="R21" s="12"/>
      <c r="S21" s="12"/>
      <c r="T21" s="12"/>
      <c r="U21" s="12" t="n">
        <v>95.7</v>
      </c>
      <c r="V21" s="12" t="s">
        <v>320</v>
      </c>
      <c r="W21" s="12" t="s">
        <v>321</v>
      </c>
      <c r="X21" s="12" t="n">
        <v>5.2</v>
      </c>
      <c r="Y21" s="13" t="s">
        <v>322</v>
      </c>
      <c r="Z21" s="13" t="s">
        <v>323</v>
      </c>
      <c r="AA21" s="13"/>
      <c r="AB21" s="13"/>
      <c r="AC21" s="12"/>
      <c r="AD21" s="12" t="s">
        <v>94</v>
      </c>
      <c r="AE21" s="13" t="s">
        <v>324</v>
      </c>
      <c r="AF21" s="12" t="s">
        <v>325</v>
      </c>
      <c r="AG21" s="12" t="s">
        <v>326</v>
      </c>
    </row>
    <row r="22" customFormat="false" ht="43.5" hidden="false" customHeight="true" outlineLevel="0" collapsed="false">
      <c r="A22" s="12" t="n">
        <v>21</v>
      </c>
      <c r="B22" s="12" t="s">
        <v>327</v>
      </c>
      <c r="C22" s="12" t="s">
        <v>113</v>
      </c>
      <c r="D22" s="12" t="s">
        <v>83</v>
      </c>
      <c r="E22" s="12" t="s">
        <v>84</v>
      </c>
      <c r="F22" s="12" t="s">
        <v>151</v>
      </c>
      <c r="G22" s="12"/>
      <c r="H22" s="12" t="n">
        <v>202.99</v>
      </c>
      <c r="I22" s="12" t="n">
        <v>100</v>
      </c>
      <c r="J22" s="12" t="n">
        <v>79400</v>
      </c>
      <c r="K22" s="13" t="s">
        <v>328</v>
      </c>
      <c r="L22" s="12" t="s">
        <v>329</v>
      </c>
      <c r="M22" s="12" t="n">
        <v>77900</v>
      </c>
      <c r="N22" s="12" t="s">
        <v>330</v>
      </c>
      <c r="O22" s="13" t="s">
        <v>331</v>
      </c>
      <c r="P22" s="12" t="n">
        <v>79284.35</v>
      </c>
      <c r="Q22" s="12" t="s">
        <v>332</v>
      </c>
      <c r="R22" s="12"/>
      <c r="S22" s="12"/>
      <c r="T22" s="12"/>
      <c r="U22" s="12" t="n">
        <v>80893.8</v>
      </c>
      <c r="V22" s="12" t="s">
        <v>327</v>
      </c>
      <c r="W22" s="12" t="s">
        <v>333</v>
      </c>
      <c r="X22" s="12" t="n">
        <v>23.8</v>
      </c>
      <c r="Y22" s="13" t="s">
        <v>334</v>
      </c>
      <c r="Z22" s="13" t="s">
        <v>335</v>
      </c>
      <c r="AA22" s="13" t="s">
        <v>336</v>
      </c>
      <c r="AB22" s="13" t="s">
        <v>337</v>
      </c>
      <c r="AC22" s="12"/>
      <c r="AD22" s="12" t="s">
        <v>94</v>
      </c>
      <c r="AE22" s="13" t="s">
        <v>338</v>
      </c>
      <c r="AF22" s="12" t="s">
        <v>339</v>
      </c>
      <c r="AG22" s="12" t="s">
        <v>340</v>
      </c>
    </row>
    <row r="23" customFormat="false" ht="43.5" hidden="false" customHeight="true" outlineLevel="0" collapsed="false">
      <c r="A23" s="12" t="n">
        <v>22</v>
      </c>
      <c r="B23" s="12" t="s">
        <v>341</v>
      </c>
      <c r="C23" s="12" t="s">
        <v>317</v>
      </c>
      <c r="D23" s="12" t="s">
        <v>83</v>
      </c>
      <c r="E23" s="12" t="s">
        <v>84</v>
      </c>
      <c r="F23" s="12" t="s">
        <v>151</v>
      </c>
      <c r="G23" s="12"/>
      <c r="H23" s="12" t="n">
        <v>45.03</v>
      </c>
      <c r="I23" s="12" t="n">
        <v>100</v>
      </c>
      <c r="J23" s="12" t="n">
        <v>91.25</v>
      </c>
      <c r="K23" s="13" t="s">
        <v>342</v>
      </c>
      <c r="L23" s="12"/>
      <c r="M23" s="12" t="n">
        <v>87.5</v>
      </c>
      <c r="N23" s="12"/>
      <c r="O23" s="13" t="s">
        <v>343</v>
      </c>
      <c r="P23" s="12" t="n">
        <v>91.05</v>
      </c>
      <c r="Q23" s="12"/>
      <c r="R23" s="12" t="s">
        <v>344</v>
      </c>
      <c r="S23" s="12"/>
      <c r="T23" s="12"/>
      <c r="U23" s="12" t="n">
        <v>91.46</v>
      </c>
      <c r="V23" s="12" t="s">
        <v>341</v>
      </c>
      <c r="W23" s="12" t="s">
        <v>299</v>
      </c>
      <c r="X23" s="12" t="n">
        <v>14.2</v>
      </c>
      <c r="Y23" s="13" t="s">
        <v>345</v>
      </c>
      <c r="Z23" s="13" t="s">
        <v>346</v>
      </c>
      <c r="AA23" s="13" t="s">
        <v>191</v>
      </c>
      <c r="AB23" s="13"/>
      <c r="AC23" s="12"/>
      <c r="AD23" s="12" t="s">
        <v>94</v>
      </c>
      <c r="AE23" s="13" t="s">
        <v>347</v>
      </c>
      <c r="AF23" s="12" t="s">
        <v>348</v>
      </c>
      <c r="AG23" s="12" t="s">
        <v>349</v>
      </c>
    </row>
    <row r="24" customFormat="false" ht="43.5" hidden="false" customHeight="true" outlineLevel="0" collapsed="false">
      <c r="A24" s="12" t="n">
        <v>23</v>
      </c>
      <c r="B24" s="12" t="s">
        <v>350</v>
      </c>
      <c r="C24" s="12" t="s">
        <v>351</v>
      </c>
      <c r="D24" s="12" t="s">
        <v>83</v>
      </c>
      <c r="E24" s="12" t="s">
        <v>84</v>
      </c>
      <c r="F24" s="12" t="s">
        <v>151</v>
      </c>
      <c r="G24" s="12"/>
      <c r="H24" s="12" t="n">
        <v>116.46</v>
      </c>
      <c r="I24" s="12" t="n">
        <v>25</v>
      </c>
      <c r="J24" s="12" t="n">
        <v>0.03535</v>
      </c>
      <c r="K24" s="13" t="s">
        <v>352</v>
      </c>
      <c r="L24" s="12"/>
      <c r="M24" s="12" t="n">
        <v>0.3</v>
      </c>
      <c r="N24" s="12" t="s">
        <v>353</v>
      </c>
      <c r="O24" s="13" t="s">
        <v>354</v>
      </c>
      <c r="P24" s="12" t="n">
        <v>0.03538</v>
      </c>
      <c r="Q24" s="12"/>
      <c r="R24" s="12"/>
      <c r="S24" s="12" t="s">
        <v>355</v>
      </c>
      <c r="T24" s="12"/>
      <c r="U24" s="12" t="n">
        <v>0.0371</v>
      </c>
      <c r="V24" s="12" t="s">
        <v>350</v>
      </c>
      <c r="W24" s="12" t="s">
        <v>356</v>
      </c>
      <c r="X24" s="12" t="n">
        <v>24</v>
      </c>
      <c r="Y24" s="13" t="s">
        <v>357</v>
      </c>
      <c r="Z24" s="13" t="s">
        <v>358</v>
      </c>
      <c r="AA24" s="13"/>
      <c r="AB24" s="13"/>
      <c r="AC24" s="12"/>
      <c r="AD24" s="12" t="s">
        <v>108</v>
      </c>
      <c r="AE24" s="13" t="s">
        <v>359</v>
      </c>
      <c r="AF24" s="12" t="s">
        <v>360</v>
      </c>
      <c r="AG24" s="12" t="s">
        <v>361</v>
      </c>
    </row>
    <row r="25" customFormat="false" ht="43.5" hidden="false" customHeight="true" outlineLevel="0" collapsed="false">
      <c r="A25" s="12" t="n">
        <v>24</v>
      </c>
      <c r="B25" s="12" t="s">
        <v>362</v>
      </c>
      <c r="C25" s="12" t="s">
        <v>363</v>
      </c>
      <c r="D25" s="12" t="s">
        <v>83</v>
      </c>
      <c r="E25" s="12" t="s">
        <v>84</v>
      </c>
      <c r="F25" s="12" t="s">
        <v>151</v>
      </c>
      <c r="G25" s="12"/>
      <c r="H25" s="12" t="n">
        <v>161.15</v>
      </c>
      <c r="I25" s="12" t="n">
        <v>50</v>
      </c>
      <c r="J25" s="12" t="n">
        <v>6.89</v>
      </c>
      <c r="K25" s="13" t="s">
        <v>364</v>
      </c>
      <c r="L25" s="12"/>
      <c r="M25" s="12" t="n">
        <v>6.3</v>
      </c>
      <c r="N25" s="12" t="s">
        <v>365</v>
      </c>
      <c r="O25" s="13"/>
      <c r="P25" s="12" t="n">
        <v>6.9</v>
      </c>
      <c r="Q25" s="12"/>
      <c r="R25" s="12"/>
      <c r="S25" s="12"/>
      <c r="T25" s="12" t="s">
        <v>366</v>
      </c>
      <c r="U25" s="12" t="n">
        <v>7.135</v>
      </c>
      <c r="V25" s="12" t="s">
        <v>362</v>
      </c>
      <c r="W25" s="12" t="s">
        <v>367</v>
      </c>
      <c r="X25" s="12" t="n">
        <v>8.7</v>
      </c>
      <c r="Y25" s="13" t="s">
        <v>368</v>
      </c>
      <c r="Z25" s="13" t="s">
        <v>369</v>
      </c>
      <c r="AA25" s="13" t="s">
        <v>370</v>
      </c>
      <c r="AB25" s="13" t="s">
        <v>302</v>
      </c>
      <c r="AC25" s="12"/>
      <c r="AD25" s="12" t="s">
        <v>94</v>
      </c>
      <c r="AE25" s="13" t="s">
        <v>371</v>
      </c>
      <c r="AF25" s="12" t="s">
        <v>372</v>
      </c>
      <c r="AG25" s="12" t="s">
        <v>373</v>
      </c>
    </row>
    <row r="26" customFormat="false" ht="43.5" hidden="false" customHeight="true" outlineLevel="0" collapsed="false">
      <c r="A26" s="12" t="n">
        <v>25</v>
      </c>
      <c r="B26" s="12" t="s">
        <v>374</v>
      </c>
      <c r="C26" s="12" t="s">
        <v>113</v>
      </c>
      <c r="D26" s="12" t="s">
        <v>83</v>
      </c>
      <c r="E26" s="12" t="s">
        <v>100</v>
      </c>
      <c r="F26" s="12" t="s">
        <v>101</v>
      </c>
      <c r="G26" s="12"/>
      <c r="H26" s="12"/>
      <c r="I26" s="12"/>
      <c r="J26" s="12" t="n">
        <v>81300</v>
      </c>
      <c r="K26" s="13" t="s">
        <v>375</v>
      </c>
      <c r="L26" s="12" t="s">
        <v>115</v>
      </c>
      <c r="M26" s="12" t="n">
        <v>79500</v>
      </c>
      <c r="N26" s="12" t="s">
        <v>376</v>
      </c>
      <c r="O26" s="13" t="s">
        <v>377</v>
      </c>
      <c r="P26" s="12" t="n">
        <v>81300</v>
      </c>
      <c r="Q26" s="12"/>
      <c r="R26" s="12"/>
      <c r="S26" s="12"/>
      <c r="T26" s="12"/>
      <c r="U26" s="12"/>
      <c r="V26" s="12" t="s">
        <v>374</v>
      </c>
      <c r="W26" s="12" t="s">
        <v>378</v>
      </c>
      <c r="X26" s="12" t="n">
        <v>31.8</v>
      </c>
      <c r="Y26" s="13" t="s">
        <v>379</v>
      </c>
      <c r="Z26" s="13" t="s">
        <v>380</v>
      </c>
      <c r="AA26" s="13" t="s">
        <v>381</v>
      </c>
      <c r="AB26" s="13" t="s">
        <v>382</v>
      </c>
      <c r="AC26" s="12"/>
      <c r="AD26" s="12" t="s">
        <v>94</v>
      </c>
      <c r="AE26" s="13" t="s">
        <v>383</v>
      </c>
      <c r="AF26" s="12" t="s">
        <v>384</v>
      </c>
      <c r="AG26" s="12" t="s">
        <v>385</v>
      </c>
    </row>
    <row r="27" customFormat="false" ht="43.5" hidden="false" customHeight="true" outlineLevel="0" collapsed="false">
      <c r="A27" s="12" t="n">
        <v>26</v>
      </c>
      <c r="B27" s="12" t="s">
        <v>386</v>
      </c>
      <c r="C27" s="12" t="s">
        <v>387</v>
      </c>
      <c r="D27" s="12" t="s">
        <v>83</v>
      </c>
      <c r="E27" s="12" t="s">
        <v>100</v>
      </c>
      <c r="F27" s="12" t="s">
        <v>101</v>
      </c>
      <c r="G27" s="12"/>
      <c r="H27" s="12"/>
      <c r="I27" s="12"/>
      <c r="J27" s="12" t="n">
        <v>0.0948</v>
      </c>
      <c r="K27" s="13" t="s">
        <v>388</v>
      </c>
      <c r="L27" s="12"/>
      <c r="M27" s="12" t="n">
        <v>0.089</v>
      </c>
      <c r="N27" s="12" t="s">
        <v>389</v>
      </c>
      <c r="O27" s="13"/>
      <c r="P27" s="12"/>
      <c r="Q27" s="12"/>
      <c r="R27" s="12"/>
      <c r="S27" s="12"/>
      <c r="T27" s="12"/>
      <c r="U27" s="12"/>
      <c r="V27" s="12" t="s">
        <v>386</v>
      </c>
      <c r="W27" s="12" t="s">
        <v>390</v>
      </c>
      <c r="X27" s="12" t="n">
        <v>72.8</v>
      </c>
      <c r="Y27" s="13" t="s">
        <v>391</v>
      </c>
      <c r="Z27" s="13" t="s">
        <v>392</v>
      </c>
      <c r="AA27" s="13"/>
      <c r="AB27" s="13"/>
      <c r="AC27" s="12"/>
      <c r="AD27" s="12" t="s">
        <v>108</v>
      </c>
      <c r="AE27" s="13" t="s">
        <v>393</v>
      </c>
      <c r="AF27" s="12" t="s">
        <v>394</v>
      </c>
      <c r="AG27" s="12" t="s">
        <v>395</v>
      </c>
    </row>
    <row r="28" customFormat="false" ht="43.5" hidden="false" customHeight="true" outlineLevel="0" collapsed="false">
      <c r="A28" s="12" t="n">
        <v>27</v>
      </c>
      <c r="B28" s="12" t="s">
        <v>396</v>
      </c>
      <c r="C28" s="12" t="s">
        <v>397</v>
      </c>
      <c r="D28" s="12" t="s">
        <v>83</v>
      </c>
      <c r="E28" s="12" t="s">
        <v>170</v>
      </c>
      <c r="F28" s="12" t="s">
        <v>170</v>
      </c>
      <c r="G28" s="12"/>
      <c r="H28" s="12"/>
      <c r="I28" s="12"/>
      <c r="J28" s="12" t="n">
        <v>0.0615</v>
      </c>
      <c r="K28" s="13" t="s">
        <v>398</v>
      </c>
      <c r="L28" s="12" t="s">
        <v>399</v>
      </c>
      <c r="M28" s="12" t="n">
        <v>0.0525</v>
      </c>
      <c r="N28" s="12" t="s">
        <v>400</v>
      </c>
      <c r="O28" s="13" t="s">
        <v>401</v>
      </c>
      <c r="P28" s="12" t="n">
        <v>0.606</v>
      </c>
      <c r="Q28" s="12" t="s">
        <v>402</v>
      </c>
      <c r="R28" s="12"/>
      <c r="S28" s="12"/>
      <c r="T28" s="12"/>
      <c r="U28" s="12"/>
      <c r="V28" s="12" t="s">
        <v>396</v>
      </c>
      <c r="W28" s="12"/>
      <c r="X28" s="12"/>
      <c r="Y28" s="13" t="s">
        <v>403</v>
      </c>
      <c r="Z28" s="13" t="s">
        <v>404</v>
      </c>
      <c r="AA28" s="13"/>
      <c r="AB28" s="13"/>
      <c r="AC28" s="12" t="s">
        <v>177</v>
      </c>
      <c r="AD28" s="12" t="s">
        <v>108</v>
      </c>
      <c r="AE28" s="13" t="s">
        <v>405</v>
      </c>
      <c r="AF28" s="12" t="s">
        <v>406</v>
      </c>
      <c r="AG28" s="12" t="s">
        <v>407</v>
      </c>
    </row>
    <row r="29" customFormat="false" ht="43.5" hidden="false" customHeight="true" outlineLevel="0" collapsed="false">
      <c r="A29" s="12" t="n">
        <v>28</v>
      </c>
      <c r="B29" s="12" t="s">
        <v>408</v>
      </c>
      <c r="C29" s="12" t="s">
        <v>409</v>
      </c>
      <c r="D29" s="12" t="s">
        <v>83</v>
      </c>
      <c r="E29" s="12" t="s">
        <v>143</v>
      </c>
      <c r="F29" s="12" t="s">
        <v>143</v>
      </c>
      <c r="G29" s="12"/>
      <c r="H29" s="12"/>
      <c r="I29" s="12"/>
      <c r="J29" s="12"/>
      <c r="K29" s="13" t="s">
        <v>410</v>
      </c>
      <c r="L29" s="12"/>
      <c r="M29" s="12" t="n">
        <v>9.6</v>
      </c>
      <c r="N29" s="12"/>
      <c r="O29" s="13"/>
      <c r="P29" s="12"/>
      <c r="Q29" s="12"/>
      <c r="R29" s="12"/>
      <c r="S29" s="12"/>
      <c r="T29" s="12"/>
      <c r="U29" s="12"/>
      <c r="V29" s="12"/>
      <c r="W29" s="12"/>
      <c r="X29" s="12"/>
      <c r="Y29" s="13" t="s">
        <v>411</v>
      </c>
      <c r="Z29" s="13" t="s">
        <v>412</v>
      </c>
      <c r="AA29" s="13"/>
      <c r="AB29" s="13" t="s">
        <v>413</v>
      </c>
      <c r="AC29" s="12"/>
      <c r="AD29" s="12" t="s">
        <v>108</v>
      </c>
      <c r="AE29" s="13" t="s">
        <v>414</v>
      </c>
      <c r="AF29" s="12" t="s">
        <v>415</v>
      </c>
      <c r="AG29" s="12" t="s">
        <v>416</v>
      </c>
    </row>
    <row r="30" customFormat="false" ht="43.5" hidden="false" customHeight="true" outlineLevel="0" collapsed="false">
      <c r="A30" s="12" t="n">
        <v>29</v>
      </c>
      <c r="B30" s="12" t="s">
        <v>417</v>
      </c>
      <c r="C30" s="12" t="s">
        <v>99</v>
      </c>
      <c r="D30" s="12" t="s">
        <v>83</v>
      </c>
      <c r="E30" s="12" t="s">
        <v>128</v>
      </c>
      <c r="F30" s="12" t="s">
        <v>128</v>
      </c>
      <c r="G30" s="12"/>
      <c r="H30" s="12"/>
      <c r="I30" s="12" t="n">
        <v>100</v>
      </c>
      <c r="J30" s="12" t="n">
        <v>2170</v>
      </c>
      <c r="K30" s="13" t="s">
        <v>418</v>
      </c>
      <c r="L30" s="12"/>
      <c r="M30" s="12" t="n">
        <v>2145</v>
      </c>
      <c r="N30" s="12"/>
      <c r="O30" s="13" t="s">
        <v>419</v>
      </c>
      <c r="P30" s="12" t="n">
        <v>2173.61</v>
      </c>
      <c r="Q30" s="12"/>
      <c r="R30" s="12"/>
      <c r="S30" s="12"/>
      <c r="T30" s="12" t="s">
        <v>420</v>
      </c>
      <c r="U30" s="12"/>
      <c r="V30" s="12" t="s">
        <v>421</v>
      </c>
      <c r="W30" s="12" t="s">
        <v>422</v>
      </c>
      <c r="X30" s="12" t="n">
        <v>38.2</v>
      </c>
      <c r="Y30" s="13" t="s">
        <v>423</v>
      </c>
      <c r="Z30" s="13" t="s">
        <v>424</v>
      </c>
      <c r="AA30" s="13" t="s">
        <v>425</v>
      </c>
      <c r="AB30" s="13" t="s">
        <v>426</v>
      </c>
      <c r="AC30" s="12"/>
      <c r="AD30" s="12" t="s">
        <v>108</v>
      </c>
      <c r="AE30" s="13" t="s">
        <v>427</v>
      </c>
      <c r="AF30" s="12" t="s">
        <v>428</v>
      </c>
      <c r="AG30" s="12" t="s">
        <v>429</v>
      </c>
    </row>
    <row r="31" customFormat="false" ht="43.5" hidden="false" customHeight="true" outlineLevel="0" collapsed="false">
      <c r="A31" s="12" t="n">
        <v>30</v>
      </c>
      <c r="B31" s="12" t="s">
        <v>417</v>
      </c>
      <c r="C31" s="12" t="s">
        <v>113</v>
      </c>
      <c r="D31" s="12" t="s">
        <v>83</v>
      </c>
      <c r="E31" s="12" t="s">
        <v>170</v>
      </c>
      <c r="F31" s="12" t="s">
        <v>170</v>
      </c>
      <c r="G31" s="12"/>
      <c r="H31" s="12"/>
      <c r="I31" s="12"/>
      <c r="J31" s="12" t="n">
        <v>78000</v>
      </c>
      <c r="K31" s="13" t="s">
        <v>430</v>
      </c>
      <c r="L31" s="12"/>
      <c r="M31" s="12" t="n">
        <v>77700</v>
      </c>
      <c r="N31" s="12"/>
      <c r="O31" s="13" t="s">
        <v>431</v>
      </c>
      <c r="P31" s="12"/>
      <c r="Q31" s="12"/>
      <c r="R31" s="12"/>
      <c r="S31" s="12"/>
      <c r="T31" s="12"/>
      <c r="U31" s="12"/>
      <c r="V31" s="12"/>
      <c r="W31" s="12"/>
      <c r="X31" s="12"/>
      <c r="Y31" s="13" t="s">
        <v>432</v>
      </c>
      <c r="Z31" s="13" t="s">
        <v>433</v>
      </c>
      <c r="AA31" s="13" t="s">
        <v>434</v>
      </c>
      <c r="AB31" s="13" t="s">
        <v>435</v>
      </c>
      <c r="AC31" s="12"/>
      <c r="AD31" s="12" t="s">
        <v>312</v>
      </c>
      <c r="AE31" s="13" t="s">
        <v>436</v>
      </c>
      <c r="AF31" s="12" t="s">
        <v>437</v>
      </c>
      <c r="AG31" s="12" t="s">
        <v>438</v>
      </c>
    </row>
    <row r="32" customFormat="false" ht="43.5" hidden="false" customHeight="true" outlineLevel="0" collapsed="false">
      <c r="A32" s="12" t="n">
        <v>31</v>
      </c>
      <c r="B32" s="12" t="s">
        <v>439</v>
      </c>
      <c r="C32" s="12" t="s">
        <v>113</v>
      </c>
      <c r="D32" s="12" t="s">
        <v>83</v>
      </c>
      <c r="E32" s="12" t="s">
        <v>170</v>
      </c>
      <c r="F32" s="12" t="s">
        <v>170</v>
      </c>
      <c r="G32" s="12"/>
      <c r="H32" s="12"/>
      <c r="I32" s="12" t="n">
        <v>150</v>
      </c>
      <c r="J32" s="12"/>
      <c r="K32" s="13" t="s">
        <v>440</v>
      </c>
      <c r="L32" s="12"/>
      <c r="M32" s="12" t="n">
        <v>76900</v>
      </c>
      <c r="N32" s="12"/>
      <c r="O32" s="13" t="s">
        <v>441</v>
      </c>
      <c r="P32" s="12" t="n">
        <v>78041.3</v>
      </c>
      <c r="Q32" s="12"/>
      <c r="R32" s="12"/>
      <c r="S32" s="12"/>
      <c r="T32" s="12"/>
      <c r="U32" s="12"/>
      <c r="V32" s="12" t="s">
        <v>439</v>
      </c>
      <c r="W32" s="12"/>
      <c r="X32" s="12"/>
      <c r="Y32" s="13" t="s">
        <v>442</v>
      </c>
      <c r="Z32" s="13" t="s">
        <v>443</v>
      </c>
      <c r="AA32" s="13"/>
      <c r="AB32" s="13" t="s">
        <v>444</v>
      </c>
      <c r="AC32" s="12"/>
      <c r="AD32" s="12" t="s">
        <v>312</v>
      </c>
      <c r="AE32" s="13" t="s">
        <v>445</v>
      </c>
      <c r="AF32" s="12" t="s">
        <v>446</v>
      </c>
      <c r="AG32" s="12" t="s">
        <v>447</v>
      </c>
    </row>
    <row r="33" customFormat="false" ht="43.5" hidden="false" customHeight="true" outlineLevel="0" collapsed="false">
      <c r="A33" s="12" t="n">
        <v>32</v>
      </c>
      <c r="B33" s="12" t="s">
        <v>448</v>
      </c>
      <c r="C33" s="12" t="s">
        <v>113</v>
      </c>
      <c r="D33" s="12" t="s">
        <v>83</v>
      </c>
      <c r="E33" s="12" t="s">
        <v>84</v>
      </c>
      <c r="F33" s="12" t="s">
        <v>151</v>
      </c>
      <c r="G33" s="12" t="n">
        <v>1</v>
      </c>
      <c r="H33" s="12" t="n">
        <v>219.32</v>
      </c>
      <c r="I33" s="12" t="n">
        <v>150</v>
      </c>
      <c r="J33" s="12" t="n">
        <v>77000</v>
      </c>
      <c r="K33" s="13" t="s">
        <v>449</v>
      </c>
      <c r="L33" s="12" t="s">
        <v>450</v>
      </c>
      <c r="M33" s="12" t="n">
        <v>75400</v>
      </c>
      <c r="N33" s="12"/>
      <c r="O33" s="13"/>
      <c r="P33" s="12" t="n">
        <v>76704.7</v>
      </c>
      <c r="Q33" s="12" t="s">
        <v>451</v>
      </c>
      <c r="R33" s="12"/>
      <c r="S33" s="12" t="s">
        <v>452</v>
      </c>
      <c r="T33" s="12"/>
      <c r="U33" s="12" t="n">
        <v>77826.3</v>
      </c>
      <c r="V33" s="12" t="s">
        <v>448</v>
      </c>
      <c r="W33" s="12" t="s">
        <v>453</v>
      </c>
      <c r="X33" s="12" t="n">
        <v>72.7</v>
      </c>
      <c r="Y33" s="13" t="s">
        <v>454</v>
      </c>
      <c r="Z33" s="13" t="s">
        <v>455</v>
      </c>
      <c r="AA33" s="13" t="s">
        <v>456</v>
      </c>
      <c r="AB33" s="13" t="s">
        <v>457</v>
      </c>
      <c r="AC33" s="12"/>
      <c r="AD33" s="12" t="s">
        <v>94</v>
      </c>
      <c r="AE33" s="13" t="s">
        <v>458</v>
      </c>
      <c r="AF33" s="12" t="s">
        <v>459</v>
      </c>
      <c r="AG33" s="12" t="s">
        <v>460</v>
      </c>
    </row>
    <row r="34" customFormat="false" ht="43.5" hidden="false" customHeight="true" outlineLevel="0" collapsed="false">
      <c r="A34" s="12" t="n">
        <v>33</v>
      </c>
      <c r="B34" s="12" t="s">
        <v>461</v>
      </c>
      <c r="C34" s="12" t="s">
        <v>462</v>
      </c>
      <c r="D34" s="12" t="s">
        <v>83</v>
      </c>
      <c r="E34" s="12" t="s">
        <v>84</v>
      </c>
      <c r="F34" s="12" t="s">
        <v>85</v>
      </c>
      <c r="G34" s="12"/>
      <c r="H34" s="12" t="n">
        <v>165.91</v>
      </c>
      <c r="I34" s="12" t="n">
        <v>25</v>
      </c>
      <c r="J34" s="12" t="n">
        <v>0.000599</v>
      </c>
      <c r="K34" s="13" t="s">
        <v>463</v>
      </c>
      <c r="L34" s="12"/>
      <c r="M34" s="12" t="n">
        <v>0.00053</v>
      </c>
      <c r="N34" s="12" t="s">
        <v>464</v>
      </c>
      <c r="O34" s="13" t="s">
        <v>465</v>
      </c>
      <c r="P34" s="12" t="n">
        <v>0.0005998</v>
      </c>
      <c r="Q34" s="12"/>
      <c r="R34" s="12" t="s">
        <v>466</v>
      </c>
      <c r="S34" s="12"/>
      <c r="T34" s="12" t="s">
        <v>467</v>
      </c>
      <c r="U34" s="12"/>
      <c r="V34" s="12" t="s">
        <v>461</v>
      </c>
      <c r="W34" s="12" t="s">
        <v>468</v>
      </c>
      <c r="X34" s="12" t="n">
        <v>17.4</v>
      </c>
      <c r="Y34" s="13" t="s">
        <v>469</v>
      </c>
      <c r="Z34" s="13" t="s">
        <v>470</v>
      </c>
      <c r="AA34" s="13" t="s">
        <v>191</v>
      </c>
      <c r="AB34" s="13" t="s">
        <v>471</v>
      </c>
      <c r="AC34" s="12"/>
      <c r="AD34" s="12" t="s">
        <v>108</v>
      </c>
      <c r="AE34" s="13" t="s">
        <v>472</v>
      </c>
      <c r="AF34" s="12" t="s">
        <v>473</v>
      </c>
      <c r="AG34" s="12" t="s">
        <v>474</v>
      </c>
    </row>
    <row r="35" customFormat="false" ht="43.5" hidden="false" customHeight="true" outlineLevel="0" collapsed="false">
      <c r="A35" s="12" t="n">
        <v>34</v>
      </c>
      <c r="B35" s="12" t="s">
        <v>475</v>
      </c>
      <c r="C35" s="12" t="s">
        <v>476</v>
      </c>
      <c r="D35" s="12" t="s">
        <v>83</v>
      </c>
      <c r="E35" s="12" t="s">
        <v>84</v>
      </c>
      <c r="F35" s="12" t="s">
        <v>85</v>
      </c>
      <c r="G35" s="12" t="n">
        <v>1</v>
      </c>
      <c r="H35" s="12" t="n">
        <v>493.44</v>
      </c>
      <c r="I35" s="12" t="n">
        <v>75</v>
      </c>
      <c r="J35" s="12" t="n">
        <v>544</v>
      </c>
      <c r="K35" s="13" t="s">
        <v>477</v>
      </c>
      <c r="L35" s="12"/>
      <c r="M35" s="12" t="n">
        <v>505</v>
      </c>
      <c r="N35" s="12" t="s">
        <v>478</v>
      </c>
      <c r="O35" s="13"/>
      <c r="P35" s="12" t="n">
        <v>545.99</v>
      </c>
      <c r="Q35" s="12" t="s">
        <v>479</v>
      </c>
      <c r="R35" s="12" t="s">
        <v>480</v>
      </c>
      <c r="S35" s="12" t="s">
        <v>481</v>
      </c>
      <c r="T35" s="12" t="s">
        <v>482</v>
      </c>
      <c r="U35" s="12" t="n">
        <v>592</v>
      </c>
      <c r="V35" s="12" t="s">
        <v>475</v>
      </c>
      <c r="W35" s="12" t="s">
        <v>483</v>
      </c>
      <c r="X35" s="12" t="n">
        <v>35.1</v>
      </c>
      <c r="Y35" s="13" t="s">
        <v>484</v>
      </c>
      <c r="Z35" s="13" t="s">
        <v>485</v>
      </c>
      <c r="AA35" s="13"/>
      <c r="AB35" s="13" t="s">
        <v>486</v>
      </c>
      <c r="AC35" s="12"/>
      <c r="AD35" s="12" t="s">
        <v>94</v>
      </c>
      <c r="AE35" s="13" t="s">
        <v>487</v>
      </c>
      <c r="AF35" s="12" t="s">
        <v>488</v>
      </c>
      <c r="AG35" s="12" t="s">
        <v>489</v>
      </c>
    </row>
    <row r="36" customFormat="false" ht="43.5" hidden="false" customHeight="true" outlineLevel="0" collapsed="false">
      <c r="A36" s="12" t="n">
        <v>35</v>
      </c>
      <c r="B36" s="12" t="s">
        <v>490</v>
      </c>
      <c r="C36" s="12" t="s">
        <v>491</v>
      </c>
      <c r="D36" s="12" t="s">
        <v>83</v>
      </c>
      <c r="E36" s="12" t="s">
        <v>84</v>
      </c>
      <c r="F36" s="12" t="s">
        <v>85</v>
      </c>
      <c r="G36" s="12"/>
      <c r="H36" s="12" t="n">
        <v>308.25</v>
      </c>
      <c r="I36" s="12" t="n">
        <v>50</v>
      </c>
      <c r="J36" s="12" t="n">
        <v>1.09</v>
      </c>
      <c r="K36" s="13" t="s">
        <v>492</v>
      </c>
      <c r="L36" s="12"/>
      <c r="M36" s="12" t="n">
        <v>1.01</v>
      </c>
      <c r="N36" s="12"/>
      <c r="O36" s="13" t="s">
        <v>493</v>
      </c>
      <c r="P36" s="12" t="n">
        <v>1.0738</v>
      </c>
      <c r="Q36" s="12" t="s">
        <v>494</v>
      </c>
      <c r="R36" s="12" t="s">
        <v>495</v>
      </c>
      <c r="S36" s="12" t="s">
        <v>496</v>
      </c>
      <c r="T36" s="12"/>
      <c r="U36" s="12" t="n">
        <v>1.14</v>
      </c>
      <c r="V36" s="12" t="s">
        <v>490</v>
      </c>
      <c r="W36" s="12" t="s">
        <v>497</v>
      </c>
      <c r="X36" s="12" t="n">
        <v>43.2</v>
      </c>
      <c r="Y36" s="13" t="s">
        <v>498</v>
      </c>
      <c r="Z36" s="13" t="s">
        <v>499</v>
      </c>
      <c r="AA36" s="13"/>
      <c r="AB36" s="13"/>
      <c r="AC36" s="12"/>
      <c r="AD36" s="12" t="s">
        <v>94</v>
      </c>
      <c r="AE36" s="13" t="s">
        <v>500</v>
      </c>
      <c r="AF36" s="12" t="s">
        <v>501</v>
      </c>
      <c r="AG36" s="12" t="s">
        <v>502</v>
      </c>
    </row>
    <row r="37" customFormat="false" ht="43.5" hidden="false" customHeight="true" outlineLevel="0" collapsed="false">
      <c r="A37" s="12" t="n">
        <v>36</v>
      </c>
      <c r="B37" s="12" t="s">
        <v>503</v>
      </c>
      <c r="C37" s="12" t="s">
        <v>504</v>
      </c>
      <c r="D37" s="12" t="s">
        <v>83</v>
      </c>
      <c r="E37" s="12" t="s">
        <v>84</v>
      </c>
      <c r="F37" s="12" t="s">
        <v>170</v>
      </c>
      <c r="G37" s="12"/>
      <c r="H37" s="12" t="n">
        <v>199.88</v>
      </c>
      <c r="I37" s="12" t="n">
        <v>75</v>
      </c>
      <c r="J37" s="12" t="n">
        <v>0.614</v>
      </c>
      <c r="K37" s="13" t="s">
        <v>505</v>
      </c>
      <c r="L37" s="12"/>
      <c r="M37" s="12" t="n">
        <v>0.578</v>
      </c>
      <c r="N37" s="12" t="s">
        <v>506</v>
      </c>
      <c r="O37" s="13"/>
      <c r="P37" s="12" t="n">
        <v>0.006158</v>
      </c>
      <c r="Q37" s="12"/>
      <c r="R37" s="12"/>
      <c r="S37" s="12"/>
      <c r="T37" s="12" t="s">
        <v>507</v>
      </c>
      <c r="U37" s="12"/>
      <c r="V37" s="12" t="s">
        <v>503</v>
      </c>
      <c r="W37" s="12"/>
      <c r="X37" s="12"/>
      <c r="Y37" s="13" t="s">
        <v>508</v>
      </c>
      <c r="Z37" s="13" t="s">
        <v>509</v>
      </c>
      <c r="AA37" s="13"/>
      <c r="AB37" s="13" t="s">
        <v>510</v>
      </c>
      <c r="AC37" s="12"/>
      <c r="AD37" s="12" t="s">
        <v>108</v>
      </c>
      <c r="AE37" s="13" t="s">
        <v>511</v>
      </c>
      <c r="AF37" s="12" t="s">
        <v>512</v>
      </c>
      <c r="AG37" s="12" t="s">
        <v>513</v>
      </c>
    </row>
    <row r="38" customFormat="false" ht="43.5" hidden="false" customHeight="true" outlineLevel="0" collapsed="false">
      <c r="A38" s="12" t="n">
        <v>37</v>
      </c>
      <c r="B38" s="12" t="s">
        <v>514</v>
      </c>
      <c r="C38" s="12" t="s">
        <v>113</v>
      </c>
      <c r="D38" s="12" t="s">
        <v>83</v>
      </c>
      <c r="E38" s="12" t="s">
        <v>100</v>
      </c>
      <c r="F38" s="12" t="s">
        <v>101</v>
      </c>
      <c r="G38" s="12"/>
      <c r="H38" s="12"/>
      <c r="I38" s="12" t="n">
        <v>150</v>
      </c>
      <c r="J38" s="12" t="n">
        <v>77000</v>
      </c>
      <c r="K38" s="13" t="s">
        <v>515</v>
      </c>
      <c r="L38" s="12" t="s">
        <v>516</v>
      </c>
      <c r="M38" s="12" t="n">
        <v>75300</v>
      </c>
      <c r="N38" s="12" t="s">
        <v>517</v>
      </c>
      <c r="O38" s="13"/>
      <c r="P38" s="12" t="n">
        <v>77065.1</v>
      </c>
      <c r="Q38" s="12"/>
      <c r="R38" s="12"/>
      <c r="S38" s="12" t="s">
        <v>518</v>
      </c>
      <c r="T38" s="12"/>
      <c r="U38" s="12"/>
      <c r="V38" s="12" t="s">
        <v>514</v>
      </c>
      <c r="W38" s="12" t="s">
        <v>519</v>
      </c>
      <c r="X38" s="12" t="n">
        <v>40.8</v>
      </c>
      <c r="Y38" s="13" t="s">
        <v>520</v>
      </c>
      <c r="Z38" s="13" t="s">
        <v>521</v>
      </c>
      <c r="AA38" s="13"/>
      <c r="AB38" s="13" t="s">
        <v>522</v>
      </c>
      <c r="AC38" s="12"/>
      <c r="AD38" s="12" t="s">
        <v>108</v>
      </c>
      <c r="AE38" s="13" t="s">
        <v>523</v>
      </c>
      <c r="AF38" s="12" t="s">
        <v>524</v>
      </c>
      <c r="AG38" s="12" t="s">
        <v>525</v>
      </c>
    </row>
    <row r="39" customFormat="false" ht="43.5" hidden="false" customHeight="true" outlineLevel="0" collapsed="false">
      <c r="A39" s="12" t="n">
        <v>38</v>
      </c>
      <c r="B39" s="12" t="s">
        <v>526</v>
      </c>
      <c r="C39" s="12" t="s">
        <v>527</v>
      </c>
      <c r="D39" s="12" t="s">
        <v>83</v>
      </c>
      <c r="E39" s="12" t="s">
        <v>84</v>
      </c>
      <c r="F39" s="12" t="s">
        <v>85</v>
      </c>
      <c r="G39" s="12" t="n">
        <v>1</v>
      </c>
      <c r="H39" s="12" t="n">
        <v>542.25</v>
      </c>
      <c r="I39" s="12" t="n">
        <v>100</v>
      </c>
      <c r="J39" s="12" t="n">
        <v>0.284</v>
      </c>
      <c r="K39" s="13" t="s">
        <v>528</v>
      </c>
      <c r="L39" s="12" t="s">
        <v>529</v>
      </c>
      <c r="M39" s="12" t="n">
        <v>0.265</v>
      </c>
      <c r="N39" s="12" t="s">
        <v>530</v>
      </c>
      <c r="O39" s="13" t="s">
        <v>531</v>
      </c>
      <c r="P39" s="12" t="n">
        <v>0.284</v>
      </c>
      <c r="Q39" s="12"/>
      <c r="R39" s="12" t="s">
        <v>532</v>
      </c>
      <c r="S39" s="12"/>
      <c r="T39" s="12" t="s">
        <v>533</v>
      </c>
      <c r="U39" s="12"/>
      <c r="V39" s="12" t="s">
        <v>526</v>
      </c>
      <c r="W39" s="12" t="s">
        <v>534</v>
      </c>
      <c r="X39" s="12" t="n">
        <v>6.7</v>
      </c>
      <c r="Y39" s="13" t="s">
        <v>535</v>
      </c>
      <c r="Z39" s="13" t="s">
        <v>536</v>
      </c>
      <c r="AA39" s="13"/>
      <c r="AB39" s="13" t="s">
        <v>537</v>
      </c>
      <c r="AC39" s="12"/>
      <c r="AD39" s="12" t="s">
        <v>108</v>
      </c>
      <c r="AE39" s="13" t="s">
        <v>538</v>
      </c>
      <c r="AF39" s="12" t="s">
        <v>539</v>
      </c>
      <c r="AG39" s="12" t="s">
        <v>540</v>
      </c>
    </row>
    <row r="40" customFormat="false" ht="43.5" hidden="false" customHeight="true" outlineLevel="0" collapsed="false">
      <c r="A40" s="12" t="n">
        <v>39</v>
      </c>
      <c r="B40" s="12" t="s">
        <v>541</v>
      </c>
      <c r="C40" s="12" t="s">
        <v>542</v>
      </c>
      <c r="D40" s="12" t="s">
        <v>83</v>
      </c>
      <c r="E40" s="12" t="s">
        <v>100</v>
      </c>
      <c r="F40" s="12" t="s">
        <v>101</v>
      </c>
      <c r="G40" s="12"/>
      <c r="H40" s="12"/>
      <c r="I40" s="12"/>
      <c r="J40" s="12" t="n">
        <v>0.089</v>
      </c>
      <c r="K40" s="13" t="s">
        <v>543</v>
      </c>
      <c r="L40" s="12"/>
      <c r="M40" s="12" t="n">
        <v>0.0836</v>
      </c>
      <c r="N40" s="12" t="s">
        <v>544</v>
      </c>
      <c r="O40" s="13"/>
      <c r="P40" s="12"/>
      <c r="Q40" s="12"/>
      <c r="R40" s="12"/>
      <c r="S40" s="12"/>
      <c r="T40" s="12"/>
      <c r="U40" s="12"/>
      <c r="V40" s="12" t="s">
        <v>541</v>
      </c>
      <c r="W40" s="12"/>
      <c r="X40" s="12"/>
      <c r="Y40" s="13" t="s">
        <v>545</v>
      </c>
      <c r="Z40" s="13" t="s">
        <v>546</v>
      </c>
      <c r="AA40" s="13"/>
      <c r="AB40" s="13" t="s">
        <v>547</v>
      </c>
      <c r="AC40" s="12"/>
      <c r="AD40" s="12" t="s">
        <v>108</v>
      </c>
      <c r="AE40" s="13" t="s">
        <v>548</v>
      </c>
      <c r="AF40" s="12" t="s">
        <v>549</v>
      </c>
      <c r="AG40" s="12" t="s">
        <v>550</v>
      </c>
    </row>
    <row r="41" customFormat="false" ht="43.5" hidden="false" customHeight="true" outlineLevel="0" collapsed="false">
      <c r="A41" s="12" t="n">
        <v>40</v>
      </c>
      <c r="B41" s="12" t="s">
        <v>551</v>
      </c>
      <c r="C41" s="12" t="s">
        <v>552</v>
      </c>
      <c r="D41" s="12" t="s">
        <v>83</v>
      </c>
      <c r="E41" s="12" t="s">
        <v>100</v>
      </c>
      <c r="F41" s="12" t="s">
        <v>101</v>
      </c>
      <c r="G41" s="12"/>
      <c r="H41" s="12"/>
      <c r="I41" s="12"/>
      <c r="J41" s="12" t="n">
        <v>9.569</v>
      </c>
      <c r="K41" s="13" t="s">
        <v>553</v>
      </c>
      <c r="L41" s="12"/>
      <c r="M41" s="12" t="n">
        <v>9.13</v>
      </c>
      <c r="N41" s="12" t="s">
        <v>554</v>
      </c>
      <c r="O41" s="13"/>
      <c r="P41" s="12"/>
      <c r="Q41" s="12"/>
      <c r="R41" s="12"/>
      <c r="S41" s="12"/>
      <c r="T41" s="12"/>
      <c r="U41" s="12"/>
      <c r="V41" s="12" t="s">
        <v>551</v>
      </c>
      <c r="W41" s="12"/>
      <c r="X41" s="12"/>
      <c r="Y41" s="13" t="s">
        <v>555</v>
      </c>
      <c r="Z41" s="13" t="s">
        <v>556</v>
      </c>
      <c r="AA41" s="13"/>
      <c r="AB41" s="13" t="s">
        <v>557</v>
      </c>
      <c r="AC41" s="12"/>
      <c r="AD41" s="12" t="s">
        <v>108</v>
      </c>
      <c r="AE41" s="13" t="s">
        <v>558</v>
      </c>
      <c r="AF41" s="12" t="s">
        <v>559</v>
      </c>
      <c r="AG41" s="12" t="s">
        <v>560</v>
      </c>
    </row>
    <row r="42" customFormat="false" ht="43.5" hidden="false" customHeight="true" outlineLevel="0" collapsed="false">
      <c r="A42" s="12" t="n">
        <v>41</v>
      </c>
      <c r="B42" s="12" t="s">
        <v>561</v>
      </c>
      <c r="C42" s="12" t="s">
        <v>562</v>
      </c>
      <c r="D42" s="12" t="s">
        <v>259</v>
      </c>
      <c r="E42" s="12" t="s">
        <v>84</v>
      </c>
      <c r="F42" s="12" t="s">
        <v>128</v>
      </c>
      <c r="G42" s="12" t="n">
        <v>1</v>
      </c>
      <c r="H42" s="12" t="n">
        <v>921.08</v>
      </c>
      <c r="I42" s="12" t="n">
        <v>100</v>
      </c>
      <c r="J42" s="12" t="n">
        <v>1.286</v>
      </c>
      <c r="K42" s="13" t="s">
        <v>563</v>
      </c>
      <c r="L42" s="12"/>
      <c r="M42" s="12" t="n">
        <v>1.39</v>
      </c>
      <c r="N42" s="12" t="s">
        <v>564</v>
      </c>
      <c r="O42" s="13" t="s">
        <v>565</v>
      </c>
      <c r="P42" s="12" t="n">
        <v>1.2875</v>
      </c>
      <c r="Q42" s="12"/>
      <c r="R42" s="12" t="s">
        <v>566</v>
      </c>
      <c r="S42" s="12"/>
      <c r="T42" s="12" t="s">
        <v>567</v>
      </c>
      <c r="U42" s="12"/>
      <c r="V42" s="12" t="s">
        <v>561</v>
      </c>
      <c r="W42" s="12" t="s">
        <v>568</v>
      </c>
      <c r="X42" s="12" t="n">
        <v>3.3</v>
      </c>
      <c r="Y42" s="13" t="s">
        <v>569</v>
      </c>
      <c r="Z42" s="13" t="s">
        <v>570</v>
      </c>
      <c r="AA42" s="13"/>
      <c r="AB42" s="13"/>
      <c r="AC42" s="12"/>
      <c r="AD42" s="12" t="s">
        <v>94</v>
      </c>
      <c r="AE42" s="13" t="s">
        <v>571</v>
      </c>
      <c r="AF42" s="12" t="s">
        <v>572</v>
      </c>
      <c r="AG42" s="12" t="s">
        <v>573</v>
      </c>
    </row>
    <row r="43" customFormat="false" ht="43.5" hidden="false" customHeight="true" outlineLevel="0" collapsed="false">
      <c r="A43" s="12" t="n">
        <v>42</v>
      </c>
      <c r="B43" s="12" t="s">
        <v>574</v>
      </c>
      <c r="C43" s="12" t="s">
        <v>575</v>
      </c>
      <c r="D43" s="12" t="s">
        <v>259</v>
      </c>
      <c r="E43" s="12" t="s">
        <v>84</v>
      </c>
      <c r="F43" s="12" t="s">
        <v>170</v>
      </c>
      <c r="G43" s="12"/>
      <c r="H43" s="12"/>
      <c r="I43" s="12" t="n">
        <v>50</v>
      </c>
      <c r="J43" s="12" t="n">
        <v>0.004</v>
      </c>
      <c r="K43" s="13" t="s">
        <v>388</v>
      </c>
      <c r="L43" s="12"/>
      <c r="M43" s="12" t="n">
        <v>0.00426</v>
      </c>
      <c r="N43" s="12" t="s">
        <v>576</v>
      </c>
      <c r="O43" s="13" t="s">
        <v>577</v>
      </c>
      <c r="P43" s="12" t="n">
        <v>0.004</v>
      </c>
      <c r="Q43" s="12"/>
      <c r="R43" s="12" t="s">
        <v>578</v>
      </c>
      <c r="S43" s="12" t="s">
        <v>579</v>
      </c>
      <c r="T43" s="12" t="s">
        <v>580</v>
      </c>
      <c r="U43" s="12"/>
      <c r="V43" s="12" t="s">
        <v>574</v>
      </c>
      <c r="W43" s="12"/>
      <c r="X43" s="12"/>
      <c r="Y43" s="13" t="s">
        <v>581</v>
      </c>
      <c r="Z43" s="13" t="s">
        <v>582</v>
      </c>
      <c r="AA43" s="13"/>
      <c r="AB43" s="13" t="s">
        <v>583</v>
      </c>
      <c r="AC43" s="12"/>
      <c r="AD43" s="12" t="s">
        <v>312</v>
      </c>
      <c r="AE43" s="13" t="s">
        <v>584</v>
      </c>
      <c r="AF43" s="12" t="s">
        <v>585</v>
      </c>
      <c r="AG43" s="12" t="s">
        <v>586</v>
      </c>
    </row>
    <row r="44" customFormat="false" ht="43.5" hidden="false" customHeight="true" outlineLevel="0" collapsed="false">
      <c r="A44" s="12" t="n">
        <v>43</v>
      </c>
      <c r="B44" s="12" t="s">
        <v>587</v>
      </c>
      <c r="C44" s="12" t="s">
        <v>588</v>
      </c>
      <c r="D44" s="12" t="s">
        <v>259</v>
      </c>
      <c r="E44" s="12" t="s">
        <v>143</v>
      </c>
      <c r="F44" s="12" t="s">
        <v>143</v>
      </c>
      <c r="G44" s="12"/>
      <c r="H44" s="12"/>
      <c r="I44" s="12"/>
      <c r="J44" s="12"/>
      <c r="K44" s="13"/>
      <c r="L44" s="12"/>
      <c r="M44" s="12"/>
      <c r="N44" s="12"/>
      <c r="O44" s="13"/>
      <c r="P44" s="12"/>
      <c r="Q44" s="12"/>
      <c r="R44" s="12"/>
      <c r="S44" s="12"/>
      <c r="T44" s="12"/>
      <c r="U44" s="12"/>
      <c r="V44" s="12"/>
      <c r="W44" s="12"/>
      <c r="X44" s="12"/>
      <c r="Y44" s="13" t="s">
        <v>589</v>
      </c>
      <c r="Z44" s="13" t="s">
        <v>590</v>
      </c>
      <c r="AA44" s="13"/>
      <c r="AB44" s="13" t="s">
        <v>591</v>
      </c>
      <c r="AC44" s="12"/>
      <c r="AD44" s="12" t="s">
        <v>108</v>
      </c>
      <c r="AE44" s="13" t="s">
        <v>592</v>
      </c>
      <c r="AF44" s="12" t="s">
        <v>593</v>
      </c>
      <c r="AG44" s="12" t="s">
        <v>594</v>
      </c>
    </row>
    <row r="45" customFormat="false" ht="43.5" hidden="false" customHeight="true" outlineLevel="0" collapsed="false">
      <c r="A45" s="12" t="n">
        <v>44</v>
      </c>
      <c r="B45" s="12" t="s">
        <v>595</v>
      </c>
      <c r="C45" s="12" t="s">
        <v>596</v>
      </c>
      <c r="D45" s="12" t="s">
        <v>83</v>
      </c>
      <c r="E45" s="12" t="s">
        <v>84</v>
      </c>
      <c r="F45" s="12" t="s">
        <v>151</v>
      </c>
      <c r="G45" s="12" t="n">
        <v>1.2</v>
      </c>
      <c r="H45" s="12" t="n">
        <v>204.57</v>
      </c>
      <c r="I45" s="12" t="n">
        <v>100</v>
      </c>
      <c r="J45" s="12" t="n">
        <v>54.8</v>
      </c>
      <c r="K45" s="13" t="s">
        <v>597</v>
      </c>
      <c r="L45" s="12"/>
      <c r="M45" s="12" t="n">
        <v>53.9</v>
      </c>
      <c r="N45" s="12" t="s">
        <v>598</v>
      </c>
      <c r="O45" s="13" t="s">
        <v>599</v>
      </c>
      <c r="P45" s="12" t="n">
        <v>54.991</v>
      </c>
      <c r="Q45" s="12"/>
      <c r="R45" s="12"/>
      <c r="S45" s="12" t="s">
        <v>600</v>
      </c>
      <c r="T45" s="12"/>
      <c r="U45" s="12"/>
      <c r="V45" s="12" t="s">
        <v>595</v>
      </c>
      <c r="W45" s="12" t="s">
        <v>601</v>
      </c>
      <c r="X45" s="12" t="n">
        <v>1.1</v>
      </c>
      <c r="Y45" s="13" t="s">
        <v>602</v>
      </c>
      <c r="Z45" s="13" t="s">
        <v>603</v>
      </c>
      <c r="AA45" s="13" t="s">
        <v>191</v>
      </c>
      <c r="AB45" s="13"/>
      <c r="AC45" s="12"/>
      <c r="AD45" s="12" t="s">
        <v>94</v>
      </c>
      <c r="AE45" s="13" t="s">
        <v>604</v>
      </c>
      <c r="AF45" s="12" t="s">
        <v>605</v>
      </c>
      <c r="AG45" s="12" t="s">
        <v>606</v>
      </c>
    </row>
    <row r="46" customFormat="false" ht="43.5" hidden="false" customHeight="true" outlineLevel="0" collapsed="false">
      <c r="A46" s="12" t="n">
        <v>45</v>
      </c>
      <c r="B46" s="12" t="s">
        <v>607</v>
      </c>
      <c r="C46" s="12" t="s">
        <v>491</v>
      </c>
      <c r="D46" s="12" t="s">
        <v>83</v>
      </c>
      <c r="E46" s="12" t="s">
        <v>84</v>
      </c>
      <c r="F46" s="12" t="s">
        <v>85</v>
      </c>
      <c r="G46" s="12" t="n">
        <v>2</v>
      </c>
      <c r="H46" s="12" t="n">
        <v>874.77</v>
      </c>
      <c r="I46" s="12" t="n">
        <v>100</v>
      </c>
      <c r="J46" s="12" t="n">
        <v>1</v>
      </c>
      <c r="K46" s="13" t="s">
        <v>608</v>
      </c>
      <c r="L46" s="12"/>
      <c r="M46" s="12" t="n">
        <v>0.95</v>
      </c>
      <c r="N46" s="12" t="s">
        <v>609</v>
      </c>
      <c r="O46" s="13" t="s">
        <v>610</v>
      </c>
      <c r="P46" s="12" t="n">
        <v>1.0014</v>
      </c>
      <c r="Q46" s="12"/>
      <c r="R46" s="12"/>
      <c r="S46" s="12" t="s">
        <v>611</v>
      </c>
      <c r="T46" s="12" t="s">
        <v>612</v>
      </c>
      <c r="U46" s="12" t="n">
        <v>1.089</v>
      </c>
      <c r="V46" s="12" t="s">
        <v>607</v>
      </c>
      <c r="W46" s="12" t="s">
        <v>613</v>
      </c>
      <c r="X46" s="12" t="n">
        <v>12.9</v>
      </c>
      <c r="Y46" s="13" t="s">
        <v>614</v>
      </c>
      <c r="Z46" s="13" t="s">
        <v>615</v>
      </c>
      <c r="AA46" s="13"/>
      <c r="AB46" s="13" t="s">
        <v>616</v>
      </c>
      <c r="AC46" s="12"/>
      <c r="AD46" s="12" t="s">
        <v>94</v>
      </c>
      <c r="AE46" s="13" t="s">
        <v>617</v>
      </c>
      <c r="AF46" s="12" t="s">
        <v>618</v>
      </c>
      <c r="AG46" s="12" t="s">
        <v>619</v>
      </c>
    </row>
    <row r="47" customFormat="false" ht="43.5" hidden="false" customHeight="true" outlineLevel="0" collapsed="false">
      <c r="A47" s="12" t="n">
        <v>46</v>
      </c>
      <c r="B47" s="12" t="s">
        <v>620</v>
      </c>
      <c r="C47" s="12" t="s">
        <v>113</v>
      </c>
      <c r="D47" s="12" t="s">
        <v>83</v>
      </c>
      <c r="E47" s="12" t="s">
        <v>84</v>
      </c>
      <c r="F47" s="12" t="s">
        <v>151</v>
      </c>
      <c r="G47" s="12"/>
      <c r="H47" s="12" t="n">
        <v>281.65</v>
      </c>
      <c r="I47" s="12" t="n">
        <v>150</v>
      </c>
      <c r="J47" s="12" t="n">
        <v>75100</v>
      </c>
      <c r="K47" s="13" t="s">
        <v>621</v>
      </c>
      <c r="L47" s="12" t="s">
        <v>622</v>
      </c>
      <c r="M47" s="12" t="n">
        <v>72200</v>
      </c>
      <c r="N47" s="12" t="s">
        <v>623</v>
      </c>
      <c r="O47" s="13" t="s">
        <v>624</v>
      </c>
      <c r="P47" s="12" t="n">
        <v>75197.2</v>
      </c>
      <c r="Q47" s="12"/>
      <c r="R47" s="12" t="s">
        <v>625</v>
      </c>
      <c r="S47" s="12"/>
      <c r="T47" s="12" t="s">
        <v>626</v>
      </c>
      <c r="U47" s="12" t="n">
        <v>76609.2</v>
      </c>
      <c r="V47" s="12" t="s">
        <v>620</v>
      </c>
      <c r="W47" s="12" t="s">
        <v>627</v>
      </c>
      <c r="X47" s="12" t="n">
        <v>9.3</v>
      </c>
      <c r="Y47" s="13" t="s">
        <v>628</v>
      </c>
      <c r="Z47" s="13" t="s">
        <v>629</v>
      </c>
      <c r="AA47" s="13"/>
      <c r="AB47" s="13" t="s">
        <v>630</v>
      </c>
      <c r="AC47" s="12"/>
      <c r="AD47" s="12" t="s">
        <v>94</v>
      </c>
      <c r="AE47" s="13" t="s">
        <v>631</v>
      </c>
      <c r="AF47" s="12" t="s">
        <v>632</v>
      </c>
      <c r="AG47" s="12" t="s">
        <v>633</v>
      </c>
    </row>
    <row r="48" customFormat="false" ht="43.5" hidden="false" customHeight="true" outlineLevel="0" collapsed="false">
      <c r="A48" s="12" t="n">
        <v>47</v>
      </c>
      <c r="B48" s="12" t="s">
        <v>634</v>
      </c>
      <c r="C48" s="12" t="s">
        <v>635</v>
      </c>
      <c r="D48" s="12" t="s">
        <v>83</v>
      </c>
      <c r="E48" s="12" t="s">
        <v>84</v>
      </c>
      <c r="F48" s="12" t="s">
        <v>85</v>
      </c>
      <c r="G48" s="12"/>
      <c r="H48" s="12" t="n">
        <v>14.13</v>
      </c>
      <c r="I48" s="12" t="n">
        <v>3</v>
      </c>
      <c r="J48" s="12" t="n">
        <v>0.955</v>
      </c>
      <c r="K48" s="13" t="s">
        <v>636</v>
      </c>
      <c r="L48" s="12"/>
      <c r="M48" s="12" t="n">
        <v>0.892</v>
      </c>
      <c r="N48" s="12" t="s">
        <v>637</v>
      </c>
      <c r="O48" s="13"/>
      <c r="P48" s="12" t="n">
        <v>0.955</v>
      </c>
      <c r="Q48" s="12"/>
      <c r="R48" s="12"/>
      <c r="S48" s="12"/>
      <c r="T48" s="12"/>
      <c r="U48" s="12" t="n">
        <v>1</v>
      </c>
      <c r="V48" s="12" t="s">
        <v>634</v>
      </c>
      <c r="W48" s="12" t="s">
        <v>638</v>
      </c>
      <c r="X48" s="12" t="n">
        <v>5.5</v>
      </c>
      <c r="Y48" s="13" t="s">
        <v>639</v>
      </c>
      <c r="Z48" s="13" t="s">
        <v>640</v>
      </c>
      <c r="AA48" s="13"/>
      <c r="AB48" s="13" t="s">
        <v>302</v>
      </c>
      <c r="AC48" s="12"/>
      <c r="AD48" s="12" t="s">
        <v>94</v>
      </c>
      <c r="AE48" s="13" t="s">
        <v>641</v>
      </c>
      <c r="AF48" s="12" t="s">
        <v>642</v>
      </c>
      <c r="AG48" s="12" t="s">
        <v>643</v>
      </c>
    </row>
    <row r="49" customFormat="false" ht="43.5" hidden="false" customHeight="true" outlineLevel="0" collapsed="false">
      <c r="A49" s="12" t="n">
        <v>48</v>
      </c>
      <c r="B49" s="12" t="s">
        <v>644</v>
      </c>
      <c r="C49" s="12" t="s">
        <v>113</v>
      </c>
      <c r="D49" s="12" t="s">
        <v>83</v>
      </c>
      <c r="E49" s="12" t="s">
        <v>84</v>
      </c>
      <c r="F49" s="12" t="s">
        <v>85</v>
      </c>
      <c r="G49" s="12"/>
      <c r="H49" s="12" t="n">
        <v>225.07</v>
      </c>
      <c r="I49" s="12" t="n">
        <v>150</v>
      </c>
      <c r="J49" s="12" t="n">
        <v>76750</v>
      </c>
      <c r="K49" s="13" t="s">
        <v>645</v>
      </c>
      <c r="L49" s="12" t="s">
        <v>646</v>
      </c>
      <c r="M49" s="12" t="n">
        <v>74000</v>
      </c>
      <c r="N49" s="12" t="s">
        <v>517</v>
      </c>
      <c r="O49" s="13" t="s">
        <v>647</v>
      </c>
      <c r="P49" s="12" t="n">
        <v>76754.6</v>
      </c>
      <c r="Q49" s="12"/>
      <c r="R49" s="12"/>
      <c r="S49" s="12"/>
      <c r="T49" s="12"/>
      <c r="U49" s="12" t="n">
        <v>77906.3</v>
      </c>
      <c r="V49" s="12" t="s">
        <v>644</v>
      </c>
      <c r="W49" s="12" t="s">
        <v>648</v>
      </c>
      <c r="X49" s="12" t="n">
        <v>57.5</v>
      </c>
      <c r="Y49" s="13" t="s">
        <v>649</v>
      </c>
      <c r="Z49" s="13" t="s">
        <v>650</v>
      </c>
      <c r="AA49" s="13" t="s">
        <v>651</v>
      </c>
      <c r="AB49" s="13" t="s">
        <v>652</v>
      </c>
      <c r="AC49" s="12"/>
      <c r="AD49" s="12" t="s">
        <v>94</v>
      </c>
      <c r="AE49" s="13" t="s">
        <v>653</v>
      </c>
      <c r="AF49" s="12" t="s">
        <v>654</v>
      </c>
      <c r="AG49" s="12" t="s">
        <v>655</v>
      </c>
    </row>
    <row r="50" customFormat="false" ht="43.5" hidden="false" customHeight="true" outlineLevel="0" collapsed="false">
      <c r="A50" s="12" t="n">
        <v>49</v>
      </c>
      <c r="B50" s="12" t="s">
        <v>656</v>
      </c>
      <c r="C50" s="12" t="s">
        <v>527</v>
      </c>
      <c r="D50" s="12" t="s">
        <v>83</v>
      </c>
      <c r="E50" s="12" t="s">
        <v>84</v>
      </c>
      <c r="F50" s="12" t="s">
        <v>85</v>
      </c>
      <c r="G50" s="12" t="n">
        <v>1</v>
      </c>
      <c r="H50" s="12" t="n">
        <v>416.8</v>
      </c>
      <c r="I50" s="12" t="n">
        <v>75</v>
      </c>
      <c r="J50" s="12"/>
      <c r="K50" s="13" t="s">
        <v>657</v>
      </c>
      <c r="L50" s="12"/>
      <c r="M50" s="12" t="n">
        <v>0.28</v>
      </c>
      <c r="N50" s="12"/>
      <c r="O50" s="13" t="s">
        <v>658</v>
      </c>
      <c r="P50" s="12" t="n">
        <v>0.3023</v>
      </c>
      <c r="Q50" s="12"/>
      <c r="R50" s="12"/>
      <c r="S50" s="12" t="s">
        <v>659</v>
      </c>
      <c r="T50" s="12" t="s">
        <v>660</v>
      </c>
      <c r="U50" s="12" t="n">
        <v>0.32</v>
      </c>
      <c r="V50" s="12" t="s">
        <v>661</v>
      </c>
      <c r="W50" s="12" t="s">
        <v>662</v>
      </c>
      <c r="X50" s="12" t="n">
        <v>7.7</v>
      </c>
      <c r="Y50" s="13" t="s">
        <v>663</v>
      </c>
      <c r="Z50" s="13" t="s">
        <v>664</v>
      </c>
      <c r="AA50" s="13"/>
      <c r="AB50" s="13"/>
      <c r="AC50" s="12"/>
      <c r="AD50" s="12" t="s">
        <v>94</v>
      </c>
      <c r="AE50" s="13" t="s">
        <v>665</v>
      </c>
      <c r="AF50" s="12" t="s">
        <v>666</v>
      </c>
      <c r="AG50" s="12" t="s">
        <v>667</v>
      </c>
    </row>
    <row r="51" customFormat="false" ht="43.5" hidden="false" customHeight="true" outlineLevel="0" collapsed="false">
      <c r="A51" s="12" t="n">
        <v>50</v>
      </c>
      <c r="B51" s="12" t="s">
        <v>668</v>
      </c>
      <c r="C51" s="12" t="s">
        <v>669</v>
      </c>
      <c r="D51" s="12" t="s">
        <v>83</v>
      </c>
      <c r="E51" s="12" t="s">
        <v>100</v>
      </c>
      <c r="F51" s="12" t="s">
        <v>101</v>
      </c>
      <c r="G51" s="12"/>
      <c r="H51" s="12"/>
      <c r="I51" s="12" t="n">
        <v>100</v>
      </c>
      <c r="J51" s="12" t="n">
        <v>287</v>
      </c>
      <c r="K51" s="13" t="s">
        <v>670</v>
      </c>
      <c r="L51" s="12"/>
      <c r="M51" s="12" t="n">
        <v>268</v>
      </c>
      <c r="N51" s="12" t="s">
        <v>671</v>
      </c>
      <c r="O51" s="13" t="s">
        <v>672</v>
      </c>
      <c r="P51" s="12" t="n">
        <v>276.63</v>
      </c>
      <c r="Q51" s="12" t="s">
        <v>673</v>
      </c>
      <c r="R51" s="12" t="s">
        <v>674</v>
      </c>
      <c r="S51" s="12" t="s">
        <v>675</v>
      </c>
      <c r="T51" s="12" t="s">
        <v>676</v>
      </c>
      <c r="U51" s="12"/>
      <c r="V51" s="12" t="s">
        <v>668</v>
      </c>
      <c r="W51" s="12" t="s">
        <v>677</v>
      </c>
      <c r="X51" s="12" t="n">
        <v>47</v>
      </c>
      <c r="Y51" s="13" t="s">
        <v>678</v>
      </c>
      <c r="Z51" s="13" t="s">
        <v>679</v>
      </c>
      <c r="AA51" s="13"/>
      <c r="AB51" s="13" t="s">
        <v>680</v>
      </c>
      <c r="AC51" s="12"/>
      <c r="AD51" s="12" t="s">
        <v>94</v>
      </c>
      <c r="AE51" s="13" t="s">
        <v>681</v>
      </c>
      <c r="AF51" s="12" t="s">
        <v>682</v>
      </c>
      <c r="AG51" s="12" t="s">
        <v>683</v>
      </c>
    </row>
    <row r="52" customFormat="false" ht="43.5" hidden="false" customHeight="true" outlineLevel="0" collapsed="false">
      <c r="A52" s="12" t="n">
        <v>51</v>
      </c>
      <c r="B52" s="12" t="s">
        <v>684</v>
      </c>
      <c r="C52" s="12" t="s">
        <v>685</v>
      </c>
      <c r="D52" s="12" t="s">
        <v>83</v>
      </c>
      <c r="E52" s="12" t="s">
        <v>100</v>
      </c>
      <c r="F52" s="12" t="s">
        <v>101</v>
      </c>
      <c r="G52" s="12"/>
      <c r="H52" s="12"/>
      <c r="I52" s="12" t="n">
        <v>90</v>
      </c>
      <c r="J52" s="12" t="n">
        <v>2.33</v>
      </c>
      <c r="K52" s="13" t="s">
        <v>686</v>
      </c>
      <c r="L52" s="12"/>
      <c r="M52" s="12" t="n">
        <v>2.13</v>
      </c>
      <c r="N52" s="12"/>
      <c r="O52" s="13" t="s">
        <v>687</v>
      </c>
      <c r="P52" s="12" t="n">
        <v>2.333</v>
      </c>
      <c r="Q52" s="12"/>
      <c r="R52" s="12"/>
      <c r="S52" s="12"/>
      <c r="T52" s="12" t="s">
        <v>688</v>
      </c>
      <c r="U52" s="12"/>
      <c r="V52" s="12" t="s">
        <v>684</v>
      </c>
      <c r="W52" s="12" t="s">
        <v>689</v>
      </c>
      <c r="X52" s="12" t="n">
        <v>4.6</v>
      </c>
      <c r="Y52" s="13" t="s">
        <v>690</v>
      </c>
      <c r="Z52" s="13" t="s">
        <v>691</v>
      </c>
      <c r="AA52" s="13" t="s">
        <v>692</v>
      </c>
      <c r="AB52" s="13" t="s">
        <v>693</v>
      </c>
      <c r="AC52" s="12"/>
      <c r="AD52" s="12" t="s">
        <v>108</v>
      </c>
      <c r="AE52" s="13" t="s">
        <v>694</v>
      </c>
      <c r="AF52" s="12" t="s">
        <v>695</v>
      </c>
      <c r="AG52" s="12" t="s">
        <v>696</v>
      </c>
    </row>
    <row r="53" customFormat="false" ht="43.5" hidden="false" customHeight="true" outlineLevel="0" collapsed="false">
      <c r="A53" s="12" t="n">
        <v>52</v>
      </c>
      <c r="B53" s="12" t="s">
        <v>697</v>
      </c>
      <c r="C53" s="12" t="s">
        <v>113</v>
      </c>
      <c r="D53" s="12" t="s">
        <v>83</v>
      </c>
      <c r="E53" s="12" t="s">
        <v>100</v>
      </c>
      <c r="F53" s="12" t="s">
        <v>101</v>
      </c>
      <c r="G53" s="12"/>
      <c r="H53" s="12"/>
      <c r="I53" s="12"/>
      <c r="J53" s="12" t="n">
        <v>75900</v>
      </c>
      <c r="K53" s="13" t="s">
        <v>698</v>
      </c>
      <c r="L53" s="12" t="s">
        <v>699</v>
      </c>
      <c r="M53" s="12" t="n">
        <v>73500</v>
      </c>
      <c r="N53" s="12" t="s">
        <v>700</v>
      </c>
      <c r="O53" s="13" t="s">
        <v>701</v>
      </c>
      <c r="P53" s="12"/>
      <c r="Q53" s="12"/>
      <c r="R53" s="12"/>
      <c r="S53" s="12"/>
      <c r="T53" s="12"/>
      <c r="U53" s="12"/>
      <c r="V53" s="12" t="s">
        <v>697</v>
      </c>
      <c r="W53" s="12" t="s">
        <v>677</v>
      </c>
      <c r="X53" s="12" t="n">
        <v>28.4</v>
      </c>
      <c r="Y53" s="13" t="s">
        <v>702</v>
      </c>
      <c r="Z53" s="13" t="s">
        <v>703</v>
      </c>
      <c r="AA53" s="13"/>
      <c r="AB53" s="13" t="s">
        <v>704</v>
      </c>
      <c r="AC53" s="12"/>
      <c r="AD53" s="12" t="s">
        <v>108</v>
      </c>
      <c r="AE53" s="13" t="s">
        <v>705</v>
      </c>
      <c r="AF53" s="12" t="s">
        <v>706</v>
      </c>
      <c r="AG53" s="12" t="s">
        <v>707</v>
      </c>
    </row>
    <row r="54" customFormat="false" ht="43.5" hidden="false" customHeight="true" outlineLevel="0" collapsed="false">
      <c r="A54" s="12" t="n">
        <v>53</v>
      </c>
      <c r="B54" s="12" t="s">
        <v>708</v>
      </c>
      <c r="C54" s="12" t="s">
        <v>113</v>
      </c>
      <c r="D54" s="12" t="s">
        <v>83</v>
      </c>
      <c r="E54" s="12" t="s">
        <v>100</v>
      </c>
      <c r="F54" s="12" t="s">
        <v>101</v>
      </c>
      <c r="G54" s="12"/>
      <c r="H54" s="12"/>
      <c r="I54" s="12" t="n">
        <v>150</v>
      </c>
      <c r="J54" s="12" t="n">
        <v>73000</v>
      </c>
      <c r="K54" s="13" t="s">
        <v>709</v>
      </c>
      <c r="L54" s="12"/>
      <c r="M54" s="12" t="n">
        <v>72000</v>
      </c>
      <c r="N54" s="12" t="s">
        <v>710</v>
      </c>
      <c r="O54" s="13" t="s">
        <v>711</v>
      </c>
      <c r="P54" s="12" t="n">
        <v>73141.2</v>
      </c>
      <c r="Q54" s="12"/>
      <c r="R54" s="12"/>
      <c r="S54" s="12" t="s">
        <v>712</v>
      </c>
      <c r="T54" s="12" t="s">
        <v>713</v>
      </c>
      <c r="U54" s="12"/>
      <c r="V54" s="12" t="s">
        <v>708</v>
      </c>
      <c r="W54" s="12" t="s">
        <v>714</v>
      </c>
      <c r="X54" s="12" t="n">
        <v>105.2</v>
      </c>
      <c r="Y54" s="13" t="s">
        <v>715</v>
      </c>
      <c r="Z54" s="13" t="s">
        <v>716</v>
      </c>
      <c r="AA54" s="13"/>
      <c r="AB54" s="13" t="s">
        <v>717</v>
      </c>
      <c r="AC54" s="12"/>
      <c r="AD54" s="12" t="s">
        <v>108</v>
      </c>
      <c r="AE54" s="13" t="s">
        <v>718</v>
      </c>
      <c r="AF54" s="12" t="s">
        <v>719</v>
      </c>
      <c r="AG54" s="12" t="s">
        <v>720</v>
      </c>
    </row>
    <row r="55" customFormat="false" ht="43.5" hidden="false" customHeight="true" outlineLevel="0" collapsed="false">
      <c r="A55" s="12" t="n">
        <v>54</v>
      </c>
      <c r="B55" s="12" t="s">
        <v>721</v>
      </c>
      <c r="C55" s="12" t="s">
        <v>142</v>
      </c>
      <c r="D55" s="12"/>
      <c r="E55" s="12" t="s">
        <v>84</v>
      </c>
      <c r="F55" s="12" t="s">
        <v>170</v>
      </c>
      <c r="G55" s="12" t="n">
        <v>3</v>
      </c>
      <c r="H55" s="12"/>
      <c r="I55" s="12"/>
      <c r="J55" s="12"/>
      <c r="K55" s="13"/>
      <c r="L55" s="12"/>
      <c r="M55" s="12"/>
      <c r="N55" s="12"/>
      <c r="O55" s="13"/>
      <c r="P55" s="12"/>
      <c r="Q55" s="12"/>
      <c r="R55" s="12"/>
      <c r="S55" s="12"/>
      <c r="T55" s="12"/>
      <c r="U55" s="12"/>
      <c r="V55" s="12"/>
      <c r="W55" s="12" t="s">
        <v>721</v>
      </c>
      <c r="X55" s="12"/>
      <c r="Y55" s="13" t="s">
        <v>722</v>
      </c>
      <c r="Z55" s="13" t="s">
        <v>723</v>
      </c>
      <c r="AA55" s="13"/>
      <c r="AB55" s="13"/>
      <c r="AC55" s="12"/>
      <c r="AD55" s="12" t="s">
        <v>108</v>
      </c>
      <c r="AE55" s="13" t="s">
        <v>724</v>
      </c>
      <c r="AF55" s="12" t="s">
        <v>725</v>
      </c>
      <c r="AG55" s="12" t="s">
        <v>726</v>
      </c>
    </row>
    <row r="56" customFormat="false" ht="43.5" hidden="false" customHeight="true" outlineLevel="0" collapsed="false">
      <c r="A56" s="12" t="n">
        <v>55</v>
      </c>
      <c r="B56" s="12" t="s">
        <v>727</v>
      </c>
      <c r="C56" s="12" t="s">
        <v>99</v>
      </c>
      <c r="D56" s="12" t="s">
        <v>83</v>
      </c>
      <c r="E56" s="12" t="s">
        <v>84</v>
      </c>
      <c r="F56" s="12" t="s">
        <v>170</v>
      </c>
      <c r="G56" s="12"/>
      <c r="H56" s="12" t="n">
        <v>132.39</v>
      </c>
      <c r="I56" s="12" t="n">
        <v>100</v>
      </c>
      <c r="J56" s="12"/>
      <c r="K56" s="13" t="s">
        <v>728</v>
      </c>
      <c r="L56" s="12"/>
      <c r="M56" s="12" t="n">
        <v>1950</v>
      </c>
      <c r="N56" s="12" t="s">
        <v>729</v>
      </c>
      <c r="O56" s="13" t="s">
        <v>730</v>
      </c>
      <c r="P56" s="12" t="n">
        <v>1988.23</v>
      </c>
      <c r="Q56" s="12"/>
      <c r="R56" s="12" t="s">
        <v>731</v>
      </c>
      <c r="S56" s="12" t="s">
        <v>732</v>
      </c>
      <c r="T56" s="12" t="s">
        <v>733</v>
      </c>
      <c r="U56" s="12"/>
      <c r="V56" s="12" t="s">
        <v>734</v>
      </c>
      <c r="W56" s="12"/>
      <c r="X56" s="12"/>
      <c r="Y56" s="13" t="s">
        <v>735</v>
      </c>
      <c r="Z56" s="13" t="s">
        <v>736</v>
      </c>
      <c r="AA56" s="13"/>
      <c r="AB56" s="13" t="s">
        <v>737</v>
      </c>
      <c r="AC56" s="12"/>
      <c r="AD56" s="12" t="s">
        <v>108</v>
      </c>
      <c r="AE56" s="13" t="s">
        <v>738</v>
      </c>
      <c r="AF56" s="12" t="s">
        <v>739</v>
      </c>
      <c r="AG56" s="12" t="s">
        <v>740</v>
      </c>
    </row>
    <row r="57" customFormat="false" ht="43.5" hidden="false" customHeight="true" outlineLevel="0" collapsed="false">
      <c r="A57" s="12" t="n">
        <v>56</v>
      </c>
      <c r="B57" s="12" t="s">
        <v>741</v>
      </c>
      <c r="C57" s="12" t="s">
        <v>742</v>
      </c>
      <c r="D57" s="12" t="s">
        <v>83</v>
      </c>
      <c r="E57" s="12" t="s">
        <v>84</v>
      </c>
      <c r="F57" s="12" t="s">
        <v>85</v>
      </c>
      <c r="G57" s="12"/>
      <c r="H57" s="12" t="n">
        <v>134.44</v>
      </c>
      <c r="I57" s="12" t="n">
        <v>75</v>
      </c>
      <c r="J57" s="12" t="n">
        <v>0.234</v>
      </c>
      <c r="K57" s="13" t="s">
        <v>743</v>
      </c>
      <c r="L57" s="12"/>
      <c r="M57" s="12" t="n">
        <v>0.226</v>
      </c>
      <c r="N57" s="12" t="s">
        <v>744</v>
      </c>
      <c r="O57" s="13" t="s">
        <v>745</v>
      </c>
      <c r="P57" s="12" t="n">
        <v>0.2343</v>
      </c>
      <c r="Q57" s="12"/>
      <c r="R57" s="12"/>
      <c r="S57" s="12" t="s">
        <v>746</v>
      </c>
      <c r="T57" s="12"/>
      <c r="U57" s="12" t="n">
        <v>0.2385</v>
      </c>
      <c r="V57" s="12" t="s">
        <v>741</v>
      </c>
      <c r="W57" s="12" t="s">
        <v>747</v>
      </c>
      <c r="X57" s="12" t="n">
        <v>36.2</v>
      </c>
      <c r="Y57" s="13" t="s">
        <v>748</v>
      </c>
      <c r="Z57" s="13" t="s">
        <v>749</v>
      </c>
      <c r="AA57" s="13"/>
      <c r="AB57" s="13"/>
      <c r="AC57" s="12"/>
      <c r="AD57" s="12" t="s">
        <v>94</v>
      </c>
      <c r="AE57" s="13" t="s">
        <v>750</v>
      </c>
      <c r="AF57" s="12" t="s">
        <v>751</v>
      </c>
      <c r="AG57" s="12" t="s">
        <v>752</v>
      </c>
    </row>
    <row r="58" customFormat="false" ht="43.5" hidden="false" customHeight="true" outlineLevel="0" collapsed="false">
      <c r="A58" s="12" t="n">
        <v>57</v>
      </c>
      <c r="B58" s="12" t="s">
        <v>753</v>
      </c>
      <c r="C58" s="12" t="s">
        <v>754</v>
      </c>
      <c r="D58" s="12" t="s">
        <v>83</v>
      </c>
      <c r="E58" s="12" t="s">
        <v>143</v>
      </c>
      <c r="F58" s="12" t="s">
        <v>143</v>
      </c>
      <c r="G58" s="12"/>
      <c r="H58" s="12"/>
      <c r="I58" s="12"/>
      <c r="J58" s="12" t="n">
        <v>2.56</v>
      </c>
      <c r="K58" s="13" t="s">
        <v>755</v>
      </c>
      <c r="L58" s="12"/>
      <c r="M58" s="12" t="n">
        <v>2.392</v>
      </c>
      <c r="N58" s="12"/>
      <c r="O58" s="13"/>
      <c r="P58" s="12"/>
      <c r="Q58" s="12"/>
      <c r="R58" s="12"/>
      <c r="S58" s="12"/>
      <c r="T58" s="12"/>
      <c r="U58" s="12"/>
      <c r="V58" s="12"/>
      <c r="W58" s="12"/>
      <c r="X58" s="12"/>
      <c r="Y58" s="13" t="s">
        <v>756</v>
      </c>
      <c r="Z58" s="13" t="s">
        <v>757</v>
      </c>
      <c r="AA58" s="13"/>
      <c r="AB58" s="13"/>
      <c r="AC58" s="12"/>
      <c r="AD58" s="12" t="s">
        <v>312</v>
      </c>
      <c r="AE58" s="13" t="s">
        <v>758</v>
      </c>
      <c r="AF58" s="12" t="s">
        <v>759</v>
      </c>
      <c r="AG58" s="12" t="s">
        <v>760</v>
      </c>
    </row>
    <row r="59" customFormat="false" ht="43.5" hidden="false" customHeight="true" outlineLevel="0" collapsed="false">
      <c r="A59" s="12" t="n">
        <v>58</v>
      </c>
      <c r="B59" s="12" t="s">
        <v>761</v>
      </c>
      <c r="C59" s="12" t="s">
        <v>542</v>
      </c>
      <c r="D59" s="12" t="s">
        <v>83</v>
      </c>
      <c r="E59" s="12" t="s">
        <v>84</v>
      </c>
      <c r="F59" s="12" t="s">
        <v>85</v>
      </c>
      <c r="G59" s="12" t="n">
        <v>0.8</v>
      </c>
      <c r="H59" s="12" t="n">
        <v>318.52</v>
      </c>
      <c r="I59" s="12" t="n">
        <v>75</v>
      </c>
      <c r="J59" s="12" t="n">
        <v>0.0916</v>
      </c>
      <c r="K59" s="13" t="s">
        <v>762</v>
      </c>
      <c r="L59" s="12"/>
      <c r="M59" s="12" t="n">
        <v>0.0846</v>
      </c>
      <c r="N59" s="12"/>
      <c r="O59" s="13" t="s">
        <v>763</v>
      </c>
      <c r="P59" s="12" t="n">
        <v>0.0918</v>
      </c>
      <c r="Q59" s="12"/>
      <c r="R59" s="12"/>
      <c r="S59" s="12" t="s">
        <v>764</v>
      </c>
      <c r="T59" s="12"/>
      <c r="U59" s="12" t="n">
        <v>0.0958</v>
      </c>
      <c r="V59" s="12" t="s">
        <v>761</v>
      </c>
      <c r="W59" s="12" t="s">
        <v>765</v>
      </c>
      <c r="X59" s="12" t="n">
        <v>70.3</v>
      </c>
      <c r="Y59" s="13" t="s">
        <v>766</v>
      </c>
      <c r="Z59" s="13" t="s">
        <v>767</v>
      </c>
      <c r="AA59" s="13"/>
      <c r="AB59" s="13" t="s">
        <v>768</v>
      </c>
      <c r="AC59" s="12"/>
      <c r="AD59" s="12" t="s">
        <v>94</v>
      </c>
      <c r="AE59" s="13" t="s">
        <v>769</v>
      </c>
      <c r="AF59" s="12" t="s">
        <v>770</v>
      </c>
      <c r="AG59" s="12" t="s">
        <v>771</v>
      </c>
    </row>
    <row r="60" customFormat="false" ht="43.5" hidden="false" customHeight="true" outlineLevel="0" collapsed="false">
      <c r="A60" s="12" t="n">
        <v>59</v>
      </c>
      <c r="B60" s="12" t="s">
        <v>772</v>
      </c>
      <c r="C60" s="12" t="s">
        <v>317</v>
      </c>
      <c r="D60" s="12" t="s">
        <v>83</v>
      </c>
      <c r="E60" s="12" t="s">
        <v>100</v>
      </c>
      <c r="F60" s="12" t="s">
        <v>101</v>
      </c>
      <c r="G60" s="12"/>
      <c r="H60" s="12"/>
      <c r="I60" s="12"/>
      <c r="J60" s="12" t="n">
        <v>82.69</v>
      </c>
      <c r="K60" s="13" t="s">
        <v>773</v>
      </c>
      <c r="L60" s="12"/>
      <c r="M60" s="12" t="n">
        <v>78</v>
      </c>
      <c r="N60" s="12" t="s">
        <v>774</v>
      </c>
      <c r="O60" s="13"/>
      <c r="P60" s="12"/>
      <c r="Q60" s="12"/>
      <c r="R60" s="12"/>
      <c r="S60" s="12"/>
      <c r="T60" s="12"/>
      <c r="U60" s="12"/>
      <c r="V60" s="12" t="s">
        <v>772</v>
      </c>
      <c r="W60" s="12"/>
      <c r="X60" s="12"/>
      <c r="Y60" s="13" t="s">
        <v>775</v>
      </c>
      <c r="Z60" s="13" t="s">
        <v>776</v>
      </c>
      <c r="AA60" s="13"/>
      <c r="AB60" s="13"/>
      <c r="AC60" s="12"/>
      <c r="AD60" s="12" t="s">
        <v>108</v>
      </c>
      <c r="AE60" s="13" t="s">
        <v>777</v>
      </c>
      <c r="AF60" s="12" t="s">
        <v>778</v>
      </c>
      <c r="AG60" s="12" t="s">
        <v>779</v>
      </c>
    </row>
    <row r="61" customFormat="false" ht="43.5" hidden="false" customHeight="true" outlineLevel="0" collapsed="false">
      <c r="A61" s="12" t="n">
        <v>60</v>
      </c>
      <c r="B61" s="12" t="s">
        <v>780</v>
      </c>
      <c r="C61" s="12" t="s">
        <v>781</v>
      </c>
      <c r="D61" s="12" t="s">
        <v>83</v>
      </c>
      <c r="E61" s="12" t="s">
        <v>84</v>
      </c>
      <c r="F61" s="12" t="s">
        <v>151</v>
      </c>
      <c r="G61" s="12"/>
      <c r="H61" s="12" t="n">
        <v>35.2</v>
      </c>
      <c r="I61" s="12" t="n">
        <v>20</v>
      </c>
      <c r="J61" s="12" t="n">
        <v>0.697</v>
      </c>
      <c r="K61" s="13" t="s">
        <v>782</v>
      </c>
      <c r="L61" s="12"/>
      <c r="M61" s="12" t="n">
        <v>0.6746</v>
      </c>
      <c r="N61" s="12" t="s">
        <v>783</v>
      </c>
      <c r="O61" s="13"/>
      <c r="P61" s="12" t="n">
        <v>0.7005</v>
      </c>
      <c r="Q61" s="12"/>
      <c r="R61" s="12"/>
      <c r="S61" s="12"/>
      <c r="T61" s="12"/>
      <c r="U61" s="12" t="n">
        <v>0.7128</v>
      </c>
      <c r="V61" s="12" t="s">
        <v>780</v>
      </c>
      <c r="W61" s="12" t="s">
        <v>784</v>
      </c>
      <c r="X61" s="12" t="n">
        <v>4.4</v>
      </c>
      <c r="Y61" s="13" t="s">
        <v>785</v>
      </c>
      <c r="Z61" s="13" t="s">
        <v>786</v>
      </c>
      <c r="AA61" s="13"/>
      <c r="AB61" s="13" t="s">
        <v>787</v>
      </c>
      <c r="AC61" s="12"/>
      <c r="AD61" s="12" t="s">
        <v>108</v>
      </c>
      <c r="AE61" s="13" t="s">
        <v>788</v>
      </c>
      <c r="AF61" s="12" t="s">
        <v>789</v>
      </c>
      <c r="AG61" s="12" t="s">
        <v>790</v>
      </c>
    </row>
    <row r="62" customFormat="false" ht="43.5" hidden="false" customHeight="true" outlineLevel="0" collapsed="false">
      <c r="A62" s="12" t="n">
        <v>61</v>
      </c>
      <c r="B62" s="12" t="s">
        <v>791</v>
      </c>
      <c r="C62" s="12" t="s">
        <v>792</v>
      </c>
      <c r="D62" s="12" t="s">
        <v>83</v>
      </c>
      <c r="E62" s="12" t="s">
        <v>84</v>
      </c>
      <c r="F62" s="12" t="s">
        <v>85</v>
      </c>
      <c r="G62" s="12"/>
      <c r="H62" s="12"/>
      <c r="I62" s="12" t="n">
        <v>75</v>
      </c>
      <c r="J62" s="12" t="n">
        <v>680</v>
      </c>
      <c r="K62" s="13" t="s">
        <v>793</v>
      </c>
      <c r="L62" s="12"/>
      <c r="M62" s="12" t="n">
        <v>652</v>
      </c>
      <c r="N62" s="12"/>
      <c r="O62" s="13" t="s">
        <v>794</v>
      </c>
      <c r="P62" s="12" t="n">
        <v>676.49</v>
      </c>
      <c r="Q62" s="12"/>
      <c r="R62" s="12"/>
      <c r="S62" s="12" t="s">
        <v>795</v>
      </c>
      <c r="T62" s="12" t="s">
        <v>796</v>
      </c>
      <c r="U62" s="12"/>
      <c r="V62" s="12" t="s">
        <v>797</v>
      </c>
      <c r="W62" s="12"/>
      <c r="X62" s="12"/>
      <c r="Y62" s="13" t="s">
        <v>798</v>
      </c>
      <c r="Z62" s="13" t="s">
        <v>799</v>
      </c>
      <c r="AA62" s="13"/>
      <c r="AB62" s="13"/>
      <c r="AC62" s="12"/>
      <c r="AD62" s="12" t="s">
        <v>108</v>
      </c>
      <c r="AE62" s="13" t="s">
        <v>800</v>
      </c>
      <c r="AF62" s="12" t="s">
        <v>801</v>
      </c>
      <c r="AG62" s="12" t="s">
        <v>802</v>
      </c>
    </row>
    <row r="63" customFormat="false" ht="43.5" hidden="false" customHeight="true" outlineLevel="0" collapsed="false">
      <c r="A63" s="12" t="n">
        <v>62</v>
      </c>
      <c r="B63" s="12" t="s">
        <v>803</v>
      </c>
      <c r="C63" s="12" t="s">
        <v>113</v>
      </c>
      <c r="D63" s="12" t="s">
        <v>83</v>
      </c>
      <c r="E63" s="12" t="s">
        <v>128</v>
      </c>
      <c r="F63" s="12" t="s">
        <v>151</v>
      </c>
      <c r="G63" s="12"/>
      <c r="H63" s="12" t="n">
        <v>7.63</v>
      </c>
      <c r="I63" s="12" t="n">
        <v>150</v>
      </c>
      <c r="J63" s="12" t="n">
        <v>71500</v>
      </c>
      <c r="K63" s="13" t="s">
        <v>804</v>
      </c>
      <c r="L63" s="12"/>
      <c r="M63" s="12" t="n">
        <v>70000</v>
      </c>
      <c r="N63" s="12" t="s">
        <v>805</v>
      </c>
      <c r="O63" s="13" t="s">
        <v>806</v>
      </c>
      <c r="P63" s="12" t="n">
        <v>71514.9</v>
      </c>
      <c r="Q63" s="12"/>
      <c r="R63" s="12"/>
      <c r="S63" s="12"/>
      <c r="T63" s="12"/>
      <c r="U63" s="12" t="n">
        <v>71551.3</v>
      </c>
      <c r="V63" s="12" t="s">
        <v>803</v>
      </c>
      <c r="W63" s="12" t="s">
        <v>807</v>
      </c>
      <c r="X63" s="12" t="n">
        <v>0.6</v>
      </c>
      <c r="Y63" s="13" t="s">
        <v>808</v>
      </c>
      <c r="Z63" s="13" t="s">
        <v>809</v>
      </c>
      <c r="AA63" s="13" t="s">
        <v>810</v>
      </c>
      <c r="AB63" s="13" t="s">
        <v>811</v>
      </c>
      <c r="AC63" s="12"/>
      <c r="AD63" s="12" t="s">
        <v>94</v>
      </c>
      <c r="AE63" s="13" t="s">
        <v>812</v>
      </c>
      <c r="AF63" s="12" t="s">
        <v>813</v>
      </c>
      <c r="AG63" s="12" t="s">
        <v>814</v>
      </c>
    </row>
    <row r="64" customFormat="false" ht="43.5" hidden="false" customHeight="true" outlineLevel="0" collapsed="false">
      <c r="A64" s="12" t="n">
        <v>63</v>
      </c>
      <c r="B64" s="12" t="s">
        <v>815</v>
      </c>
      <c r="C64" s="12" t="s">
        <v>816</v>
      </c>
      <c r="D64" s="12" t="s">
        <v>83</v>
      </c>
      <c r="E64" s="12" t="s">
        <v>170</v>
      </c>
      <c r="F64" s="12" t="s">
        <v>170</v>
      </c>
      <c r="G64" s="12"/>
      <c r="H64" s="12"/>
      <c r="I64" s="12"/>
      <c r="J64" s="12" t="n">
        <v>0.276</v>
      </c>
      <c r="K64" s="13" t="s">
        <v>817</v>
      </c>
      <c r="L64" s="12"/>
      <c r="M64" s="12" t="n">
        <v>0.249</v>
      </c>
      <c r="N64" s="12" t="s">
        <v>818</v>
      </c>
      <c r="O64" s="13" t="s">
        <v>819</v>
      </c>
      <c r="P64" s="12"/>
      <c r="Q64" s="12"/>
      <c r="R64" s="12"/>
      <c r="S64" s="12"/>
      <c r="T64" s="12"/>
      <c r="U64" s="12"/>
      <c r="V64" s="12" t="s">
        <v>815</v>
      </c>
      <c r="W64" s="12"/>
      <c r="X64" s="12"/>
      <c r="Y64" s="13" t="s">
        <v>820</v>
      </c>
      <c r="Z64" s="13" t="s">
        <v>821</v>
      </c>
      <c r="AA64" s="13"/>
      <c r="AB64" s="13" t="s">
        <v>822</v>
      </c>
      <c r="AC64" s="12"/>
      <c r="AD64" s="12" t="s">
        <v>312</v>
      </c>
      <c r="AE64" s="13" t="s">
        <v>823</v>
      </c>
      <c r="AF64" s="12" t="s">
        <v>824</v>
      </c>
      <c r="AG64" s="12" t="s">
        <v>825</v>
      </c>
    </row>
    <row r="65" customFormat="false" ht="43.5" hidden="false" customHeight="true" outlineLevel="0" collapsed="false">
      <c r="A65" s="12" t="n">
        <v>64</v>
      </c>
      <c r="B65" s="12" t="s">
        <v>826</v>
      </c>
      <c r="C65" s="12" t="s">
        <v>113</v>
      </c>
      <c r="D65" s="12" t="s">
        <v>83</v>
      </c>
      <c r="E65" s="12" t="s">
        <v>170</v>
      </c>
      <c r="F65" s="12" t="s">
        <v>170</v>
      </c>
      <c r="G65" s="12"/>
      <c r="H65" s="12"/>
      <c r="I65" s="12"/>
      <c r="J65" s="12" t="n">
        <v>69300</v>
      </c>
      <c r="K65" s="13" t="s">
        <v>827</v>
      </c>
      <c r="L65" s="12"/>
      <c r="M65" s="12" t="n">
        <v>66500</v>
      </c>
      <c r="N65" s="12" t="s">
        <v>828</v>
      </c>
      <c r="O65" s="13" t="s">
        <v>829</v>
      </c>
      <c r="P65" s="12" t="n">
        <v>69400</v>
      </c>
      <c r="Q65" s="12"/>
      <c r="R65" s="12"/>
      <c r="S65" s="12"/>
      <c r="T65" s="12"/>
      <c r="U65" s="12"/>
      <c r="V65" s="12" t="s">
        <v>830</v>
      </c>
      <c r="W65" s="12"/>
      <c r="X65" s="12"/>
      <c r="Y65" s="13" t="s">
        <v>831</v>
      </c>
      <c r="Z65" s="13" t="s">
        <v>832</v>
      </c>
      <c r="AA65" s="13"/>
      <c r="AB65" s="13" t="s">
        <v>833</v>
      </c>
      <c r="AC65" s="12"/>
      <c r="AD65" s="12" t="s">
        <v>312</v>
      </c>
      <c r="AE65" s="13" t="s">
        <v>834</v>
      </c>
      <c r="AF65" s="12" t="s">
        <v>835</v>
      </c>
      <c r="AG65" s="12" t="s">
        <v>836</v>
      </c>
    </row>
    <row r="66" customFormat="false" ht="43.5" hidden="false" customHeight="true" outlineLevel="0" collapsed="false">
      <c r="A66" s="12" t="n">
        <v>65</v>
      </c>
      <c r="B66" s="12" t="s">
        <v>837</v>
      </c>
      <c r="C66" s="12" t="s">
        <v>838</v>
      </c>
      <c r="D66" s="12" t="s">
        <v>83</v>
      </c>
      <c r="E66" s="12" t="s">
        <v>170</v>
      </c>
      <c r="F66" s="12" t="s">
        <v>170</v>
      </c>
      <c r="G66" s="12"/>
      <c r="H66" s="12"/>
      <c r="I66" s="12"/>
      <c r="J66" s="12" t="n">
        <v>0.067</v>
      </c>
      <c r="K66" s="13" t="s">
        <v>839</v>
      </c>
      <c r="L66" s="12"/>
      <c r="M66" s="12" t="n">
        <v>0.0632</v>
      </c>
      <c r="N66" s="12" t="s">
        <v>840</v>
      </c>
      <c r="O66" s="13" t="s">
        <v>841</v>
      </c>
      <c r="P66" s="12"/>
      <c r="Q66" s="12"/>
      <c r="R66" s="12" t="s">
        <v>842</v>
      </c>
      <c r="S66" s="12"/>
      <c r="T66" s="12"/>
      <c r="U66" s="12"/>
      <c r="V66" s="12" t="s">
        <v>837</v>
      </c>
      <c r="W66" s="12"/>
      <c r="X66" s="12"/>
      <c r="Y66" s="13" t="s">
        <v>843</v>
      </c>
      <c r="Z66" s="13" t="s">
        <v>844</v>
      </c>
      <c r="AA66" s="13" t="s">
        <v>845</v>
      </c>
      <c r="AB66" s="13"/>
      <c r="AC66" s="12"/>
      <c r="AD66" s="12" t="s">
        <v>312</v>
      </c>
      <c r="AE66" s="13" t="s">
        <v>846</v>
      </c>
      <c r="AF66" s="12" t="s">
        <v>847</v>
      </c>
      <c r="AG66" s="12" t="s">
        <v>848</v>
      </c>
    </row>
    <row r="67" customFormat="false" ht="43.5" hidden="false" customHeight="true" outlineLevel="0" collapsed="false">
      <c r="A67" s="12" t="n">
        <v>66</v>
      </c>
      <c r="B67" s="12" t="s">
        <v>849</v>
      </c>
      <c r="C67" s="12" t="s">
        <v>754</v>
      </c>
      <c r="D67" s="12" t="s">
        <v>83</v>
      </c>
      <c r="E67" s="12" t="s">
        <v>84</v>
      </c>
      <c r="F67" s="12" t="s">
        <v>85</v>
      </c>
      <c r="G67" s="12" t="n">
        <v>1.6</v>
      </c>
      <c r="H67" s="12" t="n">
        <v>720.77</v>
      </c>
      <c r="I67" s="12" t="n">
        <v>75</v>
      </c>
      <c r="J67" s="12" t="n">
        <v>2.64</v>
      </c>
      <c r="K67" s="13" t="s">
        <v>850</v>
      </c>
      <c r="L67" s="12"/>
      <c r="M67" s="12" t="n">
        <v>2.43</v>
      </c>
      <c r="N67" s="12" t="s">
        <v>851</v>
      </c>
      <c r="O67" s="13" t="s">
        <v>852</v>
      </c>
      <c r="P67" s="12" t="n">
        <v>2.643</v>
      </c>
      <c r="Q67" s="12"/>
      <c r="R67" s="12"/>
      <c r="S67" s="12"/>
      <c r="T67" s="12"/>
      <c r="U67" s="12" t="n">
        <v>2.897</v>
      </c>
      <c r="V67" s="12" t="s">
        <v>853</v>
      </c>
      <c r="W67" s="12" t="s">
        <v>854</v>
      </c>
      <c r="X67" s="12" t="n">
        <v>14.8</v>
      </c>
      <c r="Y67" s="13" t="s">
        <v>855</v>
      </c>
      <c r="Z67" s="13" t="s">
        <v>856</v>
      </c>
      <c r="AA67" s="13" t="s">
        <v>857</v>
      </c>
      <c r="AB67" s="13" t="s">
        <v>858</v>
      </c>
      <c r="AC67" s="12"/>
      <c r="AD67" s="12" t="s">
        <v>94</v>
      </c>
      <c r="AE67" s="13" t="s">
        <v>859</v>
      </c>
      <c r="AF67" s="12" t="s">
        <v>860</v>
      </c>
      <c r="AG67" s="12" t="s">
        <v>861</v>
      </c>
    </row>
    <row r="68" customFormat="false" ht="43.5" hidden="false" customHeight="true" outlineLevel="0" collapsed="false">
      <c r="A68" s="12" t="n">
        <v>67</v>
      </c>
      <c r="B68" s="12" t="s">
        <v>862</v>
      </c>
      <c r="C68" s="12" t="s">
        <v>113</v>
      </c>
      <c r="D68" s="12" t="s">
        <v>83</v>
      </c>
      <c r="E68" s="12" t="s">
        <v>100</v>
      </c>
      <c r="F68" s="12" t="s">
        <v>101</v>
      </c>
      <c r="G68" s="12"/>
      <c r="H68" s="12"/>
      <c r="I68" s="12"/>
      <c r="J68" s="12" t="n">
        <v>67300</v>
      </c>
      <c r="K68" s="13" t="s">
        <v>863</v>
      </c>
      <c r="L68" s="12" t="s">
        <v>864</v>
      </c>
      <c r="M68" s="12" t="n">
        <v>64400</v>
      </c>
      <c r="N68" s="12" t="s">
        <v>865</v>
      </c>
      <c r="O68" s="13" t="s">
        <v>866</v>
      </c>
      <c r="P68" s="12"/>
      <c r="Q68" s="12"/>
      <c r="R68" s="12" t="s">
        <v>867</v>
      </c>
      <c r="S68" s="12" t="s">
        <v>868</v>
      </c>
      <c r="T68" s="12"/>
      <c r="U68" s="12"/>
      <c r="V68" s="12" t="s">
        <v>862</v>
      </c>
      <c r="W68" s="12" t="s">
        <v>869</v>
      </c>
      <c r="X68" s="12" t="n">
        <v>17.4</v>
      </c>
      <c r="Y68" s="13" t="s">
        <v>870</v>
      </c>
      <c r="Z68" s="13" t="s">
        <v>871</v>
      </c>
      <c r="AA68" s="13" t="s">
        <v>872</v>
      </c>
      <c r="AB68" s="13" t="s">
        <v>873</v>
      </c>
      <c r="AC68" s="12"/>
      <c r="AD68" s="12" t="s">
        <v>108</v>
      </c>
      <c r="AE68" s="13" t="s">
        <v>874</v>
      </c>
      <c r="AF68" s="12" t="s">
        <v>875</v>
      </c>
      <c r="AG68" s="12" t="s">
        <v>876</v>
      </c>
    </row>
    <row r="69" customFormat="false" ht="43.5" hidden="false" customHeight="true" outlineLevel="0" collapsed="false">
      <c r="A69" s="12" t="n">
        <v>68</v>
      </c>
      <c r="B69" s="12" t="s">
        <v>877</v>
      </c>
      <c r="C69" s="12" t="s">
        <v>878</v>
      </c>
      <c r="D69" s="12" t="s">
        <v>259</v>
      </c>
      <c r="E69" s="12" t="s">
        <v>84</v>
      </c>
      <c r="F69" s="12" t="s">
        <v>151</v>
      </c>
      <c r="G69" s="12" t="n">
        <v>1.6</v>
      </c>
      <c r="H69" s="12" t="n">
        <v>692.03</v>
      </c>
      <c r="I69" s="12" t="n">
        <v>50</v>
      </c>
      <c r="J69" s="12" t="n">
        <v>21.53</v>
      </c>
      <c r="K69" s="13" t="s">
        <v>388</v>
      </c>
      <c r="L69" s="12"/>
      <c r="M69" s="12" t="n">
        <v>23.56</v>
      </c>
      <c r="N69" s="12" t="s">
        <v>879</v>
      </c>
      <c r="O69" s="13" t="s">
        <v>880</v>
      </c>
      <c r="P69" s="12" t="n">
        <v>21.506</v>
      </c>
      <c r="Q69" s="12"/>
      <c r="R69" s="12"/>
      <c r="S69" s="12" t="s">
        <v>881</v>
      </c>
      <c r="T69" s="12"/>
      <c r="U69" s="12" t="n">
        <v>18.53</v>
      </c>
      <c r="V69" s="12" t="s">
        <v>877</v>
      </c>
      <c r="W69" s="12" t="s">
        <v>882</v>
      </c>
      <c r="X69" s="12" t="n">
        <v>5.5</v>
      </c>
      <c r="Y69" s="13" t="s">
        <v>883</v>
      </c>
      <c r="Z69" s="13" t="s">
        <v>884</v>
      </c>
      <c r="AA69" s="13" t="s">
        <v>885</v>
      </c>
      <c r="AB69" s="13" t="s">
        <v>886</v>
      </c>
      <c r="AC69" s="12"/>
      <c r="AD69" s="12" t="s">
        <v>94</v>
      </c>
      <c r="AE69" s="13" t="s">
        <v>887</v>
      </c>
      <c r="AF69" s="12" t="s">
        <v>888</v>
      </c>
      <c r="AG69" s="12" t="s">
        <v>889</v>
      </c>
    </row>
    <row r="70" customFormat="false" ht="43.5" hidden="false" customHeight="true" outlineLevel="0" collapsed="false">
      <c r="A70" s="12" t="n">
        <v>69</v>
      </c>
      <c r="B70" s="12" t="s">
        <v>890</v>
      </c>
      <c r="C70" s="12" t="s">
        <v>142</v>
      </c>
      <c r="D70" s="12" t="s">
        <v>259</v>
      </c>
      <c r="E70" s="12" t="s">
        <v>891</v>
      </c>
      <c r="F70" s="12" t="s">
        <v>891</v>
      </c>
      <c r="G70" s="12"/>
      <c r="H70" s="12"/>
      <c r="I70" s="12"/>
      <c r="J70" s="12" t="n">
        <v>4474</v>
      </c>
      <c r="K70" s="13" t="s">
        <v>892</v>
      </c>
      <c r="L70" s="12"/>
      <c r="M70" s="12" t="n">
        <v>4491</v>
      </c>
      <c r="N70" s="12" t="s">
        <v>893</v>
      </c>
      <c r="O70" s="13" t="s">
        <v>894</v>
      </c>
      <c r="P70" s="12"/>
      <c r="Q70" s="12"/>
      <c r="R70" s="12"/>
      <c r="S70" s="12"/>
      <c r="T70" s="12"/>
      <c r="U70" s="12"/>
      <c r="V70" s="12"/>
      <c r="W70" s="12" t="s">
        <v>895</v>
      </c>
      <c r="X70" s="12"/>
      <c r="Y70" s="13" t="s">
        <v>896</v>
      </c>
      <c r="Z70" s="13" t="s">
        <v>897</v>
      </c>
      <c r="AA70" s="13"/>
      <c r="AB70" s="13"/>
      <c r="AC70" s="12"/>
      <c r="AD70" s="12" t="s">
        <v>94</v>
      </c>
      <c r="AE70" s="13" t="s">
        <v>898</v>
      </c>
      <c r="AF70" s="12" t="s">
        <v>899</v>
      </c>
      <c r="AG70" s="12" t="s">
        <v>900</v>
      </c>
    </row>
    <row r="71" customFormat="false" ht="43.5" hidden="false" customHeight="true" outlineLevel="0" collapsed="false">
      <c r="A71" s="12" t="n">
        <v>70</v>
      </c>
      <c r="B71" s="12" t="s">
        <v>901</v>
      </c>
      <c r="C71" s="12" t="s">
        <v>142</v>
      </c>
      <c r="D71" s="12" t="s">
        <v>259</v>
      </c>
      <c r="E71" s="12" t="s">
        <v>84</v>
      </c>
      <c r="F71" s="12" t="s">
        <v>151</v>
      </c>
      <c r="G71" s="12" t="n">
        <v>1</v>
      </c>
      <c r="H71" s="12"/>
      <c r="I71" s="12"/>
      <c r="J71" s="12" t="n">
        <v>4452</v>
      </c>
      <c r="K71" s="13" t="s">
        <v>902</v>
      </c>
      <c r="L71" s="12"/>
      <c r="M71" s="12" t="n">
        <v>4468</v>
      </c>
      <c r="N71" s="12" t="s">
        <v>903</v>
      </c>
      <c r="O71" s="13" t="s">
        <v>904</v>
      </c>
      <c r="P71" s="12"/>
      <c r="Q71" s="12"/>
      <c r="R71" s="12" t="s">
        <v>905</v>
      </c>
      <c r="S71" s="12"/>
      <c r="T71" s="12"/>
      <c r="U71" s="12"/>
      <c r="V71" s="12" t="s">
        <v>901</v>
      </c>
      <c r="W71" s="12" t="s">
        <v>906</v>
      </c>
      <c r="X71" s="12" t="n">
        <v>6.3</v>
      </c>
      <c r="Y71" s="13" t="s">
        <v>907</v>
      </c>
      <c r="Z71" s="13" t="s">
        <v>908</v>
      </c>
      <c r="AA71" s="13"/>
      <c r="AB71" s="13"/>
      <c r="AC71" s="12"/>
      <c r="AD71" s="12" t="s">
        <v>94</v>
      </c>
      <c r="AE71" s="13" t="s">
        <v>909</v>
      </c>
      <c r="AF71" s="12" t="s">
        <v>910</v>
      </c>
      <c r="AG71" s="12" t="s">
        <v>911</v>
      </c>
    </row>
    <row r="72" customFormat="false" ht="43.5" hidden="false" customHeight="true" outlineLevel="0" collapsed="false">
      <c r="A72" s="12" t="n">
        <v>71</v>
      </c>
      <c r="B72" s="12" t="s">
        <v>912</v>
      </c>
      <c r="C72" s="12" t="s">
        <v>913</v>
      </c>
      <c r="D72" s="12" t="s">
        <v>83</v>
      </c>
      <c r="E72" s="12" t="s">
        <v>84</v>
      </c>
      <c r="F72" s="12" t="s">
        <v>170</v>
      </c>
      <c r="G72" s="12" t="n">
        <v>0.5</v>
      </c>
      <c r="H72" s="12"/>
      <c r="I72" s="12"/>
      <c r="J72" s="12" t="n">
        <v>0.038</v>
      </c>
      <c r="K72" s="13" t="s">
        <v>914</v>
      </c>
      <c r="L72" s="12"/>
      <c r="M72" s="12" t="n">
        <v>0.034</v>
      </c>
      <c r="N72" s="12" t="s">
        <v>915</v>
      </c>
      <c r="O72" s="13" t="s">
        <v>916</v>
      </c>
      <c r="P72" s="12"/>
      <c r="Q72" s="12"/>
      <c r="R72" s="12"/>
      <c r="S72" s="12"/>
      <c r="T72" s="12" t="s">
        <v>917</v>
      </c>
      <c r="U72" s="12"/>
      <c r="V72" s="12" t="s">
        <v>912</v>
      </c>
      <c r="W72" s="12"/>
      <c r="X72" s="12"/>
      <c r="Y72" s="13" t="s">
        <v>918</v>
      </c>
      <c r="Z72" s="13" t="s">
        <v>919</v>
      </c>
      <c r="AA72" s="13"/>
      <c r="AB72" s="13"/>
      <c r="AC72" s="12" t="s">
        <v>177</v>
      </c>
      <c r="AD72" s="12" t="s">
        <v>108</v>
      </c>
      <c r="AE72" s="13" t="s">
        <v>920</v>
      </c>
      <c r="AF72" s="12" t="s">
        <v>921</v>
      </c>
      <c r="AG72" s="12" t="s">
        <v>922</v>
      </c>
    </row>
    <row r="73" customFormat="false" ht="43.5" hidden="false" customHeight="true" outlineLevel="0" collapsed="false">
      <c r="A73" s="12" t="n">
        <v>72</v>
      </c>
      <c r="B73" s="12" t="s">
        <v>923</v>
      </c>
      <c r="C73" s="12" t="s">
        <v>113</v>
      </c>
      <c r="D73" s="12" t="s">
        <v>83</v>
      </c>
      <c r="E73" s="12" t="s">
        <v>84</v>
      </c>
      <c r="F73" s="12" t="s">
        <v>151</v>
      </c>
      <c r="G73" s="12" t="n">
        <v>0.5</v>
      </c>
      <c r="H73" s="12" t="n">
        <v>363.26</v>
      </c>
      <c r="I73" s="12" t="n">
        <v>250</v>
      </c>
      <c r="J73" s="12" t="n">
        <v>62800</v>
      </c>
      <c r="K73" s="13" t="s">
        <v>924</v>
      </c>
      <c r="L73" s="12"/>
      <c r="M73" s="12" t="n">
        <v>60000</v>
      </c>
      <c r="N73" s="12"/>
      <c r="O73" s="13" t="s">
        <v>925</v>
      </c>
      <c r="P73" s="12" t="n">
        <v>63094.1</v>
      </c>
      <c r="Q73" s="12"/>
      <c r="R73" s="12"/>
      <c r="S73" s="12"/>
      <c r="T73" s="12"/>
      <c r="U73" s="12" t="n">
        <v>64082.2</v>
      </c>
      <c r="V73" s="12" t="s">
        <v>923</v>
      </c>
      <c r="W73" s="12" t="s">
        <v>926</v>
      </c>
      <c r="X73" s="12" t="n">
        <v>4.3</v>
      </c>
      <c r="Y73" s="13" t="s">
        <v>927</v>
      </c>
      <c r="Z73" s="13" t="s">
        <v>928</v>
      </c>
      <c r="AA73" s="13"/>
      <c r="AB73" s="13" t="s">
        <v>929</v>
      </c>
      <c r="AC73" s="12"/>
      <c r="AD73" s="12" t="s">
        <v>94</v>
      </c>
      <c r="AE73" s="13" t="s">
        <v>930</v>
      </c>
      <c r="AF73" s="12" t="s">
        <v>931</v>
      </c>
      <c r="AG73" s="12" t="s">
        <v>932</v>
      </c>
    </row>
    <row r="74" customFormat="false" ht="43.5" hidden="false" customHeight="true" outlineLevel="0" collapsed="false">
      <c r="A74" s="12" t="n">
        <v>73</v>
      </c>
      <c r="B74" s="12" t="s">
        <v>933</v>
      </c>
      <c r="C74" s="12" t="s">
        <v>113</v>
      </c>
      <c r="D74" s="12" t="s">
        <v>83</v>
      </c>
      <c r="E74" s="12" t="s">
        <v>84</v>
      </c>
      <c r="F74" s="12" t="s">
        <v>151</v>
      </c>
      <c r="G74" s="12"/>
      <c r="H74" s="12" t="n">
        <v>151.99</v>
      </c>
      <c r="I74" s="12" t="n">
        <v>250</v>
      </c>
      <c r="J74" s="12" t="n">
        <v>62800</v>
      </c>
      <c r="K74" s="13" t="s">
        <v>934</v>
      </c>
      <c r="L74" s="12"/>
      <c r="M74" s="12" t="n">
        <v>59000</v>
      </c>
      <c r="N74" s="12"/>
      <c r="O74" s="13" t="s">
        <v>935</v>
      </c>
      <c r="P74" s="12" t="n">
        <v>62711.2</v>
      </c>
      <c r="Q74" s="12" t="s">
        <v>936</v>
      </c>
      <c r="R74" s="12"/>
      <c r="S74" s="12"/>
      <c r="T74" s="12"/>
      <c r="U74" s="12" t="n">
        <v>63600</v>
      </c>
      <c r="V74" s="12" t="s">
        <v>933</v>
      </c>
      <c r="W74" s="12" t="s">
        <v>937</v>
      </c>
      <c r="X74" s="12" t="n">
        <v>2.2</v>
      </c>
      <c r="Y74" s="13" t="s">
        <v>938</v>
      </c>
      <c r="Z74" s="13" t="s">
        <v>939</v>
      </c>
      <c r="AA74" s="13"/>
      <c r="AB74" s="13" t="s">
        <v>940</v>
      </c>
      <c r="AC74" s="12"/>
      <c r="AD74" s="12" t="s">
        <v>94</v>
      </c>
      <c r="AE74" s="13" t="s">
        <v>941</v>
      </c>
      <c r="AF74" s="12" t="s">
        <v>942</v>
      </c>
      <c r="AG74" s="12" t="s">
        <v>943</v>
      </c>
    </row>
    <row r="75" customFormat="false" ht="43.5" hidden="false" customHeight="true" outlineLevel="0" collapsed="false">
      <c r="A75" s="12" t="n">
        <v>74</v>
      </c>
      <c r="B75" s="12" t="s">
        <v>944</v>
      </c>
      <c r="C75" s="12" t="s">
        <v>878</v>
      </c>
      <c r="D75" s="12" t="s">
        <v>259</v>
      </c>
      <c r="E75" s="12" t="s">
        <v>100</v>
      </c>
      <c r="F75" s="12" t="s">
        <v>101</v>
      </c>
      <c r="G75" s="12" t="n">
        <v>-1</v>
      </c>
      <c r="H75" s="12"/>
      <c r="I75" s="12"/>
      <c r="J75" s="12" t="n">
        <v>20.63</v>
      </c>
      <c r="K75" s="13" t="s">
        <v>388</v>
      </c>
      <c r="L75" s="12"/>
      <c r="M75" s="12" t="n">
        <v>22.606</v>
      </c>
      <c r="N75" s="12" t="s">
        <v>945</v>
      </c>
      <c r="O75" s="13" t="s">
        <v>946</v>
      </c>
      <c r="P75" s="12" t="n">
        <v>20.63</v>
      </c>
      <c r="Q75" s="12"/>
      <c r="R75" s="12"/>
      <c r="S75" s="12" t="s">
        <v>879</v>
      </c>
      <c r="T75" s="12"/>
      <c r="U75" s="12"/>
      <c r="V75" s="12" t="s">
        <v>944</v>
      </c>
      <c r="W75" s="12" t="s">
        <v>947</v>
      </c>
      <c r="X75" s="12" t="n">
        <v>79.2</v>
      </c>
      <c r="Y75" s="13" t="s">
        <v>948</v>
      </c>
      <c r="Z75" s="13" t="s">
        <v>949</v>
      </c>
      <c r="AA75" s="13" t="s">
        <v>950</v>
      </c>
      <c r="AB75" s="13" t="s">
        <v>951</v>
      </c>
      <c r="AC75" s="12"/>
      <c r="AD75" s="12" t="s">
        <v>108</v>
      </c>
      <c r="AE75" s="13" t="s">
        <v>952</v>
      </c>
      <c r="AF75" s="12" t="s">
        <v>953</v>
      </c>
      <c r="AG75" s="12" t="s">
        <v>954</v>
      </c>
    </row>
    <row r="76" customFormat="false" ht="43.5" hidden="false" customHeight="true" outlineLevel="0" collapsed="false">
      <c r="A76" s="12" t="n">
        <v>75</v>
      </c>
      <c r="B76" s="12" t="s">
        <v>955</v>
      </c>
      <c r="C76" s="12" t="s">
        <v>113</v>
      </c>
      <c r="D76" s="12" t="s">
        <v>83</v>
      </c>
      <c r="E76" s="12" t="s">
        <v>84</v>
      </c>
      <c r="F76" s="12" t="s">
        <v>85</v>
      </c>
      <c r="G76" s="12"/>
      <c r="H76" s="12" t="n">
        <v>496.61</v>
      </c>
      <c r="I76" s="12" t="n">
        <v>250</v>
      </c>
      <c r="J76" s="12" t="n">
        <v>62300</v>
      </c>
      <c r="K76" s="13" t="s">
        <v>956</v>
      </c>
      <c r="L76" s="12"/>
      <c r="M76" s="12" t="n">
        <v>59500</v>
      </c>
      <c r="N76" s="12"/>
      <c r="O76" s="13" t="s">
        <v>957</v>
      </c>
      <c r="P76" s="12" t="n">
        <v>62300</v>
      </c>
      <c r="Q76" s="12"/>
      <c r="R76" s="12" t="s">
        <v>958</v>
      </c>
      <c r="S76" s="12" t="s">
        <v>959</v>
      </c>
      <c r="T76" s="12"/>
      <c r="U76" s="12" t="n">
        <v>64100</v>
      </c>
      <c r="V76" s="12" t="s">
        <v>955</v>
      </c>
      <c r="W76" s="12" t="s">
        <v>960</v>
      </c>
      <c r="X76" s="12" t="n">
        <v>61.4</v>
      </c>
      <c r="Y76" s="13" t="s">
        <v>961</v>
      </c>
      <c r="Z76" s="13" t="s">
        <v>962</v>
      </c>
      <c r="AA76" s="13" t="s">
        <v>963</v>
      </c>
      <c r="AB76" s="13" t="s">
        <v>964</v>
      </c>
      <c r="AC76" s="12"/>
      <c r="AD76" s="12" t="s">
        <v>94</v>
      </c>
      <c r="AE76" s="13" t="s">
        <v>965</v>
      </c>
      <c r="AF76" s="12" t="s">
        <v>966</v>
      </c>
      <c r="AG76" s="12" t="s">
        <v>967</v>
      </c>
    </row>
    <row r="77" customFormat="false" ht="43.5" hidden="false" customHeight="true" outlineLevel="0" collapsed="false">
      <c r="A77" s="12" t="n">
        <v>76</v>
      </c>
      <c r="B77" s="12" t="s">
        <v>968</v>
      </c>
      <c r="C77" s="12" t="s">
        <v>99</v>
      </c>
      <c r="D77" s="12" t="s">
        <v>83</v>
      </c>
      <c r="E77" s="12" t="s">
        <v>170</v>
      </c>
      <c r="F77" s="12" t="s">
        <v>170</v>
      </c>
      <c r="G77" s="12"/>
      <c r="H77" s="12" t="n">
        <v>20</v>
      </c>
      <c r="I77" s="12"/>
      <c r="J77" s="12" t="n">
        <v>1578</v>
      </c>
      <c r="K77" s="13" t="s">
        <v>969</v>
      </c>
      <c r="L77" s="12" t="s">
        <v>970</v>
      </c>
      <c r="M77" s="12"/>
      <c r="N77" s="12"/>
      <c r="O77" s="13" t="s">
        <v>971</v>
      </c>
      <c r="P77" s="12"/>
      <c r="Q77" s="12"/>
      <c r="R77" s="12"/>
      <c r="S77" s="12"/>
      <c r="T77" s="12"/>
      <c r="U77" s="12"/>
      <c r="V77" s="12" t="s">
        <v>968</v>
      </c>
      <c r="W77" s="12"/>
      <c r="X77" s="12"/>
      <c r="Y77" s="13" t="s">
        <v>972</v>
      </c>
      <c r="Z77" s="13" t="s">
        <v>973</v>
      </c>
      <c r="AA77" s="13"/>
      <c r="AB77" s="13" t="s">
        <v>974</v>
      </c>
      <c r="AC77" s="12" t="s">
        <v>177</v>
      </c>
      <c r="AD77" s="12" t="s">
        <v>108</v>
      </c>
      <c r="AE77" s="13" t="s">
        <v>975</v>
      </c>
      <c r="AF77" s="12" t="s">
        <v>976</v>
      </c>
      <c r="AG77" s="12" t="s">
        <v>977</v>
      </c>
    </row>
    <row r="78" customFormat="false" ht="43.5" hidden="false" customHeight="true" outlineLevel="0" collapsed="false">
      <c r="A78" s="12" t="n">
        <v>77</v>
      </c>
      <c r="B78" s="12" t="s">
        <v>968</v>
      </c>
      <c r="C78" s="12" t="s">
        <v>317</v>
      </c>
      <c r="D78" s="12" t="s">
        <v>83</v>
      </c>
      <c r="E78" s="12" t="s">
        <v>170</v>
      </c>
      <c r="F78" s="12" t="s">
        <v>170</v>
      </c>
      <c r="G78" s="12"/>
      <c r="H78" s="12"/>
      <c r="I78" s="12"/>
      <c r="J78" s="12" t="n">
        <v>63</v>
      </c>
      <c r="K78" s="13" t="s">
        <v>978</v>
      </c>
      <c r="L78" s="12" t="s">
        <v>979</v>
      </c>
      <c r="M78" s="12"/>
      <c r="N78" s="12"/>
      <c r="O78" s="13" t="s">
        <v>980</v>
      </c>
      <c r="P78" s="12"/>
      <c r="Q78" s="12"/>
      <c r="R78" s="12"/>
      <c r="S78" s="12"/>
      <c r="T78" s="12"/>
      <c r="U78" s="12"/>
      <c r="V78" s="12" t="s">
        <v>968</v>
      </c>
      <c r="W78" s="12"/>
      <c r="X78" s="12"/>
      <c r="Y78" s="13" t="s">
        <v>981</v>
      </c>
      <c r="Z78" s="13" t="s">
        <v>982</v>
      </c>
      <c r="AA78" s="13"/>
      <c r="AB78" s="13" t="s">
        <v>983</v>
      </c>
      <c r="AC78" s="12" t="s">
        <v>177</v>
      </c>
      <c r="AD78" s="12" t="s">
        <v>108</v>
      </c>
      <c r="AE78" s="13" t="s">
        <v>984</v>
      </c>
      <c r="AF78" s="12" t="s">
        <v>985</v>
      </c>
      <c r="AG78" s="12" t="s">
        <v>977</v>
      </c>
    </row>
    <row r="79" customFormat="false" ht="43.5" hidden="false" customHeight="true" outlineLevel="0" collapsed="false">
      <c r="A79" s="12" t="n">
        <v>78</v>
      </c>
      <c r="B79" s="12" t="s">
        <v>968</v>
      </c>
      <c r="C79" s="12" t="s">
        <v>113</v>
      </c>
      <c r="D79" s="12" t="s">
        <v>83</v>
      </c>
      <c r="E79" s="12" t="s">
        <v>170</v>
      </c>
      <c r="F79" s="12" t="s">
        <v>170</v>
      </c>
      <c r="G79" s="12"/>
      <c r="H79" s="12"/>
      <c r="I79" s="12"/>
      <c r="J79" s="12" t="n">
        <v>61000</v>
      </c>
      <c r="K79" s="13" t="s">
        <v>986</v>
      </c>
      <c r="L79" s="12" t="s">
        <v>987</v>
      </c>
      <c r="M79" s="12"/>
      <c r="N79" s="12"/>
      <c r="O79" s="13" t="s">
        <v>988</v>
      </c>
      <c r="P79" s="12" t="n">
        <v>61000</v>
      </c>
      <c r="Q79" s="12"/>
      <c r="R79" s="12"/>
      <c r="S79" s="12"/>
      <c r="T79" s="12"/>
      <c r="U79" s="12"/>
      <c r="V79" s="12" t="s">
        <v>968</v>
      </c>
      <c r="W79" s="12"/>
      <c r="X79" s="12"/>
      <c r="Y79" s="13" t="s">
        <v>989</v>
      </c>
      <c r="Z79" s="13" t="s">
        <v>990</v>
      </c>
      <c r="AA79" s="13"/>
      <c r="AB79" s="13" t="s">
        <v>991</v>
      </c>
      <c r="AC79" s="12" t="s">
        <v>177</v>
      </c>
      <c r="AD79" s="12" t="s">
        <v>108</v>
      </c>
      <c r="AE79" s="13" t="s">
        <v>992</v>
      </c>
      <c r="AF79" s="12" t="s">
        <v>993</v>
      </c>
      <c r="AG79" s="12" t="s">
        <v>977</v>
      </c>
    </row>
    <row r="80" customFormat="false" ht="43.5" hidden="false" customHeight="true" outlineLevel="0" collapsed="false">
      <c r="A80" s="12" t="n">
        <v>79</v>
      </c>
      <c r="B80" s="12" t="s">
        <v>994</v>
      </c>
      <c r="C80" s="12" t="s">
        <v>113</v>
      </c>
      <c r="D80" s="12" t="s">
        <v>259</v>
      </c>
      <c r="E80" s="12" t="s">
        <v>84</v>
      </c>
      <c r="F80" s="12" t="s">
        <v>151</v>
      </c>
      <c r="G80" s="12"/>
      <c r="H80" s="12" t="n">
        <v>158.99</v>
      </c>
      <c r="I80" s="12" t="n">
        <v>250</v>
      </c>
      <c r="J80" s="12" t="n">
        <v>63123</v>
      </c>
      <c r="K80" s="13" t="s">
        <v>995</v>
      </c>
      <c r="L80" s="12" t="s">
        <v>996</v>
      </c>
      <c r="M80" s="12" t="n">
        <v>65500</v>
      </c>
      <c r="N80" s="12" t="s">
        <v>997</v>
      </c>
      <c r="O80" s="13" t="s">
        <v>998</v>
      </c>
      <c r="P80" s="12" t="n">
        <v>63123</v>
      </c>
      <c r="Q80" s="12"/>
      <c r="R80" s="12"/>
      <c r="S80" s="12" t="s">
        <v>999</v>
      </c>
      <c r="T80" s="12"/>
      <c r="U80" s="12" t="n">
        <v>62600</v>
      </c>
      <c r="V80" s="12" t="s">
        <v>994</v>
      </c>
      <c r="W80" s="12" t="s">
        <v>1000</v>
      </c>
      <c r="X80" s="12" t="n">
        <v>23.8</v>
      </c>
      <c r="Y80" s="13" t="s">
        <v>1001</v>
      </c>
      <c r="Z80" s="13" t="s">
        <v>1002</v>
      </c>
      <c r="AA80" s="13"/>
      <c r="AB80" s="13" t="s">
        <v>1003</v>
      </c>
      <c r="AC80" s="12"/>
      <c r="AD80" s="12" t="s">
        <v>94</v>
      </c>
      <c r="AE80" s="13" t="s">
        <v>1004</v>
      </c>
      <c r="AF80" s="12" t="s">
        <v>1005</v>
      </c>
      <c r="AG80" s="12" t="s">
        <v>1006</v>
      </c>
    </row>
    <row r="81" customFormat="false" ht="43.5" hidden="false" customHeight="true" outlineLevel="0" collapsed="false">
      <c r="A81" s="12" t="n">
        <v>80</v>
      </c>
      <c r="B81" s="12" t="s">
        <v>1007</v>
      </c>
      <c r="C81" s="12" t="s">
        <v>142</v>
      </c>
      <c r="D81" s="12" t="s">
        <v>259</v>
      </c>
      <c r="E81" s="12" t="s">
        <v>170</v>
      </c>
      <c r="F81" s="12" t="s">
        <v>170</v>
      </c>
      <c r="G81" s="12"/>
      <c r="H81" s="12"/>
      <c r="I81" s="12"/>
      <c r="J81" s="12" t="n">
        <v>4325</v>
      </c>
      <c r="K81" s="13" t="s">
        <v>1008</v>
      </c>
      <c r="L81" s="12"/>
      <c r="M81" s="12" t="n">
        <v>4349</v>
      </c>
      <c r="N81" s="12" t="s">
        <v>1009</v>
      </c>
      <c r="O81" s="13" t="s">
        <v>1010</v>
      </c>
      <c r="P81" s="12"/>
      <c r="Q81" s="12"/>
      <c r="R81" s="12"/>
      <c r="S81" s="12"/>
      <c r="T81" s="12"/>
      <c r="U81" s="12"/>
      <c r="V81" s="12" t="s">
        <v>1007</v>
      </c>
      <c r="W81" s="12"/>
      <c r="X81" s="12"/>
      <c r="Y81" s="13" t="s">
        <v>1011</v>
      </c>
      <c r="Z81" s="13" t="s">
        <v>1012</v>
      </c>
      <c r="AA81" s="13"/>
      <c r="AB81" s="13"/>
      <c r="AC81" s="12"/>
      <c r="AD81" s="12" t="s">
        <v>312</v>
      </c>
      <c r="AE81" s="13" t="s">
        <v>1013</v>
      </c>
      <c r="AF81" s="12" t="s">
        <v>1014</v>
      </c>
      <c r="AG81" s="12" t="s">
        <v>1015</v>
      </c>
    </row>
    <row r="82" customFormat="false" ht="43.5" hidden="false" customHeight="true" outlineLevel="0" collapsed="false">
      <c r="A82" s="12" t="n">
        <v>81</v>
      </c>
      <c r="B82" s="12" t="s">
        <v>1016</v>
      </c>
      <c r="C82" s="12" t="s">
        <v>562</v>
      </c>
      <c r="D82" s="12" t="s">
        <v>259</v>
      </c>
      <c r="E82" s="12" t="s">
        <v>100</v>
      </c>
      <c r="F82" s="12" t="s">
        <v>101</v>
      </c>
      <c r="G82" s="12" t="n">
        <v>-1</v>
      </c>
      <c r="H82" s="12"/>
      <c r="I82" s="12" t="n">
        <v>25</v>
      </c>
      <c r="J82" s="12" t="n">
        <v>4.25</v>
      </c>
      <c r="K82" s="13" t="s">
        <v>1017</v>
      </c>
      <c r="L82" s="12"/>
      <c r="M82" s="12" t="n">
        <v>4.58</v>
      </c>
      <c r="N82" s="12"/>
      <c r="O82" s="13" t="s">
        <v>1018</v>
      </c>
      <c r="P82" s="12" t="n">
        <v>4.2</v>
      </c>
      <c r="Q82" s="12"/>
      <c r="R82" s="12"/>
      <c r="S82" s="12"/>
      <c r="T82" s="12"/>
      <c r="U82" s="12" t="n">
        <v>4.58</v>
      </c>
      <c r="V82" s="12" t="s">
        <v>1016</v>
      </c>
      <c r="W82" s="12" t="s">
        <v>1019</v>
      </c>
      <c r="X82" s="12" t="n">
        <v>5.8</v>
      </c>
      <c r="Y82" s="13" t="s">
        <v>1020</v>
      </c>
      <c r="Z82" s="13" t="s">
        <v>1021</v>
      </c>
      <c r="AA82" s="13"/>
      <c r="AB82" s="13"/>
      <c r="AC82" s="12"/>
      <c r="AD82" s="12" t="s">
        <v>94</v>
      </c>
      <c r="AE82" s="13" t="s">
        <v>1022</v>
      </c>
      <c r="AF82" s="12" t="s">
        <v>1023</v>
      </c>
      <c r="AG82" s="12" t="s">
        <v>1024</v>
      </c>
    </row>
    <row r="83" customFormat="false" ht="43.5" hidden="false" customHeight="true" outlineLevel="0" collapsed="false">
      <c r="A83" s="12" t="n">
        <v>82</v>
      </c>
      <c r="B83" s="12" t="s">
        <v>1025</v>
      </c>
      <c r="C83" s="12" t="s">
        <v>142</v>
      </c>
      <c r="D83" s="12" t="s">
        <v>83</v>
      </c>
      <c r="E83" s="12" t="s">
        <v>100</v>
      </c>
      <c r="F83" s="12" t="s">
        <v>101</v>
      </c>
      <c r="G83" s="12"/>
      <c r="H83" s="12"/>
      <c r="I83" s="12"/>
      <c r="J83" s="12" t="n">
        <v>4340</v>
      </c>
      <c r="K83" s="13" t="s">
        <v>1026</v>
      </c>
      <c r="L83" s="12"/>
      <c r="M83" s="12" t="n">
        <v>4330</v>
      </c>
      <c r="N83" s="12"/>
      <c r="O83" s="13" t="s">
        <v>1027</v>
      </c>
      <c r="P83" s="12"/>
      <c r="Q83" s="12"/>
      <c r="R83" s="12"/>
      <c r="S83" s="12"/>
      <c r="T83" s="12"/>
      <c r="U83" s="12"/>
      <c r="V83" s="12" t="s">
        <v>1025</v>
      </c>
      <c r="W83" s="12" t="s">
        <v>1028</v>
      </c>
      <c r="X83" s="12" t="n">
        <v>1.7</v>
      </c>
      <c r="Y83" s="13" t="s">
        <v>1029</v>
      </c>
      <c r="Z83" s="13" t="s">
        <v>1030</v>
      </c>
      <c r="AA83" s="13" t="s">
        <v>950</v>
      </c>
      <c r="AB83" s="13"/>
      <c r="AC83" s="12"/>
      <c r="AD83" s="12" t="s">
        <v>94</v>
      </c>
      <c r="AE83" s="13" t="s">
        <v>1031</v>
      </c>
      <c r="AF83" s="12" t="s">
        <v>1032</v>
      </c>
      <c r="AG83" s="12" t="s">
        <v>1033</v>
      </c>
    </row>
    <row r="84" customFormat="false" ht="43.5" hidden="false" customHeight="true" outlineLevel="0" collapsed="false">
      <c r="A84" s="12" t="n">
        <v>83</v>
      </c>
      <c r="B84" s="12" t="s">
        <v>1034</v>
      </c>
      <c r="C84" s="12" t="s">
        <v>113</v>
      </c>
      <c r="D84" s="12" t="s">
        <v>83</v>
      </c>
      <c r="E84" s="12" t="s">
        <v>84</v>
      </c>
      <c r="F84" s="12" t="s">
        <v>151</v>
      </c>
      <c r="G84" s="12"/>
      <c r="H84" s="12"/>
      <c r="I84" s="12"/>
      <c r="J84" s="12" t="n">
        <v>61400</v>
      </c>
      <c r="K84" s="13" t="s">
        <v>1035</v>
      </c>
      <c r="L84" s="12" t="s">
        <v>1036</v>
      </c>
      <c r="M84" s="12" t="n">
        <v>58500</v>
      </c>
      <c r="N84" s="12"/>
      <c r="O84" s="13" t="s">
        <v>1037</v>
      </c>
      <c r="P84" s="12" t="n">
        <v>61400</v>
      </c>
      <c r="Q84" s="12"/>
      <c r="R84" s="12"/>
      <c r="S84" s="12"/>
      <c r="T84" s="12"/>
      <c r="U84" s="12" t="n">
        <v>61600</v>
      </c>
      <c r="V84" s="12" t="s">
        <v>1034</v>
      </c>
      <c r="W84" s="12" t="s">
        <v>1038</v>
      </c>
      <c r="X84" s="12" t="n">
        <v>9.2</v>
      </c>
      <c r="Y84" s="13" t="s">
        <v>1039</v>
      </c>
      <c r="Z84" s="13" t="s">
        <v>1040</v>
      </c>
      <c r="AA84" s="13" t="s">
        <v>336</v>
      </c>
      <c r="AB84" s="13" t="s">
        <v>1041</v>
      </c>
      <c r="AC84" s="12"/>
      <c r="AD84" s="12" t="s">
        <v>94</v>
      </c>
      <c r="AE84" s="13" t="s">
        <v>1042</v>
      </c>
      <c r="AF84" s="12" t="s">
        <v>1043</v>
      </c>
      <c r="AG84" s="12" t="s">
        <v>1044</v>
      </c>
    </row>
    <row r="85" customFormat="false" ht="43.5" hidden="false" customHeight="true" outlineLevel="0" collapsed="false">
      <c r="A85" s="12" t="n">
        <v>84</v>
      </c>
      <c r="B85" s="12" t="s">
        <v>1045</v>
      </c>
      <c r="C85" s="12" t="s">
        <v>562</v>
      </c>
      <c r="D85" s="12" t="s">
        <v>259</v>
      </c>
      <c r="E85" s="12" t="s">
        <v>170</v>
      </c>
      <c r="F85" s="12" t="s">
        <v>170</v>
      </c>
      <c r="G85" s="12"/>
      <c r="H85" s="12"/>
      <c r="I85" s="12"/>
      <c r="J85" s="12" t="n">
        <v>4.7</v>
      </c>
      <c r="K85" s="13" t="s">
        <v>1046</v>
      </c>
      <c r="L85" s="12"/>
      <c r="M85" s="12" t="n">
        <v>5.1</v>
      </c>
      <c r="N85" s="12" t="s">
        <v>1047</v>
      </c>
      <c r="O85" s="13" t="s">
        <v>1048</v>
      </c>
      <c r="P85" s="12"/>
      <c r="Q85" s="12"/>
      <c r="R85" s="12"/>
      <c r="S85" s="12"/>
      <c r="T85" s="12"/>
      <c r="U85" s="12"/>
      <c r="V85" s="12" t="s">
        <v>1045</v>
      </c>
      <c r="W85" s="12"/>
      <c r="X85" s="12"/>
      <c r="Y85" s="13" t="s">
        <v>1049</v>
      </c>
      <c r="Z85" s="13" t="s">
        <v>1050</v>
      </c>
      <c r="AA85" s="13"/>
      <c r="AB85" s="13"/>
      <c r="AC85" s="12" t="s">
        <v>177</v>
      </c>
      <c r="AD85" s="12" t="s">
        <v>108</v>
      </c>
      <c r="AE85" s="13" t="s">
        <v>1051</v>
      </c>
      <c r="AF85" s="12" t="s">
        <v>1052</v>
      </c>
      <c r="AG85" s="12" t="s">
        <v>1053</v>
      </c>
    </row>
    <row r="86" customFormat="false" ht="43.5" hidden="false" customHeight="true" outlineLevel="0" collapsed="false">
      <c r="A86" s="12" t="n">
        <v>85</v>
      </c>
      <c r="B86" s="12" t="s">
        <v>1054</v>
      </c>
      <c r="C86" s="12" t="s">
        <v>1055</v>
      </c>
      <c r="D86" s="12" t="s">
        <v>259</v>
      </c>
      <c r="E86" s="12" t="s">
        <v>100</v>
      </c>
      <c r="F86" s="12" t="s">
        <v>101</v>
      </c>
      <c r="G86" s="12" t="n">
        <v>-1</v>
      </c>
      <c r="H86" s="12"/>
      <c r="I86" s="12" t="n">
        <v>100</v>
      </c>
      <c r="J86" s="12" t="n">
        <v>0.425</v>
      </c>
      <c r="K86" s="13" t="s">
        <v>1056</v>
      </c>
      <c r="L86" s="12" t="s">
        <v>1057</v>
      </c>
      <c r="M86" s="12" t="n">
        <v>0.468</v>
      </c>
      <c r="N86" s="12" t="s">
        <v>1058</v>
      </c>
      <c r="O86" s="13" t="s">
        <v>1059</v>
      </c>
      <c r="P86" s="12" t="n">
        <v>0.425</v>
      </c>
      <c r="Q86" s="12"/>
      <c r="R86" s="12"/>
      <c r="S86" s="12" t="s">
        <v>1060</v>
      </c>
      <c r="T86" s="12"/>
      <c r="U86" s="12" t="n">
        <v>0.468</v>
      </c>
      <c r="V86" s="12" t="s">
        <v>1054</v>
      </c>
      <c r="W86" s="12" t="s">
        <v>1061</v>
      </c>
      <c r="X86" s="12" t="n">
        <v>56.9</v>
      </c>
      <c r="Y86" s="13" t="s">
        <v>1062</v>
      </c>
      <c r="Z86" s="13" t="s">
        <v>1063</v>
      </c>
      <c r="AA86" s="13"/>
      <c r="AB86" s="13" t="s">
        <v>1064</v>
      </c>
      <c r="AC86" s="12"/>
      <c r="AD86" s="12" t="s">
        <v>94</v>
      </c>
      <c r="AE86" s="13" t="s">
        <v>1065</v>
      </c>
      <c r="AF86" s="12" t="s">
        <v>1066</v>
      </c>
      <c r="AG86" s="12" t="s">
        <v>1067</v>
      </c>
    </row>
    <row r="87" customFormat="false" ht="43.5" hidden="false" customHeight="true" outlineLevel="0" collapsed="false">
      <c r="A87" s="12" t="n">
        <v>86</v>
      </c>
      <c r="B87" s="12" t="s">
        <v>1068</v>
      </c>
      <c r="C87" s="12" t="s">
        <v>113</v>
      </c>
      <c r="D87" s="12" t="s">
        <v>83</v>
      </c>
      <c r="E87" s="12" t="s">
        <v>84</v>
      </c>
      <c r="F87" s="12" t="s">
        <v>151</v>
      </c>
      <c r="G87" s="12"/>
      <c r="H87" s="12"/>
      <c r="I87" s="12" t="n">
        <v>150</v>
      </c>
      <c r="J87" s="12" t="n">
        <v>61100</v>
      </c>
      <c r="K87" s="13" t="s">
        <v>1069</v>
      </c>
      <c r="L87" s="12" t="s">
        <v>1070</v>
      </c>
      <c r="M87" s="12" t="n">
        <v>58500</v>
      </c>
      <c r="N87" s="12" t="s">
        <v>1071</v>
      </c>
      <c r="O87" s="13" t="s">
        <v>1072</v>
      </c>
      <c r="P87" s="12" t="n">
        <v>61100</v>
      </c>
      <c r="Q87" s="12"/>
      <c r="R87" s="12"/>
      <c r="S87" s="12" t="s">
        <v>1073</v>
      </c>
      <c r="T87" s="12" t="s">
        <v>1074</v>
      </c>
      <c r="U87" s="12" t="n">
        <v>62700</v>
      </c>
      <c r="V87" s="12" t="s">
        <v>1068</v>
      </c>
      <c r="W87" s="12" t="s">
        <v>1075</v>
      </c>
      <c r="X87" s="12" t="n">
        <v>7.1</v>
      </c>
      <c r="Y87" s="13" t="s">
        <v>1076</v>
      </c>
      <c r="Z87" s="13" t="s">
        <v>1077</v>
      </c>
      <c r="AA87" s="13" t="s">
        <v>1078</v>
      </c>
      <c r="AB87" s="13" t="s">
        <v>1079</v>
      </c>
      <c r="AC87" s="12"/>
      <c r="AD87" s="12" t="s">
        <v>94</v>
      </c>
      <c r="AE87" s="13" t="s">
        <v>1080</v>
      </c>
      <c r="AF87" s="12" t="s">
        <v>1081</v>
      </c>
      <c r="AG87" s="12" t="s">
        <v>1082</v>
      </c>
    </row>
    <row r="88" customFormat="false" ht="43.5" hidden="false" customHeight="true" outlineLevel="0" collapsed="false">
      <c r="A88" s="12" t="n">
        <v>87</v>
      </c>
      <c r="B88" s="12" t="s">
        <v>1083</v>
      </c>
      <c r="C88" s="12" t="s">
        <v>1084</v>
      </c>
      <c r="D88" s="12" t="s">
        <v>83</v>
      </c>
      <c r="E88" s="12" t="s">
        <v>84</v>
      </c>
      <c r="F88" s="12" t="s">
        <v>151</v>
      </c>
      <c r="G88" s="12" t="n">
        <v>0.8</v>
      </c>
      <c r="H88" s="12" t="n">
        <v>216.11</v>
      </c>
      <c r="I88" s="12" t="n">
        <v>75</v>
      </c>
      <c r="J88" s="12" t="n">
        <v>5.14</v>
      </c>
      <c r="K88" s="13" t="s">
        <v>388</v>
      </c>
      <c r="L88" s="12" t="s">
        <v>1085</v>
      </c>
      <c r="M88" s="12" t="n">
        <v>4.8</v>
      </c>
      <c r="N88" s="12" t="s">
        <v>1086</v>
      </c>
      <c r="O88" s="13" t="s">
        <v>1087</v>
      </c>
      <c r="P88" s="12"/>
      <c r="Q88" s="12" t="s">
        <v>1088</v>
      </c>
      <c r="R88" s="12"/>
      <c r="S88" s="12"/>
      <c r="T88" s="12" t="s">
        <v>1089</v>
      </c>
      <c r="U88" s="12" t="n">
        <v>5.28</v>
      </c>
      <c r="V88" s="12" t="s">
        <v>1083</v>
      </c>
      <c r="W88" s="12" t="s">
        <v>1090</v>
      </c>
      <c r="X88" s="12" t="n">
        <v>19.1</v>
      </c>
      <c r="Y88" s="13" t="s">
        <v>1091</v>
      </c>
      <c r="Z88" s="13" t="s">
        <v>1092</v>
      </c>
      <c r="AA88" s="13"/>
      <c r="AB88" s="13"/>
      <c r="AC88" s="12"/>
      <c r="AD88" s="12" t="s">
        <v>94</v>
      </c>
      <c r="AE88" s="13" t="s">
        <v>1093</v>
      </c>
      <c r="AF88" s="12" t="s">
        <v>1094</v>
      </c>
      <c r="AG88" s="12" t="s">
        <v>1095</v>
      </c>
    </row>
    <row r="89" customFormat="false" ht="43.5" hidden="false" customHeight="true" outlineLevel="0" collapsed="false">
      <c r="A89" s="12" t="n">
        <v>88</v>
      </c>
      <c r="B89" s="12" t="s">
        <v>1096</v>
      </c>
      <c r="C89" s="12" t="s">
        <v>527</v>
      </c>
      <c r="D89" s="12" t="s">
        <v>83</v>
      </c>
      <c r="E89" s="12" t="s">
        <v>100</v>
      </c>
      <c r="F89" s="12" t="s">
        <v>101</v>
      </c>
      <c r="G89" s="12"/>
      <c r="H89" s="12"/>
      <c r="I89" s="12"/>
      <c r="J89" s="12" t="n">
        <v>0.515</v>
      </c>
      <c r="K89" s="13" t="s">
        <v>388</v>
      </c>
      <c r="L89" s="12"/>
      <c r="M89" s="12" t="n">
        <v>0.45</v>
      </c>
      <c r="N89" s="12" t="s">
        <v>1097</v>
      </c>
      <c r="O89" s="13" t="s">
        <v>1098</v>
      </c>
      <c r="P89" s="12" t="n">
        <v>0.484</v>
      </c>
      <c r="Q89" s="12" t="s">
        <v>1099</v>
      </c>
      <c r="R89" s="12"/>
      <c r="S89" s="12"/>
      <c r="T89" s="12"/>
      <c r="U89" s="12" t="n">
        <v>0.45</v>
      </c>
      <c r="V89" s="12" t="s">
        <v>1096</v>
      </c>
      <c r="W89" s="12" t="s">
        <v>1100</v>
      </c>
      <c r="X89" s="12" t="n">
        <v>2.7</v>
      </c>
      <c r="Y89" s="13" t="s">
        <v>1101</v>
      </c>
      <c r="Z89" s="13" t="s">
        <v>1102</v>
      </c>
      <c r="AA89" s="13"/>
      <c r="AB89" s="13" t="s">
        <v>1103</v>
      </c>
      <c r="AC89" s="12"/>
      <c r="AD89" s="12" t="s">
        <v>94</v>
      </c>
      <c r="AE89" s="13" t="s">
        <v>1104</v>
      </c>
      <c r="AF89" s="12" t="s">
        <v>1105</v>
      </c>
      <c r="AG89" s="12" t="s">
        <v>1106</v>
      </c>
    </row>
    <row r="90" customFormat="false" ht="43.5" hidden="false" customHeight="true" outlineLevel="0" collapsed="false">
      <c r="A90" s="12" t="n">
        <v>89</v>
      </c>
      <c r="B90" s="12" t="s">
        <v>1107</v>
      </c>
      <c r="C90" s="12" t="s">
        <v>113</v>
      </c>
      <c r="D90" s="12" t="s">
        <v>83</v>
      </c>
      <c r="E90" s="12" t="s">
        <v>84</v>
      </c>
      <c r="F90" s="12" t="s">
        <v>151</v>
      </c>
      <c r="G90" s="12"/>
      <c r="H90" s="12" t="n">
        <v>363.9</v>
      </c>
      <c r="I90" s="12" t="n">
        <v>250</v>
      </c>
      <c r="J90" s="12" t="n">
        <v>62200</v>
      </c>
      <c r="K90" s="13" t="s">
        <v>1108</v>
      </c>
      <c r="L90" s="12" t="s">
        <v>1109</v>
      </c>
      <c r="M90" s="12" t="n">
        <v>59000</v>
      </c>
      <c r="N90" s="12" t="s">
        <v>1110</v>
      </c>
      <c r="O90" s="13" t="s">
        <v>1111</v>
      </c>
      <c r="P90" s="12" t="n">
        <v>62200</v>
      </c>
      <c r="Q90" s="12"/>
      <c r="R90" s="12" t="s">
        <v>1112</v>
      </c>
      <c r="S90" s="12" t="s">
        <v>1113</v>
      </c>
      <c r="T90" s="12" t="s">
        <v>1114</v>
      </c>
      <c r="U90" s="12" t="n">
        <v>63800</v>
      </c>
      <c r="V90" s="12" t="s">
        <v>1107</v>
      </c>
      <c r="W90" s="12" t="s">
        <v>1115</v>
      </c>
      <c r="X90" s="12" t="n">
        <v>26.6</v>
      </c>
      <c r="Y90" s="13" t="s">
        <v>1116</v>
      </c>
      <c r="Z90" s="13" t="s">
        <v>1117</v>
      </c>
      <c r="AA90" s="13" t="s">
        <v>224</v>
      </c>
      <c r="AB90" s="13" t="s">
        <v>1118</v>
      </c>
      <c r="AC90" s="12"/>
      <c r="AD90" s="12" t="s">
        <v>94</v>
      </c>
      <c r="AE90" s="13" t="s">
        <v>1119</v>
      </c>
      <c r="AF90" s="12" t="s">
        <v>1120</v>
      </c>
      <c r="AG90" s="12" t="s">
        <v>1121</v>
      </c>
    </row>
    <row r="91" customFormat="false" ht="43.5" hidden="false" customHeight="true" outlineLevel="0" collapsed="false">
      <c r="A91" s="12" t="n">
        <v>90</v>
      </c>
      <c r="B91" s="12" t="s">
        <v>1122</v>
      </c>
      <c r="C91" s="12" t="s">
        <v>317</v>
      </c>
      <c r="D91" s="12" t="s">
        <v>83</v>
      </c>
      <c r="E91" s="12" t="s">
        <v>84</v>
      </c>
      <c r="F91" s="12" t="s">
        <v>151</v>
      </c>
      <c r="G91" s="12" t="n">
        <v>1.5</v>
      </c>
      <c r="H91" s="12" t="n">
        <v>778.04</v>
      </c>
      <c r="I91" s="12" t="n">
        <v>125</v>
      </c>
      <c r="J91" s="12" t="n">
        <v>63.2</v>
      </c>
      <c r="K91" s="13" t="s">
        <v>1123</v>
      </c>
      <c r="L91" s="12"/>
      <c r="M91" s="12" t="n">
        <v>60</v>
      </c>
      <c r="N91" s="12" t="s">
        <v>1124</v>
      </c>
      <c r="O91" s="13" t="s">
        <v>1125</v>
      </c>
      <c r="P91" s="12" t="n">
        <v>63.3</v>
      </c>
      <c r="Q91" s="12"/>
      <c r="R91" s="12" t="s">
        <v>1126</v>
      </c>
      <c r="S91" s="12"/>
      <c r="T91" s="12"/>
      <c r="U91" s="12" t="n">
        <v>67.24</v>
      </c>
      <c r="V91" s="12" t="s">
        <v>1122</v>
      </c>
      <c r="W91" s="12" t="s">
        <v>1127</v>
      </c>
      <c r="X91" s="12" t="n">
        <v>19.5</v>
      </c>
      <c r="Y91" s="13" t="s">
        <v>1128</v>
      </c>
      <c r="Z91" s="13" t="s">
        <v>1129</v>
      </c>
      <c r="AA91" s="13"/>
      <c r="AB91" s="13"/>
      <c r="AC91" s="12"/>
      <c r="AD91" s="12" t="s">
        <v>108</v>
      </c>
      <c r="AE91" s="13" t="s">
        <v>1130</v>
      </c>
      <c r="AF91" s="12" t="s">
        <v>1131</v>
      </c>
      <c r="AG91" s="12" t="s">
        <v>1132</v>
      </c>
    </row>
    <row r="92" customFormat="false" ht="43.5" hidden="false" customHeight="true" outlineLevel="0" collapsed="false">
      <c r="A92" s="12" t="n">
        <v>91</v>
      </c>
      <c r="B92" s="12" t="s">
        <v>1133</v>
      </c>
      <c r="C92" s="12" t="s">
        <v>113</v>
      </c>
      <c r="D92" s="12" t="s">
        <v>83</v>
      </c>
      <c r="E92" s="12" t="s">
        <v>84</v>
      </c>
      <c r="F92" s="12" t="s">
        <v>151</v>
      </c>
      <c r="G92" s="12"/>
      <c r="H92" s="12" t="n">
        <v>305.06</v>
      </c>
      <c r="I92" s="12" t="n">
        <v>250</v>
      </c>
      <c r="J92" s="12" t="n">
        <v>63400</v>
      </c>
      <c r="K92" s="13" t="s">
        <v>1134</v>
      </c>
      <c r="L92" s="12"/>
      <c r="M92" s="12" t="n">
        <v>60500</v>
      </c>
      <c r="N92" s="12" t="s">
        <v>1135</v>
      </c>
      <c r="O92" s="13" t="s">
        <v>1136</v>
      </c>
      <c r="P92" s="12" t="n">
        <v>63477.6</v>
      </c>
      <c r="Q92" s="12"/>
      <c r="R92" s="12"/>
      <c r="S92" s="12"/>
      <c r="T92" s="12"/>
      <c r="U92" s="12" t="n">
        <v>64252.2</v>
      </c>
      <c r="V92" s="12" t="s">
        <v>1133</v>
      </c>
      <c r="W92" s="12" t="s">
        <v>1137</v>
      </c>
      <c r="X92" s="12" t="n">
        <v>6.5</v>
      </c>
      <c r="Y92" s="13" t="s">
        <v>1138</v>
      </c>
      <c r="Z92" s="13" t="s">
        <v>1139</v>
      </c>
      <c r="AA92" s="13"/>
      <c r="AB92" s="13" t="s">
        <v>1140</v>
      </c>
      <c r="AC92" s="12"/>
      <c r="AD92" s="12" t="s">
        <v>108</v>
      </c>
      <c r="AE92" s="13" t="s">
        <v>1141</v>
      </c>
      <c r="AF92" s="12" t="s">
        <v>1142</v>
      </c>
      <c r="AG92" s="12" t="s">
        <v>1143</v>
      </c>
    </row>
    <row r="93" customFormat="false" ht="43.5" hidden="false" customHeight="true" outlineLevel="0" collapsed="false">
      <c r="A93" s="12" t="n">
        <v>92</v>
      </c>
      <c r="B93" s="12" t="s">
        <v>1144</v>
      </c>
      <c r="C93" s="12" t="s">
        <v>113</v>
      </c>
      <c r="D93" s="12" t="s">
        <v>83</v>
      </c>
      <c r="E93" s="12" t="s">
        <v>84</v>
      </c>
      <c r="F93" s="12" t="s">
        <v>151</v>
      </c>
      <c r="G93" s="12"/>
      <c r="H93" s="12" t="n">
        <v>228.9</v>
      </c>
      <c r="I93" s="12" t="n">
        <v>250</v>
      </c>
      <c r="J93" s="12" t="n">
        <v>63500</v>
      </c>
      <c r="K93" s="13" t="s">
        <v>1145</v>
      </c>
      <c r="L93" s="12"/>
      <c r="M93" s="12" t="n">
        <v>61500</v>
      </c>
      <c r="N93" s="12" t="s">
        <v>1146</v>
      </c>
      <c r="O93" s="13" t="s">
        <v>1147</v>
      </c>
      <c r="P93" s="12" t="n">
        <v>63500</v>
      </c>
      <c r="Q93" s="12"/>
      <c r="R93" s="12"/>
      <c r="S93" s="12"/>
      <c r="T93" s="12" t="s">
        <v>1148</v>
      </c>
      <c r="U93" s="12" t="n">
        <v>64200</v>
      </c>
      <c r="V93" s="12" t="s">
        <v>1144</v>
      </c>
      <c r="W93" s="12" t="s">
        <v>1149</v>
      </c>
      <c r="X93" s="12" t="n">
        <v>18</v>
      </c>
      <c r="Y93" s="13" t="s">
        <v>1150</v>
      </c>
      <c r="Z93" s="13" t="s">
        <v>1151</v>
      </c>
      <c r="AA93" s="13" t="s">
        <v>224</v>
      </c>
      <c r="AB93" s="13" t="s">
        <v>1152</v>
      </c>
      <c r="AC93" s="12"/>
      <c r="AD93" s="12" t="s">
        <v>94</v>
      </c>
      <c r="AE93" s="13" t="s">
        <v>1153</v>
      </c>
      <c r="AF93" s="12" t="s">
        <v>1154</v>
      </c>
      <c r="AG93" s="12" t="s">
        <v>1155</v>
      </c>
    </row>
    <row r="94" customFormat="false" ht="43.5" hidden="false" customHeight="true" outlineLevel="0" collapsed="false">
      <c r="A94" s="12" t="n">
        <v>93</v>
      </c>
      <c r="B94" s="12" t="s">
        <v>1156</v>
      </c>
      <c r="C94" s="12" t="s">
        <v>685</v>
      </c>
      <c r="D94" s="12" t="s">
        <v>83</v>
      </c>
      <c r="E94" s="12" t="s">
        <v>84</v>
      </c>
      <c r="F94" s="12" t="s">
        <v>151</v>
      </c>
      <c r="G94" s="12"/>
      <c r="H94" s="12" t="n">
        <v>91.99</v>
      </c>
      <c r="I94" s="12" t="n">
        <v>90</v>
      </c>
      <c r="J94" s="12" t="n">
        <v>1.76</v>
      </c>
      <c r="K94" s="13" t="s">
        <v>1157</v>
      </c>
      <c r="L94" s="12"/>
      <c r="M94" s="12" t="n">
        <v>1.6</v>
      </c>
      <c r="N94" s="12" t="s">
        <v>1158</v>
      </c>
      <c r="O94" s="13" t="s">
        <v>1159</v>
      </c>
      <c r="P94" s="12" t="n">
        <v>1.761</v>
      </c>
      <c r="Q94" s="12"/>
      <c r="R94" s="12" t="s">
        <v>1160</v>
      </c>
      <c r="S94" s="12"/>
      <c r="T94" s="12"/>
      <c r="U94" s="12" t="n">
        <v>1.779</v>
      </c>
      <c r="V94" s="12" t="s">
        <v>1156</v>
      </c>
      <c r="W94" s="12" t="s">
        <v>1161</v>
      </c>
      <c r="X94" s="12" t="n">
        <v>37.9</v>
      </c>
      <c r="Y94" s="13" t="s">
        <v>1162</v>
      </c>
      <c r="Z94" s="13" t="s">
        <v>1163</v>
      </c>
      <c r="AA94" s="13"/>
      <c r="AB94" s="13" t="s">
        <v>1164</v>
      </c>
      <c r="AC94" s="12"/>
      <c r="AD94" s="12" t="s">
        <v>94</v>
      </c>
      <c r="AE94" s="13" t="s">
        <v>1165</v>
      </c>
      <c r="AF94" s="12" t="s">
        <v>1166</v>
      </c>
      <c r="AG94" s="12" t="s">
        <v>1167</v>
      </c>
    </row>
    <row r="95" customFormat="false" ht="43.5" hidden="false" customHeight="true" outlineLevel="0" collapsed="false">
      <c r="A95" s="12" t="n">
        <v>94</v>
      </c>
      <c r="B95" s="12" t="s">
        <v>1168</v>
      </c>
      <c r="C95" s="12" t="s">
        <v>1169</v>
      </c>
      <c r="D95" s="12" t="s">
        <v>83</v>
      </c>
      <c r="E95" s="12" t="s">
        <v>84</v>
      </c>
      <c r="F95" s="12" t="s">
        <v>151</v>
      </c>
      <c r="G95" s="12"/>
      <c r="H95" s="12" t="n">
        <v>292.53</v>
      </c>
      <c r="I95" s="12" t="n">
        <v>75</v>
      </c>
      <c r="J95" s="12" t="n">
        <v>0.039</v>
      </c>
      <c r="K95" s="13" t="s">
        <v>1170</v>
      </c>
      <c r="L95" s="12"/>
      <c r="M95" s="12" t="n">
        <v>0.0363</v>
      </c>
      <c r="N95" s="12" t="s">
        <v>1171</v>
      </c>
      <c r="O95" s="13"/>
      <c r="P95" s="12" t="n">
        <v>0.0391</v>
      </c>
      <c r="Q95" s="12"/>
      <c r="R95" s="12"/>
      <c r="S95" s="12"/>
      <c r="T95" s="12"/>
      <c r="U95" s="12" t="n">
        <v>0.392</v>
      </c>
      <c r="V95" s="12" t="s">
        <v>1168</v>
      </c>
      <c r="W95" s="12" t="s">
        <v>1172</v>
      </c>
      <c r="X95" s="12" t="n">
        <v>18.4</v>
      </c>
      <c r="Y95" s="13" t="s">
        <v>1173</v>
      </c>
      <c r="Z95" s="13" t="s">
        <v>1174</v>
      </c>
      <c r="AA95" s="13"/>
      <c r="AB95" s="13" t="s">
        <v>1175</v>
      </c>
      <c r="AC95" s="12"/>
      <c r="AD95" s="12" t="s">
        <v>108</v>
      </c>
      <c r="AE95" s="13" t="s">
        <v>1176</v>
      </c>
      <c r="AF95" s="12" t="s">
        <v>1177</v>
      </c>
      <c r="AG95" s="12" t="s">
        <v>1178</v>
      </c>
    </row>
    <row r="96" customFormat="false" ht="43.5" hidden="false" customHeight="true" outlineLevel="0" collapsed="false">
      <c r="A96" s="12" t="n">
        <v>95</v>
      </c>
      <c r="B96" s="12" t="s">
        <v>1179</v>
      </c>
      <c r="C96" s="12" t="s">
        <v>1180</v>
      </c>
      <c r="D96" s="12" t="s">
        <v>259</v>
      </c>
      <c r="E96" s="12" t="s">
        <v>84</v>
      </c>
      <c r="F96" s="12" t="s">
        <v>170</v>
      </c>
      <c r="G96" s="12"/>
      <c r="H96" s="12" t="n">
        <v>450.98</v>
      </c>
      <c r="I96" s="12" t="n">
        <v>100</v>
      </c>
      <c r="J96" s="12"/>
      <c r="K96" s="13"/>
      <c r="L96" s="12"/>
      <c r="M96" s="12"/>
      <c r="N96" s="12"/>
      <c r="O96" s="13"/>
      <c r="P96" s="12"/>
      <c r="Q96" s="12"/>
      <c r="R96" s="12"/>
      <c r="S96" s="12"/>
      <c r="T96" s="12"/>
      <c r="U96" s="12"/>
      <c r="V96" s="12"/>
      <c r="W96" s="12" t="s">
        <v>1179</v>
      </c>
      <c r="X96" s="12"/>
      <c r="Y96" s="13" t="s">
        <v>1181</v>
      </c>
      <c r="Z96" s="13" t="s">
        <v>1182</v>
      </c>
      <c r="AA96" s="13"/>
      <c r="AB96" s="13"/>
      <c r="AC96" s="12"/>
      <c r="AD96" s="12" t="s">
        <v>108</v>
      </c>
      <c r="AE96" s="13" t="s">
        <v>1183</v>
      </c>
      <c r="AF96" s="12" t="s">
        <v>1184</v>
      </c>
      <c r="AG96" s="12" t="s">
        <v>1185</v>
      </c>
    </row>
    <row r="97" customFormat="false" ht="43.5" hidden="false" customHeight="true" outlineLevel="0" collapsed="false">
      <c r="A97" s="12" t="n">
        <v>96</v>
      </c>
      <c r="B97" s="12" t="s">
        <v>1186</v>
      </c>
      <c r="C97" s="12" t="s">
        <v>1187</v>
      </c>
      <c r="D97" s="12" t="s">
        <v>83</v>
      </c>
      <c r="E97" s="12" t="s">
        <v>143</v>
      </c>
      <c r="F97" s="12" t="s">
        <v>143</v>
      </c>
      <c r="G97" s="12"/>
      <c r="H97" s="12"/>
      <c r="I97" s="12"/>
      <c r="J97" s="12"/>
      <c r="K97" s="13"/>
      <c r="L97" s="12"/>
      <c r="M97" s="12"/>
      <c r="N97" s="12"/>
      <c r="O97" s="13"/>
      <c r="P97" s="12"/>
      <c r="Q97" s="12"/>
      <c r="R97" s="12"/>
      <c r="S97" s="12"/>
      <c r="T97" s="12"/>
      <c r="U97" s="12"/>
      <c r="V97" s="12"/>
      <c r="W97" s="12"/>
      <c r="X97" s="12"/>
      <c r="Y97" s="13" t="s">
        <v>1188</v>
      </c>
      <c r="Z97" s="13" t="s">
        <v>1189</v>
      </c>
      <c r="AA97" s="13" t="s">
        <v>1190</v>
      </c>
      <c r="AB97" s="13"/>
      <c r="AC97" s="12"/>
      <c r="AD97" s="12" t="s">
        <v>108</v>
      </c>
      <c r="AE97" s="13" t="s">
        <v>1191</v>
      </c>
      <c r="AF97" s="12" t="s">
        <v>1192</v>
      </c>
      <c r="AG97" s="12" t="s">
        <v>1193</v>
      </c>
    </row>
    <row r="98" customFormat="false" ht="43.5" hidden="false" customHeight="true" outlineLevel="0" collapsed="false">
      <c r="A98" s="12" t="n">
        <v>97</v>
      </c>
      <c r="B98" s="12" t="s">
        <v>1194</v>
      </c>
      <c r="C98" s="12" t="s">
        <v>113</v>
      </c>
      <c r="D98" s="12" t="s">
        <v>259</v>
      </c>
      <c r="E98" s="12" t="s">
        <v>84</v>
      </c>
      <c r="F98" s="12" t="s">
        <v>85</v>
      </c>
      <c r="G98" s="12" t="n">
        <v>0.5</v>
      </c>
      <c r="H98" s="12" t="n">
        <v>160.49</v>
      </c>
      <c r="I98" s="12" t="n">
        <v>250</v>
      </c>
      <c r="J98" s="12" t="n">
        <v>66000</v>
      </c>
      <c r="K98" s="13" t="s">
        <v>1195</v>
      </c>
      <c r="L98" s="12"/>
      <c r="M98" s="12" t="n">
        <v>68000</v>
      </c>
      <c r="N98" s="12"/>
      <c r="O98" s="13" t="s">
        <v>1196</v>
      </c>
      <c r="P98" s="12" t="n">
        <v>66200</v>
      </c>
      <c r="Q98" s="12" t="s">
        <v>1197</v>
      </c>
      <c r="R98" s="12"/>
      <c r="S98" s="12" t="s">
        <v>1198</v>
      </c>
      <c r="T98" s="12"/>
      <c r="U98" s="12"/>
      <c r="V98" s="12" t="s">
        <v>1199</v>
      </c>
      <c r="W98" s="12" t="s">
        <v>1200</v>
      </c>
      <c r="X98" s="12" t="n">
        <v>27</v>
      </c>
      <c r="Y98" s="13" t="s">
        <v>1201</v>
      </c>
      <c r="Z98" s="13" t="s">
        <v>1202</v>
      </c>
      <c r="AA98" s="13"/>
      <c r="AB98" s="13" t="s">
        <v>1203</v>
      </c>
      <c r="AC98" s="12"/>
      <c r="AD98" s="12" t="s">
        <v>94</v>
      </c>
      <c r="AE98" s="13" t="s">
        <v>1204</v>
      </c>
      <c r="AF98" s="12" t="s">
        <v>1205</v>
      </c>
      <c r="AG98" s="12" t="s">
        <v>1206</v>
      </c>
    </row>
    <row r="99" customFormat="false" ht="43.5" hidden="false" customHeight="true" outlineLevel="0" collapsed="false">
      <c r="A99" s="12" t="n">
        <v>98</v>
      </c>
      <c r="B99" s="12" t="s">
        <v>1207</v>
      </c>
      <c r="C99" s="12" t="s">
        <v>476</v>
      </c>
      <c r="D99" s="12" t="s">
        <v>259</v>
      </c>
      <c r="E99" s="12" t="s">
        <v>143</v>
      </c>
      <c r="F99" s="12" t="s">
        <v>143</v>
      </c>
      <c r="G99" s="12"/>
      <c r="H99" s="12"/>
      <c r="I99" s="12"/>
      <c r="J99" s="12" t="n">
        <v>530</v>
      </c>
      <c r="K99" s="13" t="s">
        <v>1208</v>
      </c>
      <c r="L99" s="12"/>
      <c r="M99" s="12" t="n">
        <v>550</v>
      </c>
      <c r="N99" s="12" t="s">
        <v>1209</v>
      </c>
      <c r="O99" s="13" t="s">
        <v>1210</v>
      </c>
      <c r="P99" s="12"/>
      <c r="Q99" s="12"/>
      <c r="R99" s="12" t="s">
        <v>1211</v>
      </c>
      <c r="S99" s="12" t="s">
        <v>1212</v>
      </c>
      <c r="T99" s="12"/>
      <c r="U99" s="12"/>
      <c r="V99" s="12"/>
      <c r="W99" s="12"/>
      <c r="X99" s="12"/>
      <c r="Y99" s="13" t="s">
        <v>1213</v>
      </c>
      <c r="Z99" s="13" t="s">
        <v>1214</v>
      </c>
      <c r="AA99" s="13"/>
      <c r="AB99" s="13"/>
      <c r="AC99" s="12"/>
      <c r="AD99" s="12" t="s">
        <v>94</v>
      </c>
      <c r="AE99" s="13" t="s">
        <v>1215</v>
      </c>
      <c r="AF99" s="12" t="s">
        <v>1216</v>
      </c>
      <c r="AG99" s="12" t="s">
        <v>1217</v>
      </c>
    </row>
    <row r="100" customFormat="false" ht="43.5" hidden="false" customHeight="true" outlineLevel="0" collapsed="false">
      <c r="A100" s="12" t="n">
        <v>99</v>
      </c>
      <c r="B100" s="12" t="s">
        <v>1218</v>
      </c>
      <c r="C100" s="12" t="s">
        <v>1219</v>
      </c>
      <c r="D100" s="12" t="s">
        <v>83</v>
      </c>
      <c r="E100" s="12" t="s">
        <v>170</v>
      </c>
      <c r="F100" s="12" t="s">
        <v>170</v>
      </c>
      <c r="G100" s="12"/>
      <c r="H100" s="12"/>
      <c r="I100" s="12"/>
      <c r="J100" s="12" t="n">
        <v>357</v>
      </c>
      <c r="K100" s="13" t="s">
        <v>388</v>
      </c>
      <c r="L100" s="12"/>
      <c r="M100" s="12" t="n">
        <v>320</v>
      </c>
      <c r="N100" s="12" t="s">
        <v>1220</v>
      </c>
      <c r="O100" s="13" t="s">
        <v>1221</v>
      </c>
      <c r="P100" s="12"/>
      <c r="Q100" s="12"/>
      <c r="R100" s="12"/>
      <c r="S100" s="12" t="s">
        <v>1222</v>
      </c>
      <c r="T100" s="12"/>
      <c r="U100" s="12"/>
      <c r="V100" s="12" t="s">
        <v>1218</v>
      </c>
      <c r="W100" s="12"/>
      <c r="X100" s="12"/>
      <c r="Y100" s="13" t="s">
        <v>1223</v>
      </c>
      <c r="Z100" s="13" t="s">
        <v>1224</v>
      </c>
      <c r="AA100" s="13" t="s">
        <v>191</v>
      </c>
      <c r="AB100" s="13"/>
      <c r="AC100" s="12"/>
      <c r="AD100" s="12" t="s">
        <v>312</v>
      </c>
      <c r="AE100" s="13" t="s">
        <v>1225</v>
      </c>
      <c r="AF100" s="12" t="s">
        <v>1226</v>
      </c>
      <c r="AG100" s="12" t="s">
        <v>1227</v>
      </c>
    </row>
    <row r="101" customFormat="false" ht="43.5" hidden="false" customHeight="true" outlineLevel="0" collapsed="false">
      <c r="A101" s="12" t="n">
        <v>100</v>
      </c>
      <c r="B101" s="12" t="s">
        <v>1228</v>
      </c>
      <c r="C101" s="12" t="s">
        <v>527</v>
      </c>
      <c r="D101" s="12" t="s">
        <v>83</v>
      </c>
      <c r="E101" s="12" t="s">
        <v>170</v>
      </c>
      <c r="F101" s="12" t="s">
        <v>170</v>
      </c>
      <c r="G101" s="12"/>
      <c r="H101" s="12"/>
      <c r="I101" s="12" t="n">
        <v>75</v>
      </c>
      <c r="J101" s="12" t="n">
        <v>0.653</v>
      </c>
      <c r="K101" s="13" t="s">
        <v>1229</v>
      </c>
      <c r="L101" s="12" t="s">
        <v>1230</v>
      </c>
      <c r="M101" s="12" t="n">
        <v>0.5646</v>
      </c>
      <c r="N101" s="12" t="s">
        <v>1231</v>
      </c>
      <c r="O101" s="13" t="s">
        <v>1232</v>
      </c>
      <c r="P101" s="12" t="n">
        <v>0.6545</v>
      </c>
      <c r="Q101" s="12"/>
      <c r="R101" s="12" t="s">
        <v>1233</v>
      </c>
      <c r="S101" s="12"/>
      <c r="T101" s="12"/>
      <c r="U101" s="12"/>
      <c r="V101" s="12" t="s">
        <v>1228</v>
      </c>
      <c r="W101" s="12"/>
      <c r="X101" s="12"/>
      <c r="Y101" s="13" t="s">
        <v>1234</v>
      </c>
      <c r="Z101" s="13" t="s">
        <v>1235</v>
      </c>
      <c r="AA101" s="13"/>
      <c r="AB101" s="13" t="s">
        <v>1236</v>
      </c>
      <c r="AC101" s="12"/>
      <c r="AD101" s="12" t="s">
        <v>312</v>
      </c>
      <c r="AE101" s="13" t="s">
        <v>1237</v>
      </c>
      <c r="AF101" s="12" t="s">
        <v>1238</v>
      </c>
      <c r="AG101" s="12" t="s">
        <v>1239</v>
      </c>
    </row>
    <row r="102" customFormat="false" ht="43.5" hidden="false" customHeight="true" outlineLevel="0" collapsed="false">
      <c r="A102" s="12" t="n">
        <v>101</v>
      </c>
      <c r="B102" s="12" t="s">
        <v>1240</v>
      </c>
      <c r="C102" s="12" t="s">
        <v>596</v>
      </c>
      <c r="D102" s="12" t="s">
        <v>83</v>
      </c>
      <c r="E102" s="12" t="s">
        <v>170</v>
      </c>
      <c r="F102" s="12"/>
      <c r="G102" s="12"/>
      <c r="H102" s="12"/>
      <c r="I102" s="12"/>
      <c r="J102" s="12" t="n">
        <v>60</v>
      </c>
      <c r="K102" s="13" t="s">
        <v>1241</v>
      </c>
      <c r="L102" s="12" t="s">
        <v>1242</v>
      </c>
      <c r="M102" s="12"/>
      <c r="N102" s="12" t="s">
        <v>1243</v>
      </c>
      <c r="O102" s="13" t="s">
        <v>1244</v>
      </c>
      <c r="P102" s="12" t="n">
        <v>56.23</v>
      </c>
      <c r="Q102" s="12"/>
      <c r="R102" s="12"/>
      <c r="S102" s="12" t="s">
        <v>1245</v>
      </c>
      <c r="T102" s="12"/>
      <c r="U102" s="12"/>
      <c r="V102" s="12"/>
      <c r="W102" s="12"/>
      <c r="X102" s="12"/>
      <c r="Y102" s="13" t="s">
        <v>1246</v>
      </c>
      <c r="Z102" s="13" t="s">
        <v>1247</v>
      </c>
      <c r="AA102" s="13" t="s">
        <v>1248</v>
      </c>
      <c r="AB102" s="13" t="s">
        <v>1249</v>
      </c>
      <c r="AC102" s="12" t="s">
        <v>177</v>
      </c>
      <c r="AD102" s="12" t="s">
        <v>108</v>
      </c>
      <c r="AE102" s="13" t="s">
        <v>1250</v>
      </c>
      <c r="AF102" s="12" t="s">
        <v>1251</v>
      </c>
      <c r="AG102" s="12" t="s">
        <v>1252</v>
      </c>
    </row>
    <row r="103" customFormat="false" ht="43.5" hidden="false" customHeight="true" outlineLevel="0" collapsed="false">
      <c r="A103" s="12" t="n">
        <v>102</v>
      </c>
      <c r="B103" s="12" t="s">
        <v>1253</v>
      </c>
      <c r="C103" s="12" t="s">
        <v>1254</v>
      </c>
      <c r="D103" s="12" t="s">
        <v>259</v>
      </c>
      <c r="E103" s="12" t="s">
        <v>84</v>
      </c>
      <c r="F103" s="12" t="s">
        <v>151</v>
      </c>
      <c r="G103" s="12" t="n">
        <v>0.5</v>
      </c>
      <c r="H103" s="12"/>
      <c r="I103" s="12" t="n">
        <v>10</v>
      </c>
      <c r="J103" s="12" t="n">
        <v>0.01635</v>
      </c>
      <c r="K103" s="13" t="s">
        <v>1255</v>
      </c>
      <c r="L103" s="12"/>
      <c r="M103" s="12" t="n">
        <v>0.018</v>
      </c>
      <c r="N103" s="12" t="s">
        <v>1256</v>
      </c>
      <c r="O103" s="13" t="s">
        <v>1257</v>
      </c>
      <c r="P103" s="12" t="n">
        <v>0.01631</v>
      </c>
      <c r="Q103" s="12"/>
      <c r="R103" s="12" t="s">
        <v>1258</v>
      </c>
      <c r="S103" s="12"/>
      <c r="T103" s="12" t="s">
        <v>1259</v>
      </c>
      <c r="U103" s="12"/>
      <c r="V103" s="12" t="s">
        <v>1253</v>
      </c>
      <c r="W103" s="12" t="s">
        <v>1260</v>
      </c>
      <c r="X103" s="12" t="n">
        <v>4.3</v>
      </c>
      <c r="Y103" s="13" t="s">
        <v>1261</v>
      </c>
      <c r="Z103" s="13" t="s">
        <v>1262</v>
      </c>
      <c r="AA103" s="13"/>
      <c r="AB103" s="13"/>
      <c r="AC103" s="12"/>
      <c r="AD103" s="12" t="s">
        <v>94</v>
      </c>
      <c r="AE103" s="13" t="s">
        <v>1263</v>
      </c>
      <c r="AF103" s="12" t="s">
        <v>1264</v>
      </c>
      <c r="AG103" s="12" t="s">
        <v>1265</v>
      </c>
    </row>
    <row r="104" customFormat="false" ht="43.5" hidden="false" customHeight="true" outlineLevel="0" collapsed="false">
      <c r="A104" s="12" t="n">
        <v>103</v>
      </c>
      <c r="B104" s="12" t="s">
        <v>1266</v>
      </c>
      <c r="C104" s="12" t="s">
        <v>387</v>
      </c>
      <c r="D104" s="12" t="s">
        <v>83</v>
      </c>
      <c r="E104" s="12" t="s">
        <v>100</v>
      </c>
      <c r="F104" s="12" t="s">
        <v>101</v>
      </c>
      <c r="G104" s="12"/>
      <c r="H104" s="12"/>
      <c r="I104" s="12"/>
      <c r="J104" s="12" t="n">
        <v>0.08123</v>
      </c>
      <c r="K104" s="13" t="s">
        <v>388</v>
      </c>
      <c r="L104" s="12"/>
      <c r="M104" s="12" t="n">
        <v>0.0797</v>
      </c>
      <c r="N104" s="12" t="s">
        <v>1267</v>
      </c>
      <c r="O104" s="13" t="s">
        <v>1268</v>
      </c>
      <c r="P104" s="12" t="n">
        <v>0.08123</v>
      </c>
      <c r="Q104" s="12"/>
      <c r="R104" s="12"/>
      <c r="S104" s="12"/>
      <c r="T104" s="12"/>
      <c r="U104" s="12"/>
      <c r="V104" s="12" t="s">
        <v>1266</v>
      </c>
      <c r="W104" s="12" t="s">
        <v>1269</v>
      </c>
      <c r="X104" s="12" t="n">
        <v>14.9</v>
      </c>
      <c r="Y104" s="13" t="s">
        <v>1270</v>
      </c>
      <c r="Z104" s="13" t="s">
        <v>1271</v>
      </c>
      <c r="AA104" s="13"/>
      <c r="AB104" s="13"/>
      <c r="AC104" s="12"/>
      <c r="AD104" s="12" t="s">
        <v>94</v>
      </c>
      <c r="AE104" s="13" t="s">
        <v>1272</v>
      </c>
      <c r="AF104" s="12" t="s">
        <v>1273</v>
      </c>
      <c r="AG104" s="12" t="s">
        <v>1274</v>
      </c>
    </row>
    <row r="105" customFormat="false" ht="43.5" hidden="false" customHeight="true" outlineLevel="0" collapsed="false">
      <c r="A105" s="12" t="n">
        <v>104</v>
      </c>
      <c r="B105" s="12" t="s">
        <v>1275</v>
      </c>
      <c r="C105" s="12" t="s">
        <v>113</v>
      </c>
      <c r="D105" s="12" t="s">
        <v>83</v>
      </c>
      <c r="E105" s="12" t="s">
        <v>128</v>
      </c>
      <c r="F105" s="12" t="s">
        <v>128</v>
      </c>
      <c r="G105" s="12"/>
      <c r="H105" s="12"/>
      <c r="I105" s="12" t="n">
        <v>150</v>
      </c>
      <c r="J105" s="12" t="n">
        <v>64700</v>
      </c>
      <c r="K105" s="13" t="s">
        <v>1276</v>
      </c>
      <c r="L105" s="12" t="s">
        <v>1277</v>
      </c>
      <c r="M105" s="12" t="n">
        <v>62800</v>
      </c>
      <c r="N105" s="12" t="s">
        <v>1278</v>
      </c>
      <c r="O105" s="13" t="s">
        <v>1279</v>
      </c>
      <c r="P105" s="12" t="n">
        <v>64736.5</v>
      </c>
      <c r="Q105" s="12"/>
      <c r="R105" s="12" t="s">
        <v>1280</v>
      </c>
      <c r="S105" s="12" t="s">
        <v>1281</v>
      </c>
      <c r="T105" s="12"/>
      <c r="U105" s="12" t="n">
        <v>64700</v>
      </c>
      <c r="V105" s="12" t="s">
        <v>1275</v>
      </c>
      <c r="W105" s="12" t="s">
        <v>1282</v>
      </c>
      <c r="X105" s="12" t="n">
        <v>5.9</v>
      </c>
      <c r="Y105" s="13" t="s">
        <v>1283</v>
      </c>
      <c r="Z105" s="13" t="s">
        <v>1284</v>
      </c>
      <c r="AA105" s="13" t="s">
        <v>1285</v>
      </c>
      <c r="AB105" s="13" t="s">
        <v>1286</v>
      </c>
      <c r="AC105" s="12"/>
      <c r="AD105" s="12" t="s">
        <v>94</v>
      </c>
      <c r="AE105" s="13" t="s">
        <v>1287</v>
      </c>
      <c r="AF105" s="12" t="s">
        <v>1288</v>
      </c>
      <c r="AG105" s="12" t="s">
        <v>1289</v>
      </c>
    </row>
    <row r="106" customFormat="false" ht="43.5" hidden="false" customHeight="true" outlineLevel="0" collapsed="false">
      <c r="A106" s="12" t="n">
        <v>105</v>
      </c>
      <c r="B106" s="12" t="s">
        <v>1290</v>
      </c>
      <c r="C106" s="12" t="s">
        <v>1291</v>
      </c>
      <c r="D106" s="12" t="s">
        <v>83</v>
      </c>
      <c r="E106" s="12" t="s">
        <v>170</v>
      </c>
      <c r="F106" s="12" t="s">
        <v>170</v>
      </c>
      <c r="G106" s="12"/>
      <c r="H106" s="12"/>
      <c r="I106" s="12"/>
      <c r="J106" s="12" t="n">
        <v>0.288</v>
      </c>
      <c r="K106" s="13" t="s">
        <v>1292</v>
      </c>
      <c r="L106" s="12"/>
      <c r="M106" s="12" t="n">
        <v>0.268</v>
      </c>
      <c r="N106" s="12" t="s">
        <v>1293</v>
      </c>
      <c r="O106" s="13"/>
      <c r="P106" s="12"/>
      <c r="Q106" s="12"/>
      <c r="R106" s="12"/>
      <c r="S106" s="12"/>
      <c r="T106" s="12"/>
      <c r="U106" s="12"/>
      <c r="V106" s="12" t="s">
        <v>1290</v>
      </c>
      <c r="W106" s="12"/>
      <c r="X106" s="12"/>
      <c r="Y106" s="13" t="s">
        <v>1294</v>
      </c>
      <c r="Z106" s="13" t="s">
        <v>1295</v>
      </c>
      <c r="AA106" s="13"/>
      <c r="AB106" s="13" t="s">
        <v>302</v>
      </c>
      <c r="AC106" s="12"/>
      <c r="AD106" s="12" t="s">
        <v>312</v>
      </c>
      <c r="AE106" s="13" t="s">
        <v>1296</v>
      </c>
      <c r="AF106" s="12" t="s">
        <v>1297</v>
      </c>
      <c r="AG106" s="12" t="s">
        <v>1298</v>
      </c>
    </row>
    <row r="107" customFormat="false" ht="43.5" hidden="false" customHeight="true" outlineLevel="0" collapsed="false">
      <c r="A107" s="12" t="n">
        <v>106</v>
      </c>
      <c r="B107" s="12" t="s">
        <v>1299</v>
      </c>
      <c r="C107" s="12" t="s">
        <v>669</v>
      </c>
      <c r="D107" s="12" t="s">
        <v>83</v>
      </c>
      <c r="E107" s="12" t="s">
        <v>170</v>
      </c>
      <c r="F107" s="12" t="s">
        <v>170</v>
      </c>
      <c r="G107" s="12"/>
      <c r="H107" s="12"/>
      <c r="I107" s="12" t="n">
        <v>100</v>
      </c>
      <c r="J107" s="12"/>
      <c r="K107" s="13" t="s">
        <v>1300</v>
      </c>
      <c r="L107" s="12"/>
      <c r="M107" s="12"/>
      <c r="N107" s="12"/>
      <c r="O107" s="13"/>
      <c r="P107" s="12" t="n">
        <v>249.66</v>
      </c>
      <c r="Q107" s="12"/>
      <c r="R107" s="12"/>
      <c r="S107" s="12"/>
      <c r="T107" s="12"/>
      <c r="U107" s="12"/>
      <c r="V107" s="12" t="s">
        <v>1299</v>
      </c>
      <c r="W107" s="12"/>
      <c r="X107" s="12"/>
      <c r="Y107" s="13" t="s">
        <v>1301</v>
      </c>
      <c r="Z107" s="13" t="s">
        <v>1302</v>
      </c>
      <c r="AA107" s="13"/>
      <c r="AB107" s="13"/>
      <c r="AC107" s="12"/>
      <c r="AD107" s="12" t="s">
        <v>312</v>
      </c>
      <c r="AE107" s="13" t="s">
        <v>1303</v>
      </c>
      <c r="AF107" s="12" t="s">
        <v>1304</v>
      </c>
      <c r="AG107" s="12" t="s">
        <v>1305</v>
      </c>
    </row>
    <row r="108" customFormat="false" ht="43.5" hidden="false" customHeight="true" outlineLevel="0" collapsed="false">
      <c r="A108" s="12" t="n">
        <v>107</v>
      </c>
      <c r="B108" s="12" t="s">
        <v>1306</v>
      </c>
      <c r="C108" s="12" t="s">
        <v>113</v>
      </c>
      <c r="D108" s="12" t="s">
        <v>83</v>
      </c>
      <c r="E108" s="12" t="s">
        <v>84</v>
      </c>
      <c r="F108" s="12" t="s">
        <v>151</v>
      </c>
      <c r="G108" s="12"/>
      <c r="H108" s="12" t="n">
        <v>60.28</v>
      </c>
      <c r="I108" s="12" t="n">
        <v>150</v>
      </c>
      <c r="J108" s="12" t="n">
        <v>64300</v>
      </c>
      <c r="K108" s="13" t="s">
        <v>1307</v>
      </c>
      <c r="L108" s="12"/>
      <c r="M108" s="12" t="n">
        <v>62800</v>
      </c>
      <c r="N108" s="12" t="s">
        <v>1308</v>
      </c>
      <c r="O108" s="13" t="s">
        <v>1309</v>
      </c>
      <c r="P108" s="12" t="n">
        <v>63667.3</v>
      </c>
      <c r="Q108" s="12" t="s">
        <v>1310</v>
      </c>
      <c r="R108" s="12" t="s">
        <v>1311</v>
      </c>
      <c r="S108" s="12"/>
      <c r="T108" s="12"/>
      <c r="U108" s="12" t="n">
        <v>63923.2</v>
      </c>
      <c r="V108" s="12" t="s">
        <v>1306</v>
      </c>
      <c r="W108" s="12" t="s">
        <v>1312</v>
      </c>
      <c r="X108" s="12" t="n">
        <v>67.6</v>
      </c>
      <c r="Y108" s="13" t="s">
        <v>1313</v>
      </c>
      <c r="Z108" s="13" t="s">
        <v>1314</v>
      </c>
      <c r="AA108" s="13" t="s">
        <v>1315</v>
      </c>
      <c r="AB108" s="13" t="s">
        <v>1316</v>
      </c>
      <c r="AC108" s="12"/>
      <c r="AD108" s="12" t="s">
        <v>108</v>
      </c>
      <c r="AE108" s="13" t="s">
        <v>1317</v>
      </c>
      <c r="AF108" s="12" t="s">
        <v>1318</v>
      </c>
      <c r="AG108" s="12" t="s">
        <v>1319</v>
      </c>
    </row>
    <row r="109" customFormat="false" ht="43.5" hidden="false" customHeight="true" outlineLevel="0" collapsed="false">
      <c r="A109" s="12" t="n">
        <v>108</v>
      </c>
      <c r="B109" s="12" t="s">
        <v>1320</v>
      </c>
      <c r="C109" s="12" t="s">
        <v>99</v>
      </c>
      <c r="D109" s="12" t="s">
        <v>83</v>
      </c>
      <c r="E109" s="12" t="s">
        <v>100</v>
      </c>
      <c r="F109" s="12" t="s">
        <v>101</v>
      </c>
      <c r="G109" s="12"/>
      <c r="H109" s="12"/>
      <c r="I109" s="12"/>
      <c r="J109" s="12" t="n">
        <v>1750</v>
      </c>
      <c r="K109" s="13" t="s">
        <v>1321</v>
      </c>
      <c r="L109" s="12"/>
      <c r="M109" s="12" t="n">
        <v>1705</v>
      </c>
      <c r="N109" s="12" t="s">
        <v>1322</v>
      </c>
      <c r="O109" s="13"/>
      <c r="P109" s="12"/>
      <c r="Q109" s="12"/>
      <c r="R109" s="12"/>
      <c r="S109" s="12"/>
      <c r="T109" s="12"/>
      <c r="U109" s="12" t="n">
        <v>1705</v>
      </c>
      <c r="V109" s="12" t="s">
        <v>1320</v>
      </c>
      <c r="W109" s="12" t="s">
        <v>1323</v>
      </c>
      <c r="X109" s="12" t="n">
        <v>7.3</v>
      </c>
      <c r="Y109" s="13" t="s">
        <v>1324</v>
      </c>
      <c r="Z109" s="13" t="s">
        <v>1325</v>
      </c>
      <c r="AA109" s="13"/>
      <c r="AB109" s="13" t="s">
        <v>1326</v>
      </c>
      <c r="AC109" s="12"/>
      <c r="AD109" s="12" t="s">
        <v>94</v>
      </c>
      <c r="AE109" s="13" t="s">
        <v>1327</v>
      </c>
      <c r="AF109" s="12" t="s">
        <v>1328</v>
      </c>
      <c r="AG109" s="12" t="s">
        <v>1329</v>
      </c>
    </row>
    <row r="110" customFormat="false" ht="43.5" hidden="false" customHeight="true" outlineLevel="0" collapsed="false">
      <c r="A110" s="12" t="n">
        <v>109</v>
      </c>
      <c r="B110" s="12" t="s">
        <v>1330</v>
      </c>
      <c r="C110" s="12" t="s">
        <v>1331</v>
      </c>
      <c r="D110" s="12" t="s">
        <v>259</v>
      </c>
      <c r="E110" s="12" t="s">
        <v>143</v>
      </c>
      <c r="F110" s="12" t="s">
        <v>143</v>
      </c>
      <c r="G110" s="12"/>
      <c r="H110" s="12"/>
      <c r="I110" s="12"/>
      <c r="J110" s="12" t="n">
        <v>4299</v>
      </c>
      <c r="K110" s="13" t="s">
        <v>1332</v>
      </c>
      <c r="L110" s="12"/>
      <c r="M110" s="12"/>
      <c r="N110" s="12"/>
      <c r="O110" s="13"/>
      <c r="P110" s="12"/>
      <c r="Q110" s="12"/>
      <c r="R110" s="12"/>
      <c r="S110" s="12"/>
      <c r="T110" s="12"/>
      <c r="U110" s="12"/>
      <c r="V110" s="12"/>
      <c r="W110" s="12"/>
      <c r="X110" s="12"/>
      <c r="Y110" s="13" t="s">
        <v>1333</v>
      </c>
      <c r="Z110" s="13" t="s">
        <v>1334</v>
      </c>
      <c r="AA110" s="13"/>
      <c r="AB110" s="13"/>
      <c r="AC110" s="12"/>
      <c r="AD110" s="12" t="s">
        <v>312</v>
      </c>
      <c r="AE110" s="13" t="s">
        <v>1335</v>
      </c>
      <c r="AF110" s="12" t="s">
        <v>1336</v>
      </c>
      <c r="AG110" s="12" t="s">
        <v>1337</v>
      </c>
    </row>
    <row r="111" customFormat="false" ht="43.5" hidden="false" customHeight="true" outlineLevel="0" collapsed="false">
      <c r="A111" s="12" t="n">
        <v>110</v>
      </c>
      <c r="B111" s="12" t="s">
        <v>1338</v>
      </c>
      <c r="C111" s="12" t="s">
        <v>1339</v>
      </c>
      <c r="D111" s="12" t="s">
        <v>83</v>
      </c>
      <c r="E111" s="12" t="s">
        <v>84</v>
      </c>
      <c r="F111" s="12" t="s">
        <v>151</v>
      </c>
      <c r="G111" s="12"/>
      <c r="H111" s="12"/>
      <c r="I111" s="12"/>
      <c r="J111" s="12"/>
      <c r="K111" s="13" t="s">
        <v>1340</v>
      </c>
      <c r="L111" s="12"/>
      <c r="M111" s="12" t="n">
        <v>12.8</v>
      </c>
      <c r="N111" s="12"/>
      <c r="O111" s="13" t="s">
        <v>1341</v>
      </c>
      <c r="P111" s="12" t="n">
        <v>15.679</v>
      </c>
      <c r="Q111" s="12"/>
      <c r="R111" s="12"/>
      <c r="S111" s="12"/>
      <c r="T111" s="12"/>
      <c r="U111" s="12" t="n">
        <v>18.008</v>
      </c>
      <c r="V111" s="12"/>
      <c r="W111" s="12" t="s">
        <v>1342</v>
      </c>
      <c r="X111" s="12"/>
      <c r="Y111" s="13" t="s">
        <v>1343</v>
      </c>
      <c r="Z111" s="13" t="s">
        <v>1344</v>
      </c>
      <c r="AA111" s="13"/>
      <c r="AB111" s="13" t="s">
        <v>1345</v>
      </c>
      <c r="AC111" s="12"/>
      <c r="AD111" s="12" t="s">
        <v>108</v>
      </c>
      <c r="AE111" s="13" t="s">
        <v>1346</v>
      </c>
      <c r="AF111" s="12" t="s">
        <v>1347</v>
      </c>
      <c r="AG111" s="12" t="s">
        <v>1348</v>
      </c>
    </row>
    <row r="112" customFormat="false" ht="43.5" hidden="false" customHeight="true" outlineLevel="0" collapsed="false">
      <c r="A112" s="12" t="n">
        <v>111</v>
      </c>
      <c r="B112" s="12" t="s">
        <v>1338</v>
      </c>
      <c r="C112" s="12" t="s">
        <v>1339</v>
      </c>
      <c r="D112" s="12" t="s">
        <v>259</v>
      </c>
      <c r="E112" s="12" t="s">
        <v>143</v>
      </c>
      <c r="F112" s="12" t="s">
        <v>143</v>
      </c>
      <c r="G112" s="12"/>
      <c r="H112" s="12"/>
      <c r="I112" s="12"/>
      <c r="J112" s="12" t="n">
        <v>20</v>
      </c>
      <c r="K112" s="13" t="s">
        <v>1349</v>
      </c>
      <c r="L112" s="12"/>
      <c r="M112" s="12"/>
      <c r="N112" s="12"/>
      <c r="O112" s="13" t="s">
        <v>1350</v>
      </c>
      <c r="P112" s="12"/>
      <c r="Q112" s="12"/>
      <c r="R112" s="12"/>
      <c r="S112" s="12"/>
      <c r="T112" s="12"/>
      <c r="U112" s="12"/>
      <c r="V112" s="12"/>
      <c r="W112" s="12"/>
      <c r="X112" s="12"/>
      <c r="Y112" s="13" t="s">
        <v>1351</v>
      </c>
      <c r="Z112" s="13" t="s">
        <v>1352</v>
      </c>
      <c r="AA112" s="13"/>
      <c r="AB112" s="13" t="s">
        <v>1353</v>
      </c>
      <c r="AC112" s="12"/>
      <c r="AD112" s="12" t="s">
        <v>108</v>
      </c>
      <c r="AE112" s="13" t="s">
        <v>1354</v>
      </c>
      <c r="AF112" s="12" t="s">
        <v>1355</v>
      </c>
      <c r="AG112" s="12" t="s">
        <v>1348</v>
      </c>
    </row>
    <row r="113" customFormat="false" ht="43.5" hidden="false" customHeight="true" outlineLevel="0" collapsed="false">
      <c r="A113" s="12" t="n">
        <v>112</v>
      </c>
      <c r="B113" s="12" t="s">
        <v>1356</v>
      </c>
      <c r="C113" s="12" t="s">
        <v>113</v>
      </c>
      <c r="D113" s="12" t="s">
        <v>83</v>
      </c>
      <c r="E113" s="12" t="s">
        <v>84</v>
      </c>
      <c r="F113" s="12" t="s">
        <v>85</v>
      </c>
      <c r="G113" s="12"/>
      <c r="H113" s="12" t="n">
        <v>462.5</v>
      </c>
      <c r="I113" s="12" t="n">
        <v>150</v>
      </c>
      <c r="J113" s="12" t="n">
        <v>62800</v>
      </c>
      <c r="K113" s="13" t="s">
        <v>1357</v>
      </c>
      <c r="L113" s="12"/>
      <c r="M113" s="12" t="n">
        <v>60500</v>
      </c>
      <c r="N113" s="12" t="s">
        <v>1358</v>
      </c>
      <c r="O113" s="13" t="s">
        <v>1359</v>
      </c>
      <c r="P113" s="12" t="n">
        <v>63044</v>
      </c>
      <c r="Q113" s="12" t="s">
        <v>1360</v>
      </c>
      <c r="R113" s="12" t="s">
        <v>1361</v>
      </c>
      <c r="S113" s="12" t="s">
        <v>1362</v>
      </c>
      <c r="T113" s="12" t="s">
        <v>1363</v>
      </c>
      <c r="U113" s="12" t="n">
        <v>64987.9</v>
      </c>
      <c r="V113" s="12" t="s">
        <v>1364</v>
      </c>
      <c r="W113" s="12" t="s">
        <v>1365</v>
      </c>
      <c r="X113" s="12" t="n">
        <v>83.8</v>
      </c>
      <c r="Y113" s="13" t="s">
        <v>1366</v>
      </c>
      <c r="Z113" s="13" t="s">
        <v>1367</v>
      </c>
      <c r="AA113" s="13"/>
      <c r="AB113" s="13" t="s">
        <v>1368</v>
      </c>
      <c r="AC113" s="12"/>
      <c r="AD113" s="12" t="s">
        <v>94</v>
      </c>
      <c r="AE113" s="13" t="s">
        <v>1369</v>
      </c>
      <c r="AF113" s="12" t="s">
        <v>1370</v>
      </c>
      <c r="AG113" s="12" t="s">
        <v>1371</v>
      </c>
    </row>
    <row r="114" customFormat="false" ht="43.5" hidden="false" customHeight="true" outlineLevel="0" collapsed="false">
      <c r="A114" s="12" t="n">
        <v>113</v>
      </c>
      <c r="B114" s="12" t="s">
        <v>1372</v>
      </c>
      <c r="C114" s="12" t="s">
        <v>1373</v>
      </c>
      <c r="D114" s="12" t="s">
        <v>83</v>
      </c>
      <c r="E114" s="12" t="s">
        <v>84</v>
      </c>
      <c r="F114" s="12" t="s">
        <v>170</v>
      </c>
      <c r="G114" s="12"/>
      <c r="H114" s="12" t="n">
        <v>43</v>
      </c>
      <c r="I114" s="12"/>
      <c r="J114" s="12"/>
      <c r="K114" s="13" t="s">
        <v>1374</v>
      </c>
      <c r="L114" s="12"/>
      <c r="M114" s="12"/>
      <c r="N114" s="12" t="s">
        <v>1375</v>
      </c>
      <c r="O114" s="13" t="s">
        <v>1376</v>
      </c>
      <c r="P114" s="12" t="n">
        <v>0.75</v>
      </c>
      <c r="Q114" s="12"/>
      <c r="R114" s="12"/>
      <c r="S114" s="12"/>
      <c r="T114" s="12" t="s">
        <v>1259</v>
      </c>
      <c r="U114" s="12"/>
      <c r="V114" s="12" t="s">
        <v>1372</v>
      </c>
      <c r="W114" s="12"/>
      <c r="X114" s="12"/>
      <c r="Y114" s="13" t="s">
        <v>1377</v>
      </c>
      <c r="Z114" s="13" t="s">
        <v>1378</v>
      </c>
      <c r="AA114" s="13"/>
      <c r="AB114" s="13"/>
      <c r="AC114" s="12" t="s">
        <v>177</v>
      </c>
      <c r="AD114" s="12" t="s">
        <v>108</v>
      </c>
      <c r="AE114" s="13" t="s">
        <v>1379</v>
      </c>
      <c r="AF114" s="12" t="s">
        <v>1380</v>
      </c>
      <c r="AG114" s="12" t="s">
        <v>1381</v>
      </c>
    </row>
    <row r="115" customFormat="false" ht="43.5" hidden="false" customHeight="true" outlineLevel="0" collapsed="false">
      <c r="A115" s="12" t="n">
        <v>114</v>
      </c>
      <c r="B115" s="12" t="s">
        <v>1382</v>
      </c>
      <c r="C115" s="12" t="s">
        <v>113</v>
      </c>
      <c r="D115" s="12" t="s">
        <v>83</v>
      </c>
      <c r="E115" s="12" t="s">
        <v>100</v>
      </c>
      <c r="F115" s="12" t="s">
        <v>101</v>
      </c>
      <c r="G115" s="12" t="n">
        <v>-1.25</v>
      </c>
      <c r="H115" s="12"/>
      <c r="I115" s="12"/>
      <c r="J115" s="12" t="n">
        <v>63940</v>
      </c>
      <c r="K115" s="13" t="s">
        <v>1383</v>
      </c>
      <c r="L115" s="12" t="s">
        <v>997</v>
      </c>
      <c r="M115" s="12" t="n">
        <v>61000</v>
      </c>
      <c r="N115" s="12"/>
      <c r="O115" s="13" t="s">
        <v>1384</v>
      </c>
      <c r="P115" s="12" t="n">
        <v>63300</v>
      </c>
      <c r="Q115" s="12" t="s">
        <v>1385</v>
      </c>
      <c r="R115" s="12" t="s">
        <v>1386</v>
      </c>
      <c r="S115" s="12"/>
      <c r="T115" s="12"/>
      <c r="U115" s="12"/>
      <c r="V115" s="12" t="s">
        <v>1382</v>
      </c>
      <c r="W115" s="12" t="s">
        <v>1387</v>
      </c>
      <c r="X115" s="12" t="n">
        <v>41.4</v>
      </c>
      <c r="Y115" s="13" t="s">
        <v>1388</v>
      </c>
      <c r="Z115" s="13" t="s">
        <v>1389</v>
      </c>
      <c r="AA115" s="13" t="s">
        <v>191</v>
      </c>
      <c r="AB115" s="13" t="s">
        <v>1390</v>
      </c>
      <c r="AC115" s="12"/>
      <c r="AD115" s="12" t="s">
        <v>94</v>
      </c>
      <c r="AE115" s="13" t="s">
        <v>1391</v>
      </c>
      <c r="AF115" s="12" t="s">
        <v>1392</v>
      </c>
      <c r="AG115" s="12" t="s">
        <v>1393</v>
      </c>
    </row>
    <row r="116" customFormat="false" ht="43.5" hidden="false" customHeight="true" outlineLevel="0" collapsed="false">
      <c r="A116" s="12" t="n">
        <v>115</v>
      </c>
      <c r="B116" s="12" t="s">
        <v>1394</v>
      </c>
      <c r="C116" s="12" t="s">
        <v>1395</v>
      </c>
      <c r="D116" s="12" t="s">
        <v>259</v>
      </c>
      <c r="E116" s="12" t="s">
        <v>143</v>
      </c>
      <c r="F116" s="12" t="s">
        <v>143</v>
      </c>
      <c r="G116" s="12"/>
      <c r="H116" s="12"/>
      <c r="I116" s="12"/>
      <c r="J116" s="12" t="n">
        <v>155</v>
      </c>
      <c r="K116" s="13" t="s">
        <v>1396</v>
      </c>
      <c r="L116" s="12"/>
      <c r="M116" s="12"/>
      <c r="N116" s="12" t="s">
        <v>1397</v>
      </c>
      <c r="O116" s="13"/>
      <c r="P116" s="12"/>
      <c r="Q116" s="12"/>
      <c r="R116" s="12"/>
      <c r="S116" s="12"/>
      <c r="T116" s="12"/>
      <c r="U116" s="12"/>
      <c r="V116" s="12"/>
      <c r="W116" s="12"/>
      <c r="X116" s="12"/>
      <c r="Y116" s="13" t="s">
        <v>1398</v>
      </c>
      <c r="Z116" s="13" t="s">
        <v>1399</v>
      </c>
      <c r="AA116" s="13"/>
      <c r="AB116" s="13"/>
      <c r="AC116" s="12"/>
      <c r="AD116" s="12" t="s">
        <v>108</v>
      </c>
      <c r="AE116" s="13" t="s">
        <v>1400</v>
      </c>
      <c r="AF116" s="12" t="s">
        <v>1401</v>
      </c>
      <c r="AG116" s="12" t="s">
        <v>1402</v>
      </c>
    </row>
    <row r="117" customFormat="false" ht="43.5" hidden="false" customHeight="true" outlineLevel="0" collapsed="false">
      <c r="A117" s="12" t="n">
        <v>116</v>
      </c>
      <c r="B117" s="12" t="s">
        <v>1403</v>
      </c>
      <c r="C117" s="12" t="s">
        <v>1404</v>
      </c>
      <c r="D117" s="12" t="s">
        <v>83</v>
      </c>
      <c r="E117" s="12" t="s">
        <v>100</v>
      </c>
      <c r="F117" s="12" t="s">
        <v>101</v>
      </c>
      <c r="G117" s="12"/>
      <c r="H117" s="12"/>
      <c r="I117" s="12"/>
      <c r="J117" s="12" t="n">
        <v>0.214</v>
      </c>
      <c r="K117" s="13" t="s">
        <v>1405</v>
      </c>
      <c r="L117" s="12"/>
      <c r="M117" s="12" t="n">
        <v>0.1969</v>
      </c>
      <c r="N117" s="12" t="s">
        <v>1406</v>
      </c>
      <c r="O117" s="13"/>
      <c r="P117" s="12"/>
      <c r="Q117" s="12"/>
      <c r="R117" s="12"/>
      <c r="S117" s="12"/>
      <c r="T117" s="12"/>
      <c r="U117" s="12"/>
      <c r="V117" s="12" t="s">
        <v>1403</v>
      </c>
      <c r="W117" s="12" t="s">
        <v>1407</v>
      </c>
      <c r="X117" s="12" t="n">
        <v>3.6</v>
      </c>
      <c r="Y117" s="13" t="s">
        <v>1408</v>
      </c>
      <c r="Z117" s="13" t="s">
        <v>1409</v>
      </c>
      <c r="AA117" s="13" t="s">
        <v>1410</v>
      </c>
      <c r="AB117" s="13" t="s">
        <v>1411</v>
      </c>
      <c r="AC117" s="12"/>
      <c r="AD117" s="12" t="s">
        <v>94</v>
      </c>
      <c r="AE117" s="13" t="s">
        <v>1412</v>
      </c>
      <c r="AF117" s="12" t="s">
        <v>1413</v>
      </c>
      <c r="AG117" s="12" t="s">
        <v>1414</v>
      </c>
    </row>
    <row r="118" customFormat="false" ht="43.5" hidden="false" customHeight="true" outlineLevel="0" collapsed="false">
      <c r="A118" s="12" t="n">
        <v>117</v>
      </c>
      <c r="B118" s="12" t="s">
        <v>1415</v>
      </c>
      <c r="C118" s="12" t="s">
        <v>113</v>
      </c>
      <c r="D118" s="12" t="s">
        <v>83</v>
      </c>
      <c r="E118" s="12" t="s">
        <v>84</v>
      </c>
      <c r="F118" s="12" t="s">
        <v>85</v>
      </c>
      <c r="G118" s="12" t="n">
        <v>1.1</v>
      </c>
      <c r="H118" s="12" t="n">
        <v>383.11</v>
      </c>
      <c r="I118" s="12" t="n">
        <v>150</v>
      </c>
      <c r="J118" s="12" t="n">
        <v>59400</v>
      </c>
      <c r="K118" s="13" t="s">
        <v>1416</v>
      </c>
      <c r="L118" s="12"/>
      <c r="M118" s="12" t="n">
        <v>57500</v>
      </c>
      <c r="N118" s="12" t="s">
        <v>1417</v>
      </c>
      <c r="O118" s="13" t="s">
        <v>1418</v>
      </c>
      <c r="P118" s="12" t="n">
        <v>59214.3</v>
      </c>
      <c r="Q118" s="12"/>
      <c r="R118" s="12"/>
      <c r="S118" s="12" t="s">
        <v>1419</v>
      </c>
      <c r="T118" s="12"/>
      <c r="U118" s="12" t="n">
        <v>61117.2</v>
      </c>
      <c r="V118" s="12" t="s">
        <v>1415</v>
      </c>
      <c r="W118" s="12" t="s">
        <v>1420</v>
      </c>
      <c r="X118" s="12" t="n">
        <v>6.4</v>
      </c>
      <c r="Y118" s="13" t="s">
        <v>1421</v>
      </c>
      <c r="Z118" s="13" t="s">
        <v>1422</v>
      </c>
      <c r="AA118" s="13" t="s">
        <v>1423</v>
      </c>
      <c r="AB118" s="13" t="s">
        <v>1424</v>
      </c>
      <c r="AC118" s="12"/>
      <c r="AD118" s="12" t="s">
        <v>94</v>
      </c>
      <c r="AE118" s="13" t="s">
        <v>1425</v>
      </c>
      <c r="AF118" s="12" t="s">
        <v>1426</v>
      </c>
      <c r="AG118" s="12" t="s">
        <v>1427</v>
      </c>
    </row>
    <row r="119" customFormat="false" ht="43.5" hidden="false" customHeight="true" outlineLevel="0" collapsed="false">
      <c r="A119" s="12" t="n">
        <v>118</v>
      </c>
      <c r="B119" s="12" t="s">
        <v>1428</v>
      </c>
      <c r="C119" s="12" t="s">
        <v>1429</v>
      </c>
      <c r="D119" s="12" t="s">
        <v>83</v>
      </c>
      <c r="E119" s="12" t="s">
        <v>84</v>
      </c>
      <c r="F119" s="12" t="s">
        <v>170</v>
      </c>
      <c r="G119" s="12"/>
      <c r="H119" s="12"/>
      <c r="I119" s="12" t="n">
        <v>50</v>
      </c>
      <c r="J119" s="12" t="n">
        <v>0.00011</v>
      </c>
      <c r="K119" s="13"/>
      <c r="L119" s="12"/>
      <c r="M119" s="12" t="n">
        <v>9E-005</v>
      </c>
      <c r="N119" s="12" t="s">
        <v>1430</v>
      </c>
      <c r="O119" s="13" t="s">
        <v>1431</v>
      </c>
      <c r="P119" s="12" t="n">
        <v>0.0001101</v>
      </c>
      <c r="Q119" s="12"/>
      <c r="R119" s="12" t="s">
        <v>1432</v>
      </c>
      <c r="S119" s="12"/>
      <c r="T119" s="12" t="s">
        <v>796</v>
      </c>
      <c r="U119" s="12"/>
      <c r="V119" s="12" t="s">
        <v>1428</v>
      </c>
      <c r="W119" s="12"/>
      <c r="X119" s="12"/>
      <c r="Y119" s="13" t="s">
        <v>1433</v>
      </c>
      <c r="Z119" s="13" t="s">
        <v>1434</v>
      </c>
      <c r="AA119" s="13" t="s">
        <v>1435</v>
      </c>
      <c r="AB119" s="13" t="s">
        <v>1436</v>
      </c>
      <c r="AC119" s="12"/>
      <c r="AD119" s="12" t="s">
        <v>108</v>
      </c>
      <c r="AE119" s="13" t="s">
        <v>1437</v>
      </c>
      <c r="AF119" s="12" t="s">
        <v>1438</v>
      </c>
      <c r="AG119" s="12" t="s">
        <v>1439</v>
      </c>
    </row>
    <row r="120" customFormat="false" ht="43.5" hidden="false" customHeight="true" outlineLevel="0" collapsed="false">
      <c r="A120" s="12" t="n">
        <v>119</v>
      </c>
      <c r="B120" s="12" t="s">
        <v>1440</v>
      </c>
      <c r="C120" s="12" t="s">
        <v>113</v>
      </c>
      <c r="D120" s="12" t="s">
        <v>83</v>
      </c>
      <c r="E120" s="12" t="s">
        <v>128</v>
      </c>
      <c r="F120" s="12" t="s">
        <v>128</v>
      </c>
      <c r="G120" s="12"/>
      <c r="H120" s="12" t="n">
        <v>4.28</v>
      </c>
      <c r="I120" s="12" t="n">
        <v>150</v>
      </c>
      <c r="J120" s="12" t="n">
        <v>61300</v>
      </c>
      <c r="K120" s="13" t="s">
        <v>1441</v>
      </c>
      <c r="L120" s="12"/>
      <c r="M120" s="12" t="n">
        <v>58600</v>
      </c>
      <c r="N120" s="12"/>
      <c r="O120" s="13" t="s">
        <v>1442</v>
      </c>
      <c r="P120" s="12" t="n">
        <v>61253.1</v>
      </c>
      <c r="Q120" s="12"/>
      <c r="R120" s="12"/>
      <c r="S120" s="12"/>
      <c r="T120" s="12"/>
      <c r="U120" s="12" t="n">
        <v>61270.6</v>
      </c>
      <c r="V120" s="12" t="s">
        <v>1440</v>
      </c>
      <c r="W120" s="12" t="s">
        <v>1443</v>
      </c>
      <c r="X120" s="12" t="n">
        <v>0.5</v>
      </c>
      <c r="Y120" s="13" t="s">
        <v>1444</v>
      </c>
      <c r="Z120" s="13" t="s">
        <v>1445</v>
      </c>
      <c r="AA120" s="13"/>
      <c r="AB120" s="13" t="s">
        <v>1446</v>
      </c>
      <c r="AC120" s="12"/>
      <c r="AD120" s="12" t="s">
        <v>94</v>
      </c>
      <c r="AE120" s="13" t="s">
        <v>1447</v>
      </c>
      <c r="AF120" s="12" t="s">
        <v>1448</v>
      </c>
      <c r="AG120" s="12" t="s">
        <v>1449</v>
      </c>
    </row>
    <row r="121" customFormat="false" ht="43.5" hidden="false" customHeight="true" outlineLevel="0" collapsed="false">
      <c r="A121" s="12" t="n">
        <v>120</v>
      </c>
      <c r="B121" s="12" t="s">
        <v>1450</v>
      </c>
      <c r="C121" s="12" t="s">
        <v>113</v>
      </c>
      <c r="D121" s="12" t="s">
        <v>83</v>
      </c>
      <c r="E121" s="12" t="s">
        <v>84</v>
      </c>
      <c r="F121" s="12" t="s">
        <v>151</v>
      </c>
      <c r="G121" s="12"/>
      <c r="H121" s="12" t="n">
        <v>226.87</v>
      </c>
      <c r="I121" s="12" t="n">
        <v>150</v>
      </c>
      <c r="J121" s="12" t="n">
        <v>58200</v>
      </c>
      <c r="K121" s="13" t="s">
        <v>1451</v>
      </c>
      <c r="L121" s="12"/>
      <c r="M121" s="12" t="n">
        <v>56000</v>
      </c>
      <c r="N121" s="12"/>
      <c r="O121" s="13" t="s">
        <v>1452</v>
      </c>
      <c r="P121" s="12" t="n">
        <v>58616.4</v>
      </c>
      <c r="Q121" s="12"/>
      <c r="R121" s="12"/>
      <c r="S121" s="12" t="s">
        <v>1453</v>
      </c>
      <c r="T121" s="12" t="s">
        <v>1454</v>
      </c>
      <c r="U121" s="12" t="n">
        <v>59100</v>
      </c>
      <c r="V121" s="12" t="s">
        <v>1450</v>
      </c>
      <c r="W121" s="12" t="s">
        <v>1455</v>
      </c>
      <c r="X121" s="12" t="n">
        <v>0.3</v>
      </c>
      <c r="Y121" s="13" t="s">
        <v>1456</v>
      </c>
      <c r="Z121" s="13" t="s">
        <v>1457</v>
      </c>
      <c r="AA121" s="13"/>
      <c r="AB121" s="13" t="s">
        <v>1458</v>
      </c>
      <c r="AC121" s="12"/>
      <c r="AD121" s="12" t="s">
        <v>108</v>
      </c>
      <c r="AE121" s="13" t="s">
        <v>1459</v>
      </c>
      <c r="AF121" s="12" t="s">
        <v>1460</v>
      </c>
      <c r="AG121" s="12" t="s">
        <v>1461</v>
      </c>
    </row>
    <row r="122" customFormat="false" ht="43.5" hidden="false" customHeight="true" outlineLevel="0" collapsed="false">
      <c r="A122" s="12" t="n">
        <v>121</v>
      </c>
      <c r="B122" s="12" t="s">
        <v>1462</v>
      </c>
      <c r="C122" s="12" t="s">
        <v>113</v>
      </c>
      <c r="D122" s="12" t="s">
        <v>83</v>
      </c>
      <c r="E122" s="12" t="s">
        <v>128</v>
      </c>
      <c r="F122" s="12" t="s">
        <v>128</v>
      </c>
      <c r="G122" s="12"/>
      <c r="H122" s="12"/>
      <c r="I122" s="12"/>
      <c r="J122" s="12" t="n">
        <v>59800</v>
      </c>
      <c r="K122" s="13" t="s">
        <v>388</v>
      </c>
      <c r="L122" s="12"/>
      <c r="M122" s="12" t="n">
        <v>58200</v>
      </c>
      <c r="N122" s="12" t="s">
        <v>1463</v>
      </c>
      <c r="O122" s="13" t="s">
        <v>1464</v>
      </c>
      <c r="P122" s="12" t="n">
        <v>59800</v>
      </c>
      <c r="Q122" s="12"/>
      <c r="R122" s="12"/>
      <c r="S122" s="12"/>
      <c r="T122" s="12"/>
      <c r="U122" s="12" t="n">
        <v>59800</v>
      </c>
      <c r="V122" s="12" t="s">
        <v>1462</v>
      </c>
      <c r="W122" s="12" t="s">
        <v>1465</v>
      </c>
      <c r="X122" s="12" t="n">
        <v>8.4</v>
      </c>
      <c r="Y122" s="13" t="s">
        <v>1466</v>
      </c>
      <c r="Z122" s="13" t="s">
        <v>1467</v>
      </c>
      <c r="AA122" s="13"/>
      <c r="AB122" s="13" t="s">
        <v>1468</v>
      </c>
      <c r="AC122" s="12"/>
      <c r="AD122" s="12" t="s">
        <v>94</v>
      </c>
      <c r="AE122" s="13" t="s">
        <v>1469</v>
      </c>
      <c r="AF122" s="12" t="s">
        <v>1470</v>
      </c>
      <c r="AG122" s="12" t="s">
        <v>1471</v>
      </c>
    </row>
    <row r="123" customFormat="false" ht="43.5" hidden="false" customHeight="true" outlineLevel="0" collapsed="false">
      <c r="A123" s="12" t="n">
        <v>122</v>
      </c>
      <c r="B123" s="12" t="s">
        <v>1472</v>
      </c>
      <c r="C123" s="12" t="s">
        <v>317</v>
      </c>
      <c r="D123" s="12" t="s">
        <v>83</v>
      </c>
      <c r="E123" s="12" t="s">
        <v>84</v>
      </c>
      <c r="F123" s="12" t="s">
        <v>151</v>
      </c>
      <c r="G123" s="12"/>
      <c r="H123" s="12" t="n">
        <v>196.41</v>
      </c>
      <c r="I123" s="12" t="n">
        <v>10</v>
      </c>
      <c r="J123" s="12"/>
      <c r="K123" s="13" t="s">
        <v>1473</v>
      </c>
      <c r="L123" s="12"/>
      <c r="M123" s="12"/>
      <c r="N123" s="12"/>
      <c r="O123" s="13" t="s">
        <v>1474</v>
      </c>
      <c r="P123" s="12" t="n">
        <v>68.53</v>
      </c>
      <c r="Q123" s="12" t="s">
        <v>1475</v>
      </c>
      <c r="R123" s="12"/>
      <c r="S123" s="12"/>
      <c r="T123" s="12"/>
      <c r="U123" s="12" t="n">
        <v>82</v>
      </c>
      <c r="V123" s="12"/>
      <c r="W123" s="12" t="s">
        <v>1476</v>
      </c>
      <c r="X123" s="12"/>
      <c r="Y123" s="13" t="s">
        <v>1477</v>
      </c>
      <c r="Z123" s="13" t="s">
        <v>1478</v>
      </c>
      <c r="AA123" s="13"/>
      <c r="AB123" s="13" t="s">
        <v>1479</v>
      </c>
      <c r="AC123" s="12"/>
      <c r="AD123" s="12" t="s">
        <v>108</v>
      </c>
      <c r="AE123" s="13" t="s">
        <v>1480</v>
      </c>
      <c r="AF123" s="12" t="s">
        <v>1481</v>
      </c>
      <c r="AG123" s="12" t="s">
        <v>1482</v>
      </c>
    </row>
    <row r="124" customFormat="false" ht="43.5" hidden="false" customHeight="true" outlineLevel="0" collapsed="false">
      <c r="A124" s="12" t="n">
        <v>123</v>
      </c>
      <c r="B124" s="12" t="s">
        <v>1483</v>
      </c>
      <c r="C124" s="12" t="s">
        <v>562</v>
      </c>
      <c r="D124" s="12" t="s">
        <v>83</v>
      </c>
      <c r="E124" s="12" t="s">
        <v>84</v>
      </c>
      <c r="F124" s="12" t="s">
        <v>151</v>
      </c>
      <c r="G124" s="12"/>
      <c r="H124" s="12" t="n">
        <v>40</v>
      </c>
      <c r="I124" s="12"/>
      <c r="J124" s="12" t="n">
        <v>2.6</v>
      </c>
      <c r="K124" s="13" t="s">
        <v>1484</v>
      </c>
      <c r="L124" s="12"/>
      <c r="M124" s="12" t="n">
        <v>2</v>
      </c>
      <c r="N124" s="12"/>
      <c r="O124" s="13" t="s">
        <v>1485</v>
      </c>
      <c r="P124" s="12" t="n">
        <v>2.6</v>
      </c>
      <c r="Q124" s="12"/>
      <c r="R124" s="12"/>
      <c r="S124" s="12"/>
      <c r="T124" s="12"/>
      <c r="U124" s="12"/>
      <c r="V124" s="12" t="s">
        <v>1483</v>
      </c>
      <c r="W124" s="12" t="s">
        <v>1486</v>
      </c>
      <c r="X124" s="12" t="n">
        <v>107.1</v>
      </c>
      <c r="Y124" s="13" t="s">
        <v>1487</v>
      </c>
      <c r="Z124" s="13" t="s">
        <v>1488</v>
      </c>
      <c r="AA124" s="13"/>
      <c r="AB124" s="13"/>
      <c r="AC124" s="12"/>
      <c r="AD124" s="12" t="s">
        <v>94</v>
      </c>
      <c r="AE124" s="13" t="s">
        <v>1489</v>
      </c>
      <c r="AF124" s="12" t="s">
        <v>1490</v>
      </c>
      <c r="AG124" s="12" t="s">
        <v>1491</v>
      </c>
    </row>
    <row r="125" customFormat="false" ht="43.5" hidden="false" customHeight="true" outlineLevel="0" collapsed="false">
      <c r="A125" s="12" t="n">
        <v>124</v>
      </c>
      <c r="B125" s="12" t="s">
        <v>1492</v>
      </c>
      <c r="C125" s="12" t="s">
        <v>113</v>
      </c>
      <c r="D125" s="12" t="s">
        <v>83</v>
      </c>
      <c r="E125" s="12" t="s">
        <v>143</v>
      </c>
      <c r="F125" s="12" t="s">
        <v>143</v>
      </c>
      <c r="G125" s="12"/>
      <c r="H125" s="12"/>
      <c r="I125" s="12"/>
      <c r="J125" s="12" t="n">
        <v>60000</v>
      </c>
      <c r="K125" s="13" t="s">
        <v>1493</v>
      </c>
      <c r="L125" s="12"/>
      <c r="M125" s="12" t="n">
        <v>56800</v>
      </c>
      <c r="N125" s="12" t="s">
        <v>1494</v>
      </c>
      <c r="O125" s="13" t="s">
        <v>1495</v>
      </c>
      <c r="P125" s="12"/>
      <c r="Q125" s="12"/>
      <c r="R125" s="12"/>
      <c r="S125" s="12"/>
      <c r="T125" s="12"/>
      <c r="U125" s="12"/>
      <c r="V125" s="12"/>
      <c r="W125" s="12"/>
      <c r="X125" s="12"/>
      <c r="Y125" s="13" t="s">
        <v>1496</v>
      </c>
      <c r="Z125" s="13" t="s">
        <v>1497</v>
      </c>
      <c r="AA125" s="13"/>
      <c r="AB125" s="13" t="s">
        <v>1498</v>
      </c>
      <c r="AC125" s="12"/>
      <c r="AD125" s="12" t="s">
        <v>94</v>
      </c>
      <c r="AE125" s="13" t="s">
        <v>1499</v>
      </c>
      <c r="AF125" s="12" t="s">
        <v>1500</v>
      </c>
      <c r="AG125" s="12" t="s">
        <v>1501</v>
      </c>
    </row>
    <row r="126" customFormat="false" ht="43.5" hidden="false" customHeight="true" outlineLevel="0" collapsed="false">
      <c r="A126" s="12" t="n">
        <v>125</v>
      </c>
      <c r="B126" s="12" t="s">
        <v>1502</v>
      </c>
      <c r="C126" s="12" t="s">
        <v>113</v>
      </c>
      <c r="D126" s="12" t="s">
        <v>259</v>
      </c>
      <c r="E126" s="12" t="s">
        <v>84</v>
      </c>
      <c r="F126" s="12" t="s">
        <v>151</v>
      </c>
      <c r="G126" s="12"/>
      <c r="H126" s="12" t="n">
        <v>163.77</v>
      </c>
      <c r="I126" s="12" t="n">
        <v>150</v>
      </c>
      <c r="J126" s="12" t="n">
        <v>59700</v>
      </c>
      <c r="K126" s="13" t="s">
        <v>1503</v>
      </c>
      <c r="L126" s="12" t="s">
        <v>1419</v>
      </c>
      <c r="M126" s="12" t="n">
        <v>64000</v>
      </c>
      <c r="N126" s="12" t="s">
        <v>1504</v>
      </c>
      <c r="O126" s="13" t="s">
        <v>1505</v>
      </c>
      <c r="P126" s="12" t="n">
        <v>59972.9</v>
      </c>
      <c r="Q126" s="12"/>
      <c r="R126" s="12"/>
      <c r="S126" s="12" t="s">
        <v>1506</v>
      </c>
      <c r="T126" s="12"/>
      <c r="U126" s="12" t="n">
        <v>59318.1</v>
      </c>
      <c r="V126" s="12" t="s">
        <v>1502</v>
      </c>
      <c r="W126" s="12" t="s">
        <v>1507</v>
      </c>
      <c r="X126" s="12" t="n">
        <v>50</v>
      </c>
      <c r="Y126" s="13" t="s">
        <v>1508</v>
      </c>
      <c r="Z126" s="13" t="s">
        <v>1509</v>
      </c>
      <c r="AA126" s="13"/>
      <c r="AB126" s="13" t="s">
        <v>1510</v>
      </c>
      <c r="AC126" s="12"/>
      <c r="AD126" s="12" t="s">
        <v>108</v>
      </c>
      <c r="AE126" s="13" t="s">
        <v>1511</v>
      </c>
      <c r="AF126" s="12" t="s">
        <v>1512</v>
      </c>
      <c r="AG126" s="12" t="s">
        <v>1513</v>
      </c>
    </row>
    <row r="127" customFormat="false" ht="43.5" hidden="false" customHeight="true" outlineLevel="0" collapsed="false">
      <c r="A127" s="12" t="n">
        <v>126</v>
      </c>
      <c r="B127" s="12" t="s">
        <v>1514</v>
      </c>
      <c r="C127" s="12" t="s">
        <v>113</v>
      </c>
      <c r="D127" s="12" t="s">
        <v>83</v>
      </c>
      <c r="E127" s="12" t="s">
        <v>170</v>
      </c>
      <c r="F127" s="12" t="s">
        <v>170</v>
      </c>
      <c r="G127" s="12"/>
      <c r="H127" s="12"/>
      <c r="I127" s="12" t="n">
        <v>150</v>
      </c>
      <c r="J127" s="12" t="n">
        <v>59000</v>
      </c>
      <c r="K127" s="13" t="s">
        <v>1515</v>
      </c>
      <c r="L127" s="12"/>
      <c r="M127" s="12"/>
      <c r="N127" s="12"/>
      <c r="O127" s="13"/>
      <c r="P127" s="12" t="n">
        <v>59200</v>
      </c>
      <c r="Q127" s="12"/>
      <c r="R127" s="12"/>
      <c r="S127" s="12"/>
      <c r="T127" s="12"/>
      <c r="U127" s="12"/>
      <c r="V127" s="12" t="s">
        <v>1516</v>
      </c>
      <c r="W127" s="12"/>
      <c r="X127" s="12"/>
      <c r="Y127" s="13" t="s">
        <v>1517</v>
      </c>
      <c r="Z127" s="13" t="s">
        <v>1518</v>
      </c>
      <c r="AA127" s="13" t="s">
        <v>1519</v>
      </c>
      <c r="AB127" s="13" t="s">
        <v>1520</v>
      </c>
      <c r="AC127" s="12" t="s">
        <v>177</v>
      </c>
      <c r="AD127" s="12" t="s">
        <v>312</v>
      </c>
      <c r="AE127" s="13" t="s">
        <v>1521</v>
      </c>
      <c r="AF127" s="12" t="s">
        <v>1522</v>
      </c>
      <c r="AG127" s="12" t="s">
        <v>1523</v>
      </c>
    </row>
    <row r="128" customFormat="false" ht="43.5" hidden="false" customHeight="true" outlineLevel="0" collapsed="false">
      <c r="A128" s="12" t="n">
        <v>127</v>
      </c>
      <c r="B128" s="12" t="s">
        <v>1524</v>
      </c>
      <c r="C128" s="12" t="s">
        <v>113</v>
      </c>
      <c r="D128" s="12" t="s">
        <v>83</v>
      </c>
      <c r="E128" s="12" t="s">
        <v>84</v>
      </c>
      <c r="F128" s="12" t="s">
        <v>151</v>
      </c>
      <c r="G128" s="12" t="n">
        <v>0.5</v>
      </c>
      <c r="H128" s="12" t="n">
        <v>119.03</v>
      </c>
      <c r="I128" s="12" t="n">
        <v>150</v>
      </c>
      <c r="J128" s="12" t="n">
        <v>58300</v>
      </c>
      <c r="K128" s="13" t="s">
        <v>1525</v>
      </c>
      <c r="L128" s="12"/>
      <c r="M128" s="12" t="n">
        <v>56300</v>
      </c>
      <c r="N128" s="12"/>
      <c r="O128" s="13" t="s">
        <v>1526</v>
      </c>
      <c r="P128" s="12" t="n">
        <v>58486.2</v>
      </c>
      <c r="Q128" s="12"/>
      <c r="R128" s="12" t="s">
        <v>1527</v>
      </c>
      <c r="S128" s="12" t="s">
        <v>1528</v>
      </c>
      <c r="T128" s="12" t="s">
        <v>1529</v>
      </c>
      <c r="U128" s="12" t="n">
        <v>58950.3</v>
      </c>
      <c r="V128" s="12" t="s">
        <v>1524</v>
      </c>
      <c r="W128" s="12" t="s">
        <v>1530</v>
      </c>
      <c r="X128" s="12" t="n">
        <v>12.9</v>
      </c>
      <c r="Y128" s="13" t="s">
        <v>1531</v>
      </c>
      <c r="Z128" s="13" t="s">
        <v>1532</v>
      </c>
      <c r="AA128" s="13" t="s">
        <v>1533</v>
      </c>
      <c r="AB128" s="13" t="s">
        <v>1534</v>
      </c>
      <c r="AC128" s="12"/>
      <c r="AD128" s="12" t="s">
        <v>108</v>
      </c>
      <c r="AE128" s="13" t="s">
        <v>1535</v>
      </c>
      <c r="AF128" s="12" t="s">
        <v>1536</v>
      </c>
      <c r="AG128" s="12" t="s">
        <v>1537</v>
      </c>
    </row>
    <row r="129" customFormat="false" ht="43.5" hidden="false" customHeight="true" outlineLevel="0" collapsed="false">
      <c r="A129" s="12" t="n">
        <v>128</v>
      </c>
      <c r="B129" s="12" t="s">
        <v>1538</v>
      </c>
      <c r="C129" s="12" t="s">
        <v>596</v>
      </c>
      <c r="D129" s="12" t="s">
        <v>83</v>
      </c>
      <c r="E129" s="12" t="s">
        <v>100</v>
      </c>
      <c r="F129" s="12" t="s">
        <v>101</v>
      </c>
      <c r="G129" s="12"/>
      <c r="H129" s="12"/>
      <c r="I129" s="12"/>
      <c r="J129" s="12" t="n">
        <v>64.8</v>
      </c>
      <c r="K129" s="13" t="s">
        <v>388</v>
      </c>
      <c r="L129" s="12"/>
      <c r="M129" s="12" t="n">
        <v>62.7</v>
      </c>
      <c r="N129" s="12" t="s">
        <v>1124</v>
      </c>
      <c r="O129" s="13" t="s">
        <v>1539</v>
      </c>
      <c r="P129" s="12"/>
      <c r="Q129" s="12"/>
      <c r="R129" s="12"/>
      <c r="S129" s="12"/>
      <c r="T129" s="12"/>
      <c r="U129" s="12"/>
      <c r="V129" s="12" t="s">
        <v>1538</v>
      </c>
      <c r="W129" s="12" t="s">
        <v>1540</v>
      </c>
      <c r="X129" s="12" t="n">
        <v>24.3</v>
      </c>
      <c r="Y129" s="13" t="s">
        <v>1541</v>
      </c>
      <c r="Z129" s="13" t="s">
        <v>1542</v>
      </c>
      <c r="AA129" s="13"/>
      <c r="AB129" s="13" t="s">
        <v>1543</v>
      </c>
      <c r="AC129" s="12"/>
      <c r="AD129" s="12" t="s">
        <v>94</v>
      </c>
      <c r="AE129" s="13" t="s">
        <v>1544</v>
      </c>
      <c r="AF129" s="12" t="s">
        <v>1545</v>
      </c>
      <c r="AG129" s="12" t="s">
        <v>1546</v>
      </c>
    </row>
    <row r="130" customFormat="false" ht="43.5" hidden="false" customHeight="true" outlineLevel="0" collapsed="false">
      <c r="A130" s="12" t="n">
        <v>129</v>
      </c>
      <c r="B130" s="12" t="s">
        <v>1547</v>
      </c>
      <c r="C130" s="12" t="s">
        <v>113</v>
      </c>
      <c r="D130" s="12" t="s">
        <v>83</v>
      </c>
      <c r="E130" s="12" t="s">
        <v>84</v>
      </c>
      <c r="F130" s="12" t="s">
        <v>151</v>
      </c>
      <c r="G130" s="12" t="n">
        <v>0.5</v>
      </c>
      <c r="H130" s="12" t="n">
        <v>150.34</v>
      </c>
      <c r="I130" s="12" t="n">
        <v>150</v>
      </c>
      <c r="J130" s="12" t="n">
        <v>58400</v>
      </c>
      <c r="K130" s="13" t="s">
        <v>1548</v>
      </c>
      <c r="L130" s="12"/>
      <c r="M130" s="12" t="n">
        <v>57000</v>
      </c>
      <c r="N130" s="12"/>
      <c r="O130" s="13"/>
      <c r="P130" s="12" t="n">
        <v>58372.7</v>
      </c>
      <c r="Q130" s="12"/>
      <c r="R130" s="12"/>
      <c r="S130" s="12"/>
      <c r="T130" s="12"/>
      <c r="U130" s="12" t="n">
        <v>58957.8</v>
      </c>
      <c r="V130" s="12" t="s">
        <v>1547</v>
      </c>
      <c r="W130" s="12" t="s">
        <v>1549</v>
      </c>
      <c r="X130" s="12" t="n">
        <v>10.8</v>
      </c>
      <c r="Y130" s="13" t="s">
        <v>1550</v>
      </c>
      <c r="Z130" s="13" t="s">
        <v>1551</v>
      </c>
      <c r="AA130" s="13"/>
      <c r="AB130" s="13" t="s">
        <v>1552</v>
      </c>
      <c r="AC130" s="12"/>
      <c r="AD130" s="12" t="s">
        <v>94</v>
      </c>
      <c r="AE130" s="13" t="s">
        <v>1553</v>
      </c>
      <c r="AF130" s="12" t="s">
        <v>1554</v>
      </c>
      <c r="AG130" s="12" t="s">
        <v>1555</v>
      </c>
    </row>
    <row r="131" customFormat="false" ht="43.5" hidden="false" customHeight="true" outlineLevel="0" collapsed="false">
      <c r="A131" s="12" t="n">
        <v>130</v>
      </c>
      <c r="B131" s="12" t="s">
        <v>1556</v>
      </c>
      <c r="C131" s="12" t="s">
        <v>1404</v>
      </c>
      <c r="D131" s="12" t="s">
        <v>259</v>
      </c>
      <c r="E131" s="12" t="s">
        <v>84</v>
      </c>
      <c r="F131" s="12" t="s">
        <v>151</v>
      </c>
      <c r="G131" s="12"/>
      <c r="H131" s="12" t="n">
        <v>44.25</v>
      </c>
      <c r="I131" s="12" t="n">
        <v>50</v>
      </c>
      <c r="J131" s="12" t="n">
        <v>0.239</v>
      </c>
      <c r="K131" s="13" t="s">
        <v>1557</v>
      </c>
      <c r="L131" s="12"/>
      <c r="M131" s="12" t="n">
        <v>0.2703</v>
      </c>
      <c r="N131" s="12"/>
      <c r="O131" s="13" t="s">
        <v>1558</v>
      </c>
      <c r="P131" s="12" t="n">
        <v>0.238</v>
      </c>
      <c r="Q131" s="12"/>
      <c r="R131" s="12"/>
      <c r="S131" s="12"/>
      <c r="T131" s="12"/>
      <c r="U131" s="12" t="n">
        <v>0.2358</v>
      </c>
      <c r="V131" s="12" t="s">
        <v>1556</v>
      </c>
      <c r="W131" s="12" t="s">
        <v>1559</v>
      </c>
      <c r="X131" s="12" t="n">
        <v>85.6</v>
      </c>
      <c r="Y131" s="13" t="s">
        <v>1560</v>
      </c>
      <c r="Z131" s="13" t="s">
        <v>1561</v>
      </c>
      <c r="AA131" s="13"/>
      <c r="AB131" s="13" t="s">
        <v>302</v>
      </c>
      <c r="AC131" s="12"/>
      <c r="AD131" s="12" t="s">
        <v>94</v>
      </c>
      <c r="AE131" s="13" t="s">
        <v>1562</v>
      </c>
      <c r="AF131" s="12" t="s">
        <v>1563</v>
      </c>
      <c r="AG131" s="12" t="s">
        <v>1564</v>
      </c>
    </row>
    <row r="132" customFormat="false" ht="43.5" hidden="false" customHeight="true" outlineLevel="0" collapsed="false">
      <c r="A132" s="12" t="n">
        <v>131</v>
      </c>
      <c r="B132" s="12" t="s">
        <v>1565</v>
      </c>
      <c r="C132" s="12" t="s">
        <v>113</v>
      </c>
      <c r="D132" s="12" t="s">
        <v>83</v>
      </c>
      <c r="E132" s="12" t="s">
        <v>84</v>
      </c>
      <c r="F132" s="12" t="s">
        <v>151</v>
      </c>
      <c r="G132" s="12"/>
      <c r="H132" s="12" t="n">
        <v>554.97</v>
      </c>
      <c r="I132" s="12" t="n">
        <v>250</v>
      </c>
      <c r="J132" s="12"/>
      <c r="K132" s="13" t="s">
        <v>1566</v>
      </c>
      <c r="L132" s="12"/>
      <c r="M132" s="12"/>
      <c r="N132" s="12"/>
      <c r="O132" s="13"/>
      <c r="P132" s="12" t="n">
        <v>58637.9</v>
      </c>
      <c r="Q132" s="12"/>
      <c r="R132" s="12"/>
      <c r="S132" s="12"/>
      <c r="T132" s="12"/>
      <c r="U132" s="12" t="n">
        <v>59939.6</v>
      </c>
      <c r="V132" s="12"/>
      <c r="W132" s="12" t="s">
        <v>1565</v>
      </c>
      <c r="X132" s="12"/>
      <c r="Y132" s="13" t="s">
        <v>1567</v>
      </c>
      <c r="Z132" s="13" t="s">
        <v>1568</v>
      </c>
      <c r="AA132" s="13"/>
      <c r="AB132" s="13" t="s">
        <v>1569</v>
      </c>
      <c r="AC132" s="12"/>
      <c r="AD132" s="12" t="s">
        <v>312</v>
      </c>
      <c r="AE132" s="13" t="s">
        <v>1570</v>
      </c>
      <c r="AF132" s="12" t="s">
        <v>1571</v>
      </c>
      <c r="AG132" s="12" t="s">
        <v>1572</v>
      </c>
    </row>
    <row r="133" customFormat="false" ht="43.5" hidden="false" customHeight="true" outlineLevel="0" collapsed="false">
      <c r="A133" s="12" t="n">
        <v>132</v>
      </c>
      <c r="B133" s="12" t="s">
        <v>1573</v>
      </c>
      <c r="C133" s="12" t="s">
        <v>113</v>
      </c>
      <c r="D133" s="12" t="s">
        <v>259</v>
      </c>
      <c r="E133" s="12" t="s">
        <v>100</v>
      </c>
      <c r="F133" s="12" t="s">
        <v>101</v>
      </c>
      <c r="G133" s="12"/>
      <c r="H133" s="12"/>
      <c r="I133" s="12"/>
      <c r="J133" s="12" t="n">
        <v>59800</v>
      </c>
      <c r="K133" s="13" t="s">
        <v>1574</v>
      </c>
      <c r="L133" s="12" t="s">
        <v>1575</v>
      </c>
      <c r="M133" s="12" t="n">
        <v>61000</v>
      </c>
      <c r="N133" s="12" t="s">
        <v>1576</v>
      </c>
      <c r="O133" s="13" t="s">
        <v>1577</v>
      </c>
      <c r="P133" s="12" t="n">
        <v>60050</v>
      </c>
      <c r="Q133" s="12" t="s">
        <v>1578</v>
      </c>
      <c r="R133" s="12"/>
      <c r="S133" s="12" t="s">
        <v>1070</v>
      </c>
      <c r="T133" s="12"/>
      <c r="U133" s="12" t="n">
        <v>61000</v>
      </c>
      <c r="V133" s="12" t="s">
        <v>1573</v>
      </c>
      <c r="W133" s="12" t="s">
        <v>1579</v>
      </c>
      <c r="X133" s="12" t="n">
        <v>7.2</v>
      </c>
      <c r="Y133" s="13" t="s">
        <v>1580</v>
      </c>
      <c r="Z133" s="13" t="s">
        <v>1581</v>
      </c>
      <c r="AA133" s="13" t="s">
        <v>1410</v>
      </c>
      <c r="AB133" s="13" t="s">
        <v>1582</v>
      </c>
      <c r="AC133" s="12"/>
      <c r="AD133" s="12" t="s">
        <v>94</v>
      </c>
      <c r="AE133" s="13" t="s">
        <v>1583</v>
      </c>
      <c r="AF133" s="12" t="s">
        <v>1584</v>
      </c>
      <c r="AG133" s="12" t="s">
        <v>1585</v>
      </c>
    </row>
    <row r="134" customFormat="false" ht="43.5" hidden="false" customHeight="true" outlineLevel="0" collapsed="false">
      <c r="A134" s="12" t="n">
        <v>133</v>
      </c>
      <c r="B134" s="12" t="s">
        <v>1586</v>
      </c>
      <c r="C134" s="12" t="s">
        <v>99</v>
      </c>
      <c r="D134" s="12" t="s">
        <v>259</v>
      </c>
      <c r="E134" s="12" t="s">
        <v>100</v>
      </c>
      <c r="F134" s="12" t="s">
        <v>101</v>
      </c>
      <c r="G134" s="12"/>
      <c r="H134" s="12"/>
      <c r="I134" s="12"/>
      <c r="J134" s="12" t="n">
        <v>1662</v>
      </c>
      <c r="K134" s="13" t="s">
        <v>1587</v>
      </c>
      <c r="L134" s="12"/>
      <c r="M134" s="12" t="n">
        <v>1690</v>
      </c>
      <c r="N134" s="12" t="s">
        <v>1588</v>
      </c>
      <c r="O134" s="13"/>
      <c r="P134" s="12"/>
      <c r="Q134" s="12"/>
      <c r="R134" s="12"/>
      <c r="S134" s="12"/>
      <c r="T134" s="12"/>
      <c r="U134" s="12"/>
      <c r="V134" s="12" t="s">
        <v>1586</v>
      </c>
      <c r="W134" s="12"/>
      <c r="X134" s="12"/>
      <c r="Y134" s="13" t="s">
        <v>1589</v>
      </c>
      <c r="Z134" s="13" t="s">
        <v>1590</v>
      </c>
      <c r="AA134" s="13"/>
      <c r="AB134" s="13" t="s">
        <v>1591</v>
      </c>
      <c r="AC134" s="12"/>
      <c r="AD134" s="12" t="s">
        <v>108</v>
      </c>
      <c r="AE134" s="13" t="s">
        <v>1592</v>
      </c>
      <c r="AF134" s="12" t="s">
        <v>1593</v>
      </c>
      <c r="AG134" s="12" t="s">
        <v>1594</v>
      </c>
    </row>
    <row r="135" customFormat="false" ht="43.5" hidden="false" customHeight="true" outlineLevel="0" collapsed="false">
      <c r="A135" s="12" t="n">
        <v>134</v>
      </c>
      <c r="B135" s="12" t="s">
        <v>1595</v>
      </c>
      <c r="C135" s="12" t="s">
        <v>99</v>
      </c>
      <c r="D135" s="12" t="s">
        <v>259</v>
      </c>
      <c r="E135" s="12" t="s">
        <v>128</v>
      </c>
      <c r="F135" s="12" t="s">
        <v>128</v>
      </c>
      <c r="G135" s="12"/>
      <c r="H135" s="12" t="n">
        <v>23.1</v>
      </c>
      <c r="I135" s="12" t="n">
        <v>150</v>
      </c>
      <c r="J135" s="12" t="n">
        <v>1702</v>
      </c>
      <c r="K135" s="13" t="s">
        <v>1596</v>
      </c>
      <c r="L135" s="12"/>
      <c r="M135" s="12" t="n">
        <v>1735</v>
      </c>
      <c r="N135" s="12"/>
      <c r="O135" s="13" t="s">
        <v>1597</v>
      </c>
      <c r="P135" s="12" t="n">
        <v>1702</v>
      </c>
      <c r="Q135" s="12"/>
      <c r="R135" s="12"/>
      <c r="S135" s="12"/>
      <c r="T135" s="12"/>
      <c r="U135" s="12" t="n">
        <v>1699.37</v>
      </c>
      <c r="V135" s="12" t="s">
        <v>1595</v>
      </c>
      <c r="W135" s="12" t="s">
        <v>1598</v>
      </c>
      <c r="X135" s="12" t="n">
        <v>8.8</v>
      </c>
      <c r="Y135" s="13" t="s">
        <v>1599</v>
      </c>
      <c r="Z135" s="13" t="s">
        <v>1600</v>
      </c>
      <c r="AA135" s="13"/>
      <c r="AB135" s="13" t="s">
        <v>302</v>
      </c>
      <c r="AC135" s="12"/>
      <c r="AD135" s="12" t="s">
        <v>94</v>
      </c>
      <c r="AE135" s="13" t="s">
        <v>1601</v>
      </c>
      <c r="AF135" s="12" t="s">
        <v>1602</v>
      </c>
      <c r="AG135" s="12" t="s">
        <v>1603</v>
      </c>
    </row>
    <row r="136" customFormat="false" ht="43.5" hidden="false" customHeight="true" outlineLevel="0" collapsed="false">
      <c r="A136" s="12" t="n">
        <v>135</v>
      </c>
      <c r="B136" s="12" t="s">
        <v>1604</v>
      </c>
      <c r="C136" s="12" t="s">
        <v>296</v>
      </c>
      <c r="D136" s="12" t="s">
        <v>83</v>
      </c>
      <c r="E136" s="12" t="s">
        <v>84</v>
      </c>
      <c r="F136" s="12" t="s">
        <v>85</v>
      </c>
      <c r="G136" s="12"/>
      <c r="H136" s="12" t="n">
        <v>459.98</v>
      </c>
      <c r="I136" s="12" t="n">
        <v>125</v>
      </c>
      <c r="J136" s="12" t="n">
        <v>1.086</v>
      </c>
      <c r="K136" s="13" t="s">
        <v>1605</v>
      </c>
      <c r="L136" s="12"/>
      <c r="M136" s="12" t="n">
        <v>1.0211</v>
      </c>
      <c r="N136" s="12" t="s">
        <v>1606</v>
      </c>
      <c r="O136" s="13"/>
      <c r="P136" s="12" t="n">
        <v>1.087</v>
      </c>
      <c r="Q136" s="12"/>
      <c r="R136" s="12"/>
      <c r="S136" s="12" t="s">
        <v>1607</v>
      </c>
      <c r="T136" s="12"/>
      <c r="U136" s="12" t="n">
        <v>1.127</v>
      </c>
      <c r="V136" s="12" t="s">
        <v>1604</v>
      </c>
      <c r="W136" s="12" t="s">
        <v>1608</v>
      </c>
      <c r="X136" s="12" t="n">
        <v>18.8</v>
      </c>
      <c r="Y136" s="13" t="s">
        <v>1609</v>
      </c>
      <c r="Z136" s="13" t="s">
        <v>1610</v>
      </c>
      <c r="AA136" s="13"/>
      <c r="AB136" s="13" t="s">
        <v>302</v>
      </c>
      <c r="AC136" s="12"/>
      <c r="AD136" s="12" t="s">
        <v>108</v>
      </c>
      <c r="AE136" s="13" t="s">
        <v>1611</v>
      </c>
      <c r="AF136" s="12" t="s">
        <v>1612</v>
      </c>
      <c r="AG136" s="12" t="s">
        <v>1613</v>
      </c>
    </row>
    <row r="137" customFormat="false" ht="43.5" hidden="false" customHeight="true" outlineLevel="0" collapsed="false">
      <c r="A137" s="12" t="n">
        <v>136</v>
      </c>
      <c r="B137" s="12" t="s">
        <v>1614</v>
      </c>
      <c r="C137" s="12" t="s">
        <v>99</v>
      </c>
      <c r="D137" s="12" t="s">
        <v>259</v>
      </c>
      <c r="E137" s="12" t="s">
        <v>170</v>
      </c>
      <c r="F137" s="12" t="s">
        <v>170</v>
      </c>
      <c r="G137" s="12"/>
      <c r="H137" s="12" t="n">
        <v>195.5</v>
      </c>
      <c r="I137" s="12" t="n">
        <v>150</v>
      </c>
      <c r="J137" s="12" t="n">
        <v>1750</v>
      </c>
      <c r="K137" s="13" t="s">
        <v>1615</v>
      </c>
      <c r="L137" s="12" t="s">
        <v>1616</v>
      </c>
      <c r="M137" s="12" t="n">
        <v>1800</v>
      </c>
      <c r="N137" s="12" t="s">
        <v>1617</v>
      </c>
      <c r="O137" s="13"/>
      <c r="P137" s="12" t="n">
        <v>1759.84</v>
      </c>
      <c r="Q137" s="12"/>
      <c r="R137" s="12"/>
      <c r="S137" s="12"/>
      <c r="T137" s="12"/>
      <c r="U137" s="12"/>
      <c r="V137" s="12" t="s">
        <v>1614</v>
      </c>
      <c r="W137" s="12"/>
      <c r="X137" s="12"/>
      <c r="Y137" s="13" t="s">
        <v>1618</v>
      </c>
      <c r="Z137" s="13" t="s">
        <v>1619</v>
      </c>
      <c r="AA137" s="13" t="s">
        <v>191</v>
      </c>
      <c r="AB137" s="13" t="s">
        <v>1620</v>
      </c>
      <c r="AC137" s="12"/>
      <c r="AD137" s="12" t="s">
        <v>108</v>
      </c>
      <c r="AE137" s="13" t="s">
        <v>1621</v>
      </c>
      <c r="AF137" s="12" t="s">
        <v>1622</v>
      </c>
      <c r="AG137" s="12" t="s">
        <v>1623</v>
      </c>
    </row>
    <row r="138" customFormat="false" ht="43.5" hidden="false" customHeight="true" outlineLevel="0" collapsed="false">
      <c r="A138" s="12" t="n">
        <v>137</v>
      </c>
      <c r="B138" s="12" t="s">
        <v>1624</v>
      </c>
      <c r="C138" s="12" t="s">
        <v>669</v>
      </c>
      <c r="D138" s="12" t="s">
        <v>83</v>
      </c>
      <c r="E138" s="12" t="s">
        <v>84</v>
      </c>
      <c r="F138" s="12" t="s">
        <v>151</v>
      </c>
      <c r="G138" s="12"/>
      <c r="H138" s="12" t="n">
        <v>278.02</v>
      </c>
      <c r="I138" s="12" t="n">
        <v>100</v>
      </c>
      <c r="J138" s="12" t="n">
        <v>212.4</v>
      </c>
      <c r="K138" s="13" t="s">
        <v>388</v>
      </c>
      <c r="L138" s="12"/>
      <c r="M138" s="12" t="n">
        <v>201.76</v>
      </c>
      <c r="N138" s="12"/>
      <c r="O138" s="13"/>
      <c r="P138" s="12" t="n">
        <v>212.45</v>
      </c>
      <c r="Q138" s="12"/>
      <c r="R138" s="12"/>
      <c r="S138" s="12" t="s">
        <v>1625</v>
      </c>
      <c r="T138" s="12"/>
      <c r="U138" s="12" t="n">
        <v>218.36</v>
      </c>
      <c r="V138" s="12" t="s">
        <v>1624</v>
      </c>
      <c r="W138" s="12" t="s">
        <v>1626</v>
      </c>
      <c r="X138" s="12" t="n">
        <v>6.3</v>
      </c>
      <c r="Y138" s="13" t="s">
        <v>1627</v>
      </c>
      <c r="Z138" s="13" t="s">
        <v>1628</v>
      </c>
      <c r="AA138" s="13"/>
      <c r="AB138" s="13"/>
      <c r="AC138" s="12"/>
      <c r="AD138" s="12" t="s">
        <v>94</v>
      </c>
      <c r="AE138" s="13" t="s">
        <v>1629</v>
      </c>
      <c r="AF138" s="12" t="s">
        <v>1630</v>
      </c>
      <c r="AG138" s="12" t="s">
        <v>1631</v>
      </c>
    </row>
    <row r="139" customFormat="false" ht="43.5" hidden="false" customHeight="true" outlineLevel="0" collapsed="false">
      <c r="A139" s="12" t="n">
        <v>138</v>
      </c>
      <c r="B139" s="12" t="s">
        <v>1632</v>
      </c>
      <c r="C139" s="12" t="s">
        <v>476</v>
      </c>
      <c r="D139" s="12" t="s">
        <v>259</v>
      </c>
      <c r="E139" s="12" t="s">
        <v>84</v>
      </c>
      <c r="F139" s="12" t="s">
        <v>85</v>
      </c>
      <c r="G139" s="12"/>
      <c r="H139" s="12" t="n">
        <v>250.72</v>
      </c>
      <c r="I139" s="12" t="n">
        <v>75</v>
      </c>
      <c r="J139" s="12" t="n">
        <v>469</v>
      </c>
      <c r="K139" s="13" t="s">
        <v>1633</v>
      </c>
      <c r="L139" s="12"/>
      <c r="M139" s="12" t="n">
        <v>492.6</v>
      </c>
      <c r="N139" s="12"/>
      <c r="O139" s="13" t="s">
        <v>1634</v>
      </c>
      <c r="P139" s="12" t="n">
        <v>468.7</v>
      </c>
      <c r="Q139" s="12"/>
      <c r="R139" s="12" t="s">
        <v>1635</v>
      </c>
      <c r="S139" s="12" t="s">
        <v>1636</v>
      </c>
      <c r="T139" s="12"/>
      <c r="U139" s="12" t="n">
        <v>453.04</v>
      </c>
      <c r="V139" s="12" t="s">
        <v>1632</v>
      </c>
      <c r="W139" s="12" t="s">
        <v>1637</v>
      </c>
      <c r="X139" s="12" t="n">
        <v>6.3</v>
      </c>
      <c r="Y139" s="13" t="s">
        <v>1638</v>
      </c>
      <c r="Z139" s="13" t="s">
        <v>1639</v>
      </c>
      <c r="AA139" s="13"/>
      <c r="AB139" s="13"/>
      <c r="AC139" s="12"/>
      <c r="AD139" s="12" t="s">
        <v>94</v>
      </c>
      <c r="AE139" s="13" t="s">
        <v>1640</v>
      </c>
      <c r="AF139" s="12" t="s">
        <v>1641</v>
      </c>
      <c r="AG139" s="12" t="s">
        <v>1642</v>
      </c>
    </row>
    <row r="140" customFormat="false" ht="43.5" hidden="false" customHeight="true" outlineLevel="0" collapsed="false">
      <c r="A140" s="12" t="n">
        <v>139</v>
      </c>
      <c r="B140" s="12" t="s">
        <v>1643</v>
      </c>
      <c r="C140" s="12" t="s">
        <v>596</v>
      </c>
      <c r="D140" s="12" t="s">
        <v>83</v>
      </c>
      <c r="E140" s="12" t="s">
        <v>84</v>
      </c>
      <c r="F140" s="12" t="s">
        <v>85</v>
      </c>
      <c r="G140" s="12"/>
      <c r="H140" s="12" t="n">
        <v>219.04</v>
      </c>
      <c r="I140" s="12" t="n">
        <v>75</v>
      </c>
      <c r="J140" s="12" t="n">
        <v>68.8</v>
      </c>
      <c r="K140" s="13" t="s">
        <v>388</v>
      </c>
      <c r="L140" s="12"/>
      <c r="M140" s="12" t="n">
        <v>65.11</v>
      </c>
      <c r="N140" s="12"/>
      <c r="O140" s="13" t="s">
        <v>1644</v>
      </c>
      <c r="P140" s="12" t="n">
        <v>68.787</v>
      </c>
      <c r="Q140" s="12"/>
      <c r="R140" s="12"/>
      <c r="S140" s="12" t="s">
        <v>1645</v>
      </c>
      <c r="T140" s="12"/>
      <c r="U140" s="12" t="n">
        <v>70.796</v>
      </c>
      <c r="V140" s="12" t="s">
        <v>1643</v>
      </c>
      <c r="W140" s="12" t="s">
        <v>1646</v>
      </c>
      <c r="X140" s="12" t="n">
        <v>11.3</v>
      </c>
      <c r="Y140" s="13" t="s">
        <v>1647</v>
      </c>
      <c r="Z140" s="13" t="s">
        <v>1648</v>
      </c>
      <c r="AA140" s="13"/>
      <c r="AB140" s="13" t="s">
        <v>1649</v>
      </c>
      <c r="AC140" s="12"/>
      <c r="AD140" s="12" t="s">
        <v>94</v>
      </c>
      <c r="AE140" s="13" t="s">
        <v>1650</v>
      </c>
      <c r="AF140" s="12" t="s">
        <v>1651</v>
      </c>
      <c r="AG140" s="12" t="s">
        <v>1652</v>
      </c>
    </row>
    <row r="141" customFormat="false" ht="43.5" hidden="false" customHeight="true" outlineLevel="0" collapsed="false">
      <c r="A141" s="12" t="n">
        <v>140</v>
      </c>
      <c r="B141" s="12" t="s">
        <v>1653</v>
      </c>
      <c r="C141" s="12" t="s">
        <v>1654</v>
      </c>
      <c r="D141" s="12" t="s">
        <v>259</v>
      </c>
      <c r="E141" s="12" t="s">
        <v>84</v>
      </c>
      <c r="F141" s="12" t="s">
        <v>85</v>
      </c>
      <c r="G141" s="12" t="n">
        <v>0.5</v>
      </c>
      <c r="H141" s="12" t="n">
        <v>231.95</v>
      </c>
      <c r="I141" s="12" t="n">
        <v>75</v>
      </c>
      <c r="J141" s="12" t="n">
        <v>0.1068</v>
      </c>
      <c r="K141" s="13" t="s">
        <v>388</v>
      </c>
      <c r="L141" s="12"/>
      <c r="M141" s="12" t="n">
        <v>0.1123</v>
      </c>
      <c r="N141" s="12"/>
      <c r="O141" s="13"/>
      <c r="P141" s="12" t="n">
        <v>0.1067</v>
      </c>
      <c r="Q141" s="12"/>
      <c r="R141" s="12"/>
      <c r="S141" s="12"/>
      <c r="T141" s="12"/>
      <c r="U141" s="12" t="n">
        <v>0.1034</v>
      </c>
      <c r="V141" s="12" t="s">
        <v>1653</v>
      </c>
      <c r="W141" s="12" t="s">
        <v>1655</v>
      </c>
      <c r="X141" s="12" t="n">
        <v>3.9</v>
      </c>
      <c r="Y141" s="13" t="s">
        <v>1656</v>
      </c>
      <c r="Z141" s="13" t="s">
        <v>1657</v>
      </c>
      <c r="AA141" s="13"/>
      <c r="AB141" s="13"/>
      <c r="AC141" s="12"/>
      <c r="AD141" s="12" t="s">
        <v>94</v>
      </c>
      <c r="AE141" s="13" t="s">
        <v>1658</v>
      </c>
      <c r="AF141" s="12" t="s">
        <v>1659</v>
      </c>
      <c r="AG141" s="12" t="s">
        <v>1660</v>
      </c>
    </row>
    <row r="142" customFormat="false" ht="43.5" hidden="false" customHeight="true" outlineLevel="0" collapsed="false">
      <c r="A142" s="12" t="n">
        <v>141</v>
      </c>
      <c r="B142" s="12" t="s">
        <v>1661</v>
      </c>
      <c r="C142" s="12" t="s">
        <v>1662</v>
      </c>
      <c r="D142" s="12" t="s">
        <v>83</v>
      </c>
      <c r="E142" s="12" t="s">
        <v>84</v>
      </c>
      <c r="F142" s="12" t="s">
        <v>151</v>
      </c>
      <c r="G142" s="12"/>
      <c r="H142" s="12" t="n">
        <v>179.96</v>
      </c>
      <c r="I142" s="12" t="n">
        <v>50</v>
      </c>
      <c r="J142" s="12" t="n">
        <v>0.0644</v>
      </c>
      <c r="K142" s="13" t="s">
        <v>1663</v>
      </c>
      <c r="L142" s="12"/>
      <c r="M142" s="12" t="n">
        <v>0.0493</v>
      </c>
      <c r="N142" s="12"/>
      <c r="O142" s="13" t="s">
        <v>1664</v>
      </c>
      <c r="P142" s="12" t="n">
        <v>0.06447</v>
      </c>
      <c r="Q142" s="12"/>
      <c r="R142" s="12"/>
      <c r="S142" s="12"/>
      <c r="T142" s="12"/>
      <c r="U142" s="12" t="n">
        <v>0.0668</v>
      </c>
      <c r="V142" s="12" t="s">
        <v>1661</v>
      </c>
      <c r="W142" s="12" t="s">
        <v>1665</v>
      </c>
      <c r="X142" s="12" t="n">
        <v>453</v>
      </c>
      <c r="Y142" s="13" t="s">
        <v>1666</v>
      </c>
      <c r="Z142" s="13" t="s">
        <v>1667</v>
      </c>
      <c r="AA142" s="13"/>
      <c r="AB142" s="13"/>
      <c r="AC142" s="12"/>
      <c r="AD142" s="12" t="s">
        <v>94</v>
      </c>
      <c r="AE142" s="13" t="s">
        <v>1668</v>
      </c>
      <c r="AF142" s="12" t="s">
        <v>1669</v>
      </c>
      <c r="AG142" s="12" t="s">
        <v>1670</v>
      </c>
    </row>
    <row r="143" customFormat="false" ht="43.5" hidden="false" customHeight="true" outlineLevel="0" collapsed="false">
      <c r="A143" s="12" t="n">
        <v>142</v>
      </c>
      <c r="B143" s="12" t="s">
        <v>1671</v>
      </c>
      <c r="C143" s="12" t="s">
        <v>1672</v>
      </c>
      <c r="D143" s="12" t="s">
        <v>259</v>
      </c>
      <c r="E143" s="12" t="s">
        <v>84</v>
      </c>
      <c r="F143" s="12" t="s">
        <v>85</v>
      </c>
      <c r="G143" s="12"/>
      <c r="H143" s="12" t="n">
        <v>188.93</v>
      </c>
      <c r="I143" s="12" t="n">
        <v>75</v>
      </c>
      <c r="J143" s="12" t="n">
        <v>0.1993</v>
      </c>
      <c r="K143" s="13" t="s">
        <v>1673</v>
      </c>
      <c r="L143" s="12"/>
      <c r="M143" s="12" t="n">
        <v>0.20923</v>
      </c>
      <c r="N143" s="12" t="s">
        <v>1674</v>
      </c>
      <c r="O143" s="13" t="s">
        <v>1675</v>
      </c>
      <c r="P143" s="12" t="n">
        <v>0.19789</v>
      </c>
      <c r="Q143" s="12"/>
      <c r="R143" s="12"/>
      <c r="S143" s="12"/>
      <c r="T143" s="12"/>
      <c r="U143" s="12" t="n">
        <v>0.19291</v>
      </c>
      <c r="V143" s="12" t="s">
        <v>1671</v>
      </c>
      <c r="W143" s="12" t="s">
        <v>1676</v>
      </c>
      <c r="X143" s="12" t="n">
        <v>21.1</v>
      </c>
      <c r="Y143" s="13" t="s">
        <v>1677</v>
      </c>
      <c r="Z143" s="13" t="s">
        <v>1678</v>
      </c>
      <c r="AA143" s="13"/>
      <c r="AB143" s="13" t="s">
        <v>1679</v>
      </c>
      <c r="AC143" s="12"/>
      <c r="AD143" s="12" t="s">
        <v>94</v>
      </c>
      <c r="AE143" s="13" t="s">
        <v>1680</v>
      </c>
      <c r="AF143" s="12" t="s">
        <v>1681</v>
      </c>
      <c r="AG143" s="12" t="s">
        <v>1682</v>
      </c>
    </row>
    <row r="144" customFormat="false" ht="43.5" hidden="false" customHeight="true" outlineLevel="0" collapsed="false">
      <c r="A144" s="12" t="n">
        <v>143</v>
      </c>
      <c r="B144" s="12" t="s">
        <v>1683</v>
      </c>
      <c r="C144" s="12" t="s">
        <v>552</v>
      </c>
      <c r="D144" s="12" t="s">
        <v>259</v>
      </c>
      <c r="E144" s="12" t="s">
        <v>100</v>
      </c>
      <c r="F144" s="12" t="s">
        <v>101</v>
      </c>
      <c r="G144" s="12"/>
      <c r="H144" s="12"/>
      <c r="I144" s="12"/>
      <c r="J144" s="12" t="n">
        <v>6.42</v>
      </c>
      <c r="K144" s="13" t="s">
        <v>1684</v>
      </c>
      <c r="L144" s="12"/>
      <c r="M144" s="12" t="n">
        <v>6.752</v>
      </c>
      <c r="N144" s="12" t="s">
        <v>1685</v>
      </c>
      <c r="O144" s="13"/>
      <c r="P144" s="12"/>
      <c r="Q144" s="12"/>
      <c r="R144" s="12"/>
      <c r="S144" s="12"/>
      <c r="T144" s="12"/>
      <c r="U144" s="12"/>
      <c r="V144" s="12" t="s">
        <v>1683</v>
      </c>
      <c r="W144" s="12" t="s">
        <v>1686</v>
      </c>
      <c r="X144" s="12" t="n">
        <v>17.4</v>
      </c>
      <c r="Y144" s="13" t="s">
        <v>1687</v>
      </c>
      <c r="Z144" s="13" t="s">
        <v>1688</v>
      </c>
      <c r="AA144" s="13"/>
      <c r="AB144" s="13" t="s">
        <v>1689</v>
      </c>
      <c r="AC144" s="12"/>
      <c r="AD144" s="12" t="s">
        <v>108</v>
      </c>
      <c r="AE144" s="13" t="s">
        <v>1690</v>
      </c>
      <c r="AF144" s="12" t="s">
        <v>1691</v>
      </c>
      <c r="AG144" s="12" t="s">
        <v>1692</v>
      </c>
    </row>
    <row r="145" customFormat="false" ht="43.5" hidden="false" customHeight="true" outlineLevel="0" collapsed="false">
      <c r="A145" s="12" t="n">
        <v>144</v>
      </c>
      <c r="B145" s="12" t="s">
        <v>1693</v>
      </c>
      <c r="C145" s="12" t="s">
        <v>317</v>
      </c>
      <c r="D145" s="12" t="s">
        <v>83</v>
      </c>
      <c r="E145" s="12" t="s">
        <v>128</v>
      </c>
      <c r="F145" s="12" t="s">
        <v>128</v>
      </c>
      <c r="G145" s="12"/>
      <c r="H145" s="12" t="n">
        <v>14.22</v>
      </c>
      <c r="I145" s="12" t="n">
        <v>125</v>
      </c>
      <c r="J145" s="12" t="n">
        <v>77.9</v>
      </c>
      <c r="K145" s="13" t="s">
        <v>1694</v>
      </c>
      <c r="L145" s="12"/>
      <c r="M145" s="12" t="n">
        <v>73</v>
      </c>
      <c r="N145" s="12"/>
      <c r="O145" s="13"/>
      <c r="P145" s="12" t="n">
        <v>77.9</v>
      </c>
      <c r="Q145" s="12"/>
      <c r="R145" s="12"/>
      <c r="S145" s="12"/>
      <c r="T145" s="12"/>
      <c r="U145" s="12" t="n">
        <v>77.99</v>
      </c>
      <c r="V145" s="12" t="s">
        <v>1693</v>
      </c>
      <c r="W145" s="12" t="s">
        <v>1695</v>
      </c>
      <c r="X145" s="12" t="n">
        <v>275.1</v>
      </c>
      <c r="Y145" s="13" t="s">
        <v>1696</v>
      </c>
      <c r="Z145" s="13" t="s">
        <v>1697</v>
      </c>
      <c r="AA145" s="13"/>
      <c r="AB145" s="13" t="s">
        <v>1698</v>
      </c>
      <c r="AC145" s="12"/>
      <c r="AD145" s="12" t="s">
        <v>94</v>
      </c>
      <c r="AE145" s="13" t="s">
        <v>1699</v>
      </c>
      <c r="AF145" s="12" t="s">
        <v>1700</v>
      </c>
      <c r="AG145" s="12" t="s">
        <v>1701</v>
      </c>
    </row>
    <row r="146" customFormat="false" ht="43.5" hidden="false" customHeight="true" outlineLevel="0" collapsed="false">
      <c r="A146" s="12" t="n">
        <v>145</v>
      </c>
      <c r="B146" s="12" t="s">
        <v>1702</v>
      </c>
      <c r="C146" s="12" t="s">
        <v>113</v>
      </c>
      <c r="D146" s="12" t="s">
        <v>83</v>
      </c>
      <c r="E146" s="12" t="s">
        <v>84</v>
      </c>
      <c r="F146" s="12" t="s">
        <v>85</v>
      </c>
      <c r="G146" s="12"/>
      <c r="H146" s="12" t="n">
        <v>182.32</v>
      </c>
      <c r="I146" s="12" t="n">
        <v>150</v>
      </c>
      <c r="J146" s="12" t="n">
        <v>63200</v>
      </c>
      <c r="K146" s="13" t="s">
        <v>1703</v>
      </c>
      <c r="L146" s="12" t="s">
        <v>1704</v>
      </c>
      <c r="M146" s="12" t="n">
        <v>61700</v>
      </c>
      <c r="N146" s="12" t="s">
        <v>1705</v>
      </c>
      <c r="O146" s="13" t="s">
        <v>1706</v>
      </c>
      <c r="P146" s="12" t="n">
        <v>63229.9</v>
      </c>
      <c r="Q146" s="12"/>
      <c r="R146" s="12"/>
      <c r="S146" s="12"/>
      <c r="T146" s="12"/>
      <c r="U146" s="12" t="n">
        <v>63998.4</v>
      </c>
      <c r="V146" s="12" t="s">
        <v>1702</v>
      </c>
      <c r="W146" s="12" t="s">
        <v>1707</v>
      </c>
      <c r="X146" s="12" t="n">
        <v>6.3</v>
      </c>
      <c r="Y146" s="13" t="s">
        <v>1708</v>
      </c>
      <c r="Z146" s="13" t="s">
        <v>1709</v>
      </c>
      <c r="AA146" s="13"/>
      <c r="AB146" s="13" t="s">
        <v>1710</v>
      </c>
      <c r="AC146" s="12"/>
      <c r="AD146" s="12" t="s">
        <v>94</v>
      </c>
      <c r="AE146" s="13" t="s">
        <v>1711</v>
      </c>
      <c r="AF146" s="12" t="s">
        <v>1712</v>
      </c>
      <c r="AG146" s="12" t="s">
        <v>1713</v>
      </c>
    </row>
    <row r="147" customFormat="false" ht="43.5" hidden="false" customHeight="true" outlineLevel="0" collapsed="false">
      <c r="A147" s="12" t="n">
        <v>146</v>
      </c>
      <c r="B147" s="12" t="s">
        <v>1714</v>
      </c>
      <c r="C147" s="12" t="s">
        <v>1715</v>
      </c>
      <c r="D147" s="12" t="s">
        <v>83</v>
      </c>
      <c r="E147" s="12" t="s">
        <v>84</v>
      </c>
      <c r="F147" s="12" t="s">
        <v>151</v>
      </c>
      <c r="G147" s="12"/>
      <c r="H147" s="12" t="n">
        <v>172.22</v>
      </c>
      <c r="I147" s="12" t="n">
        <v>20</v>
      </c>
      <c r="J147" s="12" t="n">
        <v>0.359</v>
      </c>
      <c r="K147" s="13" t="s">
        <v>1716</v>
      </c>
      <c r="L147" s="12"/>
      <c r="M147" s="12" t="n">
        <v>0.2864</v>
      </c>
      <c r="N147" s="12"/>
      <c r="O147" s="13" t="s">
        <v>1717</v>
      </c>
      <c r="P147" s="12" t="n">
        <v>0.3509</v>
      </c>
      <c r="Q147" s="12"/>
      <c r="R147" s="12"/>
      <c r="S147" s="12" t="s">
        <v>1718</v>
      </c>
      <c r="T147" s="12"/>
      <c r="U147" s="12" t="n">
        <v>0.3816</v>
      </c>
      <c r="V147" s="12" t="s">
        <v>1714</v>
      </c>
      <c r="W147" s="12" t="s">
        <v>1719</v>
      </c>
      <c r="X147" s="12" t="n">
        <v>348.5</v>
      </c>
      <c r="Y147" s="13" t="s">
        <v>1720</v>
      </c>
      <c r="Z147" s="13" t="s">
        <v>1721</v>
      </c>
      <c r="AA147" s="13"/>
      <c r="AB147" s="13" t="s">
        <v>302</v>
      </c>
      <c r="AC147" s="12"/>
      <c r="AD147" s="12" t="s">
        <v>108</v>
      </c>
      <c r="AE147" s="13" t="s">
        <v>1722</v>
      </c>
      <c r="AF147" s="12" t="s">
        <v>1723</v>
      </c>
      <c r="AG147" s="12" t="s">
        <v>1724</v>
      </c>
    </row>
    <row r="148" customFormat="false" ht="43.5" hidden="false" customHeight="true" outlineLevel="0" collapsed="false">
      <c r="A148" s="12" t="n">
        <v>147</v>
      </c>
      <c r="B148" s="12" t="s">
        <v>1725</v>
      </c>
      <c r="C148" s="12" t="s">
        <v>113</v>
      </c>
      <c r="D148" s="12" t="s">
        <v>83</v>
      </c>
      <c r="E148" s="12" t="s">
        <v>84</v>
      </c>
      <c r="F148" s="12" t="s">
        <v>151</v>
      </c>
      <c r="G148" s="12"/>
      <c r="H148" s="12" t="n">
        <v>240.4</v>
      </c>
      <c r="I148" s="12" t="n">
        <v>150</v>
      </c>
      <c r="J148" s="12" t="n">
        <v>62800</v>
      </c>
      <c r="K148" s="13" t="s">
        <v>1726</v>
      </c>
      <c r="L148" s="12"/>
      <c r="M148" s="12" t="n">
        <v>61500</v>
      </c>
      <c r="N148" s="12" t="s">
        <v>1727</v>
      </c>
      <c r="O148" s="13"/>
      <c r="P148" s="12" t="n">
        <v>62775.4</v>
      </c>
      <c r="Q148" s="12"/>
      <c r="R148" s="12"/>
      <c r="S148" s="12" t="s">
        <v>1728</v>
      </c>
      <c r="T148" s="12"/>
      <c r="U148" s="12" t="n">
        <v>63781.6</v>
      </c>
      <c r="V148" s="12" t="s">
        <v>1725</v>
      </c>
      <c r="W148" s="12" t="s">
        <v>1729</v>
      </c>
      <c r="X148" s="12" t="n">
        <v>33.6</v>
      </c>
      <c r="Y148" s="13" t="s">
        <v>1730</v>
      </c>
      <c r="Z148" s="13" t="s">
        <v>1731</v>
      </c>
      <c r="AA148" s="13"/>
      <c r="AB148" s="13" t="s">
        <v>1732</v>
      </c>
      <c r="AC148" s="12"/>
      <c r="AD148" s="12" t="s">
        <v>94</v>
      </c>
      <c r="AE148" s="13" t="s">
        <v>1733</v>
      </c>
      <c r="AF148" s="12" t="s">
        <v>1734</v>
      </c>
      <c r="AG148" s="12" t="s">
        <v>1735</v>
      </c>
    </row>
    <row r="149" customFormat="false" ht="43.5" hidden="false" customHeight="true" outlineLevel="0" collapsed="false">
      <c r="A149" s="12" t="n">
        <v>148</v>
      </c>
      <c r="B149" s="12" t="s">
        <v>1736</v>
      </c>
      <c r="C149" s="12" t="s">
        <v>1737</v>
      </c>
      <c r="D149" s="12" t="s">
        <v>83</v>
      </c>
      <c r="E149" s="12" t="s">
        <v>170</v>
      </c>
      <c r="F149" s="12" t="s">
        <v>170</v>
      </c>
      <c r="G149" s="12"/>
      <c r="H149" s="12"/>
      <c r="I149" s="12"/>
      <c r="J149" s="12" t="n">
        <v>0.241</v>
      </c>
      <c r="K149" s="13" t="s">
        <v>388</v>
      </c>
      <c r="L149" s="12"/>
      <c r="M149" s="12" t="n">
        <v>0.22</v>
      </c>
      <c r="N149" s="12" t="s">
        <v>1738</v>
      </c>
      <c r="O149" s="13"/>
      <c r="P149" s="12"/>
      <c r="Q149" s="12"/>
      <c r="R149" s="12"/>
      <c r="S149" s="12"/>
      <c r="T149" s="12"/>
      <c r="U149" s="12"/>
      <c r="V149" s="12" t="s">
        <v>1736</v>
      </c>
      <c r="W149" s="12"/>
      <c r="X149" s="12"/>
      <c r="Y149" s="13" t="s">
        <v>1739</v>
      </c>
      <c r="Z149" s="13" t="s">
        <v>1740</v>
      </c>
      <c r="AA149" s="13"/>
      <c r="AB149" s="13"/>
      <c r="AC149" s="12"/>
      <c r="AD149" s="12" t="s">
        <v>312</v>
      </c>
      <c r="AE149" s="13" t="s">
        <v>1741</v>
      </c>
      <c r="AF149" s="12" t="s">
        <v>1742</v>
      </c>
      <c r="AG149" s="12" t="s">
        <v>1743</v>
      </c>
    </row>
    <row r="150" customFormat="false" ht="43.5" hidden="false" customHeight="true" outlineLevel="0" collapsed="false">
      <c r="A150" s="12" t="n">
        <v>149</v>
      </c>
      <c r="B150" s="12" t="s">
        <v>1744</v>
      </c>
      <c r="C150" s="12" t="s">
        <v>1745</v>
      </c>
      <c r="D150" s="12" t="s">
        <v>83</v>
      </c>
      <c r="E150" s="12" t="s">
        <v>84</v>
      </c>
      <c r="F150" s="12" t="s">
        <v>151</v>
      </c>
      <c r="G150" s="12"/>
      <c r="H150" s="12" t="n">
        <v>342.56</v>
      </c>
      <c r="I150" s="12" t="n">
        <v>25</v>
      </c>
      <c r="J150" s="12"/>
      <c r="K150" s="13" t="s">
        <v>1746</v>
      </c>
      <c r="L150" s="12"/>
      <c r="M150" s="12" t="n">
        <v>0.0067</v>
      </c>
      <c r="N150" s="12"/>
      <c r="O150" s="13" t="s">
        <v>1747</v>
      </c>
      <c r="P150" s="12" t="n">
        <v>0.008487</v>
      </c>
      <c r="Q150" s="12"/>
      <c r="R150" s="12"/>
      <c r="S150" s="12"/>
      <c r="T150" s="12"/>
      <c r="U150" s="12" t="n">
        <v>0.009649</v>
      </c>
      <c r="V150" s="12" t="s">
        <v>1744</v>
      </c>
      <c r="W150" s="12" t="s">
        <v>1748</v>
      </c>
      <c r="X150" s="12" t="n">
        <v>1.3</v>
      </c>
      <c r="Y150" s="13" t="s">
        <v>1749</v>
      </c>
      <c r="Z150" s="13" t="s">
        <v>1750</v>
      </c>
      <c r="AA150" s="13"/>
      <c r="AB150" s="13" t="s">
        <v>302</v>
      </c>
      <c r="AC150" s="12"/>
      <c r="AD150" s="12" t="s">
        <v>108</v>
      </c>
      <c r="AE150" s="13" t="s">
        <v>1751</v>
      </c>
      <c r="AF150" s="12" t="s">
        <v>1752</v>
      </c>
      <c r="AG150" s="12" t="s">
        <v>1753</v>
      </c>
    </row>
    <row r="151" customFormat="false" ht="43.5" hidden="false" customHeight="true" outlineLevel="0" collapsed="false">
      <c r="A151" s="12" t="n">
        <v>150</v>
      </c>
      <c r="B151" s="12" t="s">
        <v>1754</v>
      </c>
      <c r="C151" s="12" t="s">
        <v>113</v>
      </c>
      <c r="D151" s="12" t="s">
        <v>259</v>
      </c>
      <c r="E151" s="12" t="s">
        <v>84</v>
      </c>
      <c r="F151" s="12" t="s">
        <v>151</v>
      </c>
      <c r="G151" s="12"/>
      <c r="H151" s="12" t="n">
        <v>11.92</v>
      </c>
      <c r="I151" s="12" t="n">
        <v>150</v>
      </c>
      <c r="J151" s="12" t="n">
        <v>64850</v>
      </c>
      <c r="K151" s="13" t="s">
        <v>1755</v>
      </c>
      <c r="L151" s="12"/>
      <c r="M151" s="12" t="n">
        <v>66200</v>
      </c>
      <c r="N151" s="12" t="s">
        <v>1071</v>
      </c>
      <c r="O151" s="13" t="s">
        <v>1756</v>
      </c>
      <c r="P151" s="12" t="n">
        <v>64948.66</v>
      </c>
      <c r="Q151" s="12" t="s">
        <v>1757</v>
      </c>
      <c r="R151" s="12"/>
      <c r="S151" s="12" t="s">
        <v>1758</v>
      </c>
      <c r="T151" s="12"/>
      <c r="U151" s="12" t="n">
        <v>64896.8</v>
      </c>
      <c r="V151" s="12" t="s">
        <v>1754</v>
      </c>
      <c r="W151" s="12" t="s">
        <v>1759</v>
      </c>
      <c r="X151" s="12" t="n">
        <v>32.4</v>
      </c>
      <c r="Y151" s="13" t="s">
        <v>1760</v>
      </c>
      <c r="Z151" s="13" t="s">
        <v>1761</v>
      </c>
      <c r="AA151" s="13"/>
      <c r="AB151" s="13" t="s">
        <v>1762</v>
      </c>
      <c r="AC151" s="12"/>
      <c r="AD151" s="12" t="s">
        <v>94</v>
      </c>
      <c r="AE151" s="13" t="s">
        <v>1763</v>
      </c>
      <c r="AF151" s="12" t="s">
        <v>1764</v>
      </c>
      <c r="AG151" s="12" t="s">
        <v>1765</v>
      </c>
    </row>
    <row r="152" customFormat="false" ht="43.5" hidden="false" customHeight="true" outlineLevel="0" collapsed="false">
      <c r="A152" s="12" t="n">
        <v>151</v>
      </c>
      <c r="B152" s="12" t="s">
        <v>1766</v>
      </c>
      <c r="C152" s="12" t="s">
        <v>113</v>
      </c>
      <c r="D152" s="12" t="s">
        <v>83</v>
      </c>
      <c r="E152" s="12" t="s">
        <v>84</v>
      </c>
      <c r="F152" s="12" t="s">
        <v>85</v>
      </c>
      <c r="G152" s="12"/>
      <c r="H152" s="12" t="n">
        <v>171.25</v>
      </c>
      <c r="I152" s="12" t="n">
        <v>150</v>
      </c>
      <c r="J152" s="12" t="n">
        <v>63469</v>
      </c>
      <c r="K152" s="13" t="s">
        <v>1767</v>
      </c>
      <c r="L152" s="12" t="s">
        <v>1768</v>
      </c>
      <c r="M152" s="12" t="n">
        <v>62000</v>
      </c>
      <c r="N152" s="12" t="s">
        <v>1769</v>
      </c>
      <c r="O152" s="13"/>
      <c r="P152" s="12" t="n">
        <v>63100</v>
      </c>
      <c r="Q152" s="12" t="s">
        <v>1770</v>
      </c>
      <c r="R152" s="12"/>
      <c r="S152" s="12"/>
      <c r="T152" s="12"/>
      <c r="U152" s="12"/>
      <c r="V152" s="12" t="s">
        <v>1766</v>
      </c>
      <c r="W152" s="12" t="s">
        <v>1771</v>
      </c>
      <c r="X152" s="12" t="n">
        <v>16.5</v>
      </c>
      <c r="Y152" s="13" t="s">
        <v>1772</v>
      </c>
      <c r="Z152" s="13" t="s">
        <v>1773</v>
      </c>
      <c r="AA152" s="13" t="s">
        <v>191</v>
      </c>
      <c r="AB152" s="13" t="s">
        <v>1774</v>
      </c>
      <c r="AC152" s="12"/>
      <c r="AD152" s="12" t="s">
        <v>108</v>
      </c>
      <c r="AE152" s="13" t="s">
        <v>1775</v>
      </c>
      <c r="AF152" s="12" t="s">
        <v>1776</v>
      </c>
      <c r="AG152" s="12" t="s">
        <v>1777</v>
      </c>
    </row>
    <row r="153" customFormat="false" ht="43.5" hidden="false" customHeight="true" outlineLevel="0" collapsed="false">
      <c r="A153" s="12" t="n">
        <v>152</v>
      </c>
      <c r="B153" s="12" t="s">
        <v>1778</v>
      </c>
      <c r="C153" s="12" t="s">
        <v>113</v>
      </c>
      <c r="D153" s="12" t="s">
        <v>83</v>
      </c>
      <c r="E153" s="12" t="s">
        <v>84</v>
      </c>
      <c r="F153" s="12" t="s">
        <v>85</v>
      </c>
      <c r="G153" s="12" t="n">
        <v>1.7</v>
      </c>
      <c r="H153" s="12" t="n">
        <v>204.89</v>
      </c>
      <c r="I153" s="12"/>
      <c r="J153" s="12" t="n">
        <v>63323</v>
      </c>
      <c r="K153" s="13" t="s">
        <v>1779</v>
      </c>
      <c r="L153" s="12"/>
      <c r="M153" s="12" t="n">
        <v>61300</v>
      </c>
      <c r="N153" s="12" t="s">
        <v>1780</v>
      </c>
      <c r="O153" s="13"/>
      <c r="P153" s="12" t="n">
        <v>63244.7</v>
      </c>
      <c r="Q153" s="12"/>
      <c r="R153" s="12" t="s">
        <v>1781</v>
      </c>
      <c r="S153" s="12" t="s">
        <v>1782</v>
      </c>
      <c r="T153" s="12" t="s">
        <v>1783</v>
      </c>
      <c r="U153" s="12" t="n">
        <v>66200</v>
      </c>
      <c r="V153" s="12" t="s">
        <v>1778</v>
      </c>
      <c r="W153" s="12" t="s">
        <v>1784</v>
      </c>
      <c r="X153" s="12" t="n">
        <v>101.8</v>
      </c>
      <c r="Y153" s="13" t="s">
        <v>1785</v>
      </c>
      <c r="Z153" s="13" t="s">
        <v>1786</v>
      </c>
      <c r="AA153" s="13" t="s">
        <v>1787</v>
      </c>
      <c r="AB153" s="13" t="s">
        <v>1788</v>
      </c>
      <c r="AC153" s="12"/>
      <c r="AD153" s="12" t="s">
        <v>94</v>
      </c>
      <c r="AE153" s="13" t="s">
        <v>1789</v>
      </c>
      <c r="AF153" s="12" t="s">
        <v>1790</v>
      </c>
      <c r="AG153" s="12" t="s">
        <v>1791</v>
      </c>
    </row>
    <row r="154" customFormat="false" ht="43.5" hidden="false" customHeight="true" outlineLevel="0" collapsed="false">
      <c r="A154" s="12" t="n">
        <v>153</v>
      </c>
      <c r="B154" s="12" t="s">
        <v>1792</v>
      </c>
      <c r="C154" s="12" t="s">
        <v>476</v>
      </c>
      <c r="D154" s="12" t="s">
        <v>83</v>
      </c>
      <c r="E154" s="12" t="s">
        <v>84</v>
      </c>
      <c r="F154" s="12" t="s">
        <v>151</v>
      </c>
      <c r="G154" s="12"/>
      <c r="H154" s="12" t="n">
        <v>147.51</v>
      </c>
      <c r="I154" s="12" t="n">
        <v>75</v>
      </c>
      <c r="J154" s="12" t="n">
        <v>544</v>
      </c>
      <c r="K154" s="13" t="s">
        <v>1793</v>
      </c>
      <c r="L154" s="12"/>
      <c r="M154" s="12" t="n">
        <v>530</v>
      </c>
      <c r="N154" s="12"/>
      <c r="O154" s="13"/>
      <c r="P154" s="12"/>
      <c r="Q154" s="12"/>
      <c r="R154" s="12"/>
      <c r="S154" s="12" t="s">
        <v>1794</v>
      </c>
      <c r="T154" s="12"/>
      <c r="U154" s="12" t="n">
        <v>560</v>
      </c>
      <c r="V154" s="12" t="s">
        <v>1792</v>
      </c>
      <c r="W154" s="12" t="s">
        <v>1795</v>
      </c>
      <c r="X154" s="12" t="n">
        <v>2.7</v>
      </c>
      <c r="Y154" s="13" t="s">
        <v>1796</v>
      </c>
      <c r="Z154" s="13" t="s">
        <v>1797</v>
      </c>
      <c r="AA154" s="13"/>
      <c r="AB154" s="13"/>
      <c r="AC154" s="12"/>
      <c r="AD154" s="12" t="s">
        <v>94</v>
      </c>
      <c r="AE154" s="13" t="s">
        <v>1798</v>
      </c>
      <c r="AF154" s="12" t="s">
        <v>1799</v>
      </c>
      <c r="AG154" s="12" t="s">
        <v>1800</v>
      </c>
    </row>
    <row r="155" customFormat="false" ht="43.5" hidden="false" customHeight="true" outlineLevel="0" collapsed="false">
      <c r="A155" s="12" t="n">
        <v>154</v>
      </c>
      <c r="B155" s="12" t="s">
        <v>1801</v>
      </c>
      <c r="C155" s="12" t="s">
        <v>113</v>
      </c>
      <c r="D155" s="12" t="s">
        <v>259</v>
      </c>
      <c r="E155" s="12" t="s">
        <v>84</v>
      </c>
      <c r="F155" s="12" t="s">
        <v>85</v>
      </c>
      <c r="G155" s="12"/>
      <c r="H155" s="12" t="n">
        <v>165.11</v>
      </c>
      <c r="I155" s="12" t="n">
        <v>150</v>
      </c>
      <c r="J155" s="12" t="n">
        <v>66250</v>
      </c>
      <c r="K155" s="13" t="s">
        <v>1802</v>
      </c>
      <c r="L155" s="12" t="s">
        <v>1803</v>
      </c>
      <c r="M155" s="12" t="n">
        <v>67600</v>
      </c>
      <c r="N155" s="12"/>
      <c r="O155" s="13" t="s">
        <v>1804</v>
      </c>
      <c r="P155" s="12" t="n">
        <v>66137.7</v>
      </c>
      <c r="Q155" s="12"/>
      <c r="R155" s="12" t="s">
        <v>1805</v>
      </c>
      <c r="S155" s="12" t="s">
        <v>1806</v>
      </c>
      <c r="T155" s="12" t="s">
        <v>1807</v>
      </c>
      <c r="U155" s="12" t="n">
        <v>64840</v>
      </c>
      <c r="V155" s="12" t="s">
        <v>1801</v>
      </c>
      <c r="W155" s="12" t="s">
        <v>1808</v>
      </c>
      <c r="X155" s="12" t="n">
        <v>52.9</v>
      </c>
      <c r="Y155" s="13" t="s">
        <v>1809</v>
      </c>
      <c r="Z155" s="13" t="s">
        <v>1810</v>
      </c>
      <c r="AA155" s="13" t="s">
        <v>1811</v>
      </c>
      <c r="AB155" s="13" t="s">
        <v>1812</v>
      </c>
      <c r="AC155" s="12"/>
      <c r="AD155" s="12" t="s">
        <v>94</v>
      </c>
      <c r="AE155" s="13" t="s">
        <v>1813</v>
      </c>
      <c r="AF155" s="12" t="s">
        <v>1814</v>
      </c>
      <c r="AG155" s="12" t="s">
        <v>1815</v>
      </c>
    </row>
    <row r="156" customFormat="false" ht="43.5" hidden="false" customHeight="true" outlineLevel="0" collapsed="false">
      <c r="A156" s="12" t="n">
        <v>155</v>
      </c>
      <c r="B156" s="12" t="s">
        <v>1816</v>
      </c>
      <c r="C156" s="12" t="s">
        <v>476</v>
      </c>
      <c r="D156" s="12" t="s">
        <v>259</v>
      </c>
      <c r="E156" s="12" t="s">
        <v>84</v>
      </c>
      <c r="F156" s="12" t="s">
        <v>85</v>
      </c>
      <c r="G156" s="12"/>
      <c r="H156" s="12" t="n">
        <v>220.48</v>
      </c>
      <c r="I156" s="12" t="n">
        <v>75</v>
      </c>
      <c r="J156" s="12" t="n">
        <v>545</v>
      </c>
      <c r="K156" s="13" t="s">
        <v>1817</v>
      </c>
      <c r="L156" s="12"/>
      <c r="M156" s="12" t="n">
        <v>573.2</v>
      </c>
      <c r="N156" s="12" t="s">
        <v>1818</v>
      </c>
      <c r="O156" s="13"/>
      <c r="P156" s="12" t="n">
        <v>543.18</v>
      </c>
      <c r="Q156" s="12"/>
      <c r="R156" s="12" t="s">
        <v>1819</v>
      </c>
      <c r="S156" s="12"/>
      <c r="T156" s="12"/>
      <c r="U156" s="12" t="n">
        <v>527.22</v>
      </c>
      <c r="V156" s="12" t="s">
        <v>1816</v>
      </c>
      <c r="W156" s="12" t="s">
        <v>1820</v>
      </c>
      <c r="X156" s="12" t="n">
        <v>24.2</v>
      </c>
      <c r="Y156" s="13" t="s">
        <v>1821</v>
      </c>
      <c r="Z156" s="13" t="s">
        <v>1822</v>
      </c>
      <c r="AA156" s="13"/>
      <c r="AB156" s="13"/>
      <c r="AC156" s="12"/>
      <c r="AD156" s="12" t="s">
        <v>94</v>
      </c>
      <c r="AE156" s="13" t="s">
        <v>1823</v>
      </c>
      <c r="AF156" s="12" t="s">
        <v>1824</v>
      </c>
      <c r="AG156" s="12" t="s">
        <v>1825</v>
      </c>
    </row>
    <row r="157" customFormat="false" ht="43.5" hidden="false" customHeight="true" outlineLevel="0" collapsed="false">
      <c r="A157" s="12" t="n">
        <v>156</v>
      </c>
      <c r="B157" s="12" t="s">
        <v>1826</v>
      </c>
      <c r="C157" s="12" t="s">
        <v>1827</v>
      </c>
      <c r="D157" s="12" t="s">
        <v>259</v>
      </c>
      <c r="E157" s="12" t="s">
        <v>100</v>
      </c>
      <c r="F157" s="12" t="s">
        <v>101</v>
      </c>
      <c r="G157" s="12"/>
      <c r="H157" s="12"/>
      <c r="I157" s="12"/>
      <c r="J157" s="12" t="n">
        <v>0.08825</v>
      </c>
      <c r="K157" s="13" t="s">
        <v>1828</v>
      </c>
      <c r="L157" s="12"/>
      <c r="M157" s="12" t="n">
        <v>0.09264</v>
      </c>
      <c r="N157" s="12"/>
      <c r="O157" s="13" t="s">
        <v>1829</v>
      </c>
      <c r="P157" s="12"/>
      <c r="Q157" s="12"/>
      <c r="R157" s="12"/>
      <c r="S157" s="12"/>
      <c r="T157" s="12"/>
      <c r="U157" s="12" t="n">
        <v>0.09264</v>
      </c>
      <c r="V157" s="12" t="s">
        <v>1826</v>
      </c>
      <c r="W157" s="12" t="s">
        <v>1830</v>
      </c>
      <c r="X157" s="12" t="n">
        <v>18.3</v>
      </c>
      <c r="Y157" s="13" t="s">
        <v>1831</v>
      </c>
      <c r="Z157" s="13" t="s">
        <v>1832</v>
      </c>
      <c r="AA157" s="13"/>
      <c r="AB157" s="13"/>
      <c r="AC157" s="12"/>
      <c r="AD157" s="12" t="s">
        <v>94</v>
      </c>
      <c r="AE157" s="13" t="s">
        <v>1833</v>
      </c>
      <c r="AF157" s="12" t="s">
        <v>1834</v>
      </c>
      <c r="AG157" s="12" t="s">
        <v>1835</v>
      </c>
    </row>
    <row r="158" customFormat="false" ht="43.5" hidden="false" customHeight="true" outlineLevel="0" collapsed="false">
      <c r="A158" s="12" t="n">
        <v>157</v>
      </c>
      <c r="B158" s="12" t="s">
        <v>1836</v>
      </c>
      <c r="C158" s="12" t="s">
        <v>754</v>
      </c>
      <c r="D158" s="12" t="s">
        <v>83</v>
      </c>
      <c r="E158" s="12" t="s">
        <v>100</v>
      </c>
      <c r="F158" s="12" t="s">
        <v>101</v>
      </c>
      <c r="G158" s="12"/>
      <c r="H158" s="12"/>
      <c r="I158" s="12"/>
      <c r="J158" s="12" t="n">
        <v>1.871</v>
      </c>
      <c r="K158" s="13" t="s">
        <v>1837</v>
      </c>
      <c r="L158" s="12"/>
      <c r="M158" s="12" t="n">
        <v>1.775</v>
      </c>
      <c r="N158" s="12"/>
      <c r="O158" s="13"/>
      <c r="P158" s="12"/>
      <c r="Q158" s="12"/>
      <c r="R158" s="12"/>
      <c r="S158" s="12" t="s">
        <v>1838</v>
      </c>
      <c r="T158" s="12"/>
      <c r="U158" s="12"/>
      <c r="V158" s="12" t="s">
        <v>1836</v>
      </c>
      <c r="W158" s="12" t="s">
        <v>1839</v>
      </c>
      <c r="X158" s="12" t="n">
        <v>102.4</v>
      </c>
      <c r="Y158" s="13" t="s">
        <v>1840</v>
      </c>
      <c r="Z158" s="13" t="s">
        <v>1841</v>
      </c>
      <c r="AA158" s="13"/>
      <c r="AB158" s="13" t="s">
        <v>1842</v>
      </c>
      <c r="AC158" s="12"/>
      <c r="AD158" s="12" t="s">
        <v>108</v>
      </c>
      <c r="AE158" s="13" t="s">
        <v>1843</v>
      </c>
      <c r="AF158" s="12" t="s">
        <v>1844</v>
      </c>
      <c r="AG158" s="12" t="s">
        <v>1845</v>
      </c>
    </row>
    <row r="159" customFormat="false" ht="43.5" hidden="false" customHeight="true" outlineLevel="0" collapsed="false">
      <c r="A159" s="12" t="n">
        <v>158</v>
      </c>
      <c r="B159" s="12" t="s">
        <v>1846</v>
      </c>
      <c r="C159" s="12" t="s">
        <v>296</v>
      </c>
      <c r="D159" s="12" t="s">
        <v>83</v>
      </c>
      <c r="E159" s="12" t="s">
        <v>84</v>
      </c>
      <c r="F159" s="12" t="s">
        <v>151</v>
      </c>
      <c r="G159" s="12"/>
      <c r="H159" s="12"/>
      <c r="I159" s="12"/>
      <c r="J159" s="12" t="n">
        <v>1.112</v>
      </c>
      <c r="K159" s="13" t="s">
        <v>1847</v>
      </c>
      <c r="L159" s="12" t="s">
        <v>1848</v>
      </c>
      <c r="M159" s="12" t="n">
        <v>1.04</v>
      </c>
      <c r="N159" s="12" t="s">
        <v>1849</v>
      </c>
      <c r="O159" s="13" t="s">
        <v>1850</v>
      </c>
      <c r="P159" s="12" t="n">
        <v>1.1069</v>
      </c>
      <c r="Q159" s="12"/>
      <c r="R159" s="12"/>
      <c r="S159" s="12"/>
      <c r="T159" s="12"/>
      <c r="U159" s="12" t="n">
        <v>1.1081</v>
      </c>
      <c r="V159" s="12" t="s">
        <v>1846</v>
      </c>
      <c r="W159" s="12" t="s">
        <v>1851</v>
      </c>
      <c r="X159" s="12" t="n">
        <v>91.9</v>
      </c>
      <c r="Y159" s="13" t="s">
        <v>1852</v>
      </c>
      <c r="Z159" s="13" t="s">
        <v>1853</v>
      </c>
      <c r="AA159" s="13"/>
      <c r="AB159" s="13" t="s">
        <v>1854</v>
      </c>
      <c r="AC159" s="12"/>
      <c r="AD159" s="12" t="s">
        <v>108</v>
      </c>
      <c r="AE159" s="13" t="s">
        <v>1855</v>
      </c>
      <c r="AF159" s="12" t="s">
        <v>1856</v>
      </c>
      <c r="AG159" s="12" t="s">
        <v>1857</v>
      </c>
    </row>
    <row r="160" customFormat="false" ht="43.5" hidden="false" customHeight="true" outlineLevel="0" collapsed="false">
      <c r="A160" s="12" t="n">
        <v>159</v>
      </c>
      <c r="B160" s="12" t="s">
        <v>1858</v>
      </c>
      <c r="C160" s="12" t="s">
        <v>113</v>
      </c>
      <c r="D160" s="12" t="s">
        <v>83</v>
      </c>
      <c r="E160" s="12" t="s">
        <v>84</v>
      </c>
      <c r="F160" s="12" t="s">
        <v>85</v>
      </c>
      <c r="G160" s="12"/>
      <c r="H160" s="12" t="n">
        <v>214.37</v>
      </c>
      <c r="I160" s="12" t="n">
        <v>150</v>
      </c>
      <c r="J160" s="12" t="n">
        <v>64700</v>
      </c>
      <c r="K160" s="13" t="s">
        <v>1859</v>
      </c>
      <c r="L160" s="12" t="s">
        <v>1860</v>
      </c>
      <c r="M160" s="12" t="n">
        <v>63500</v>
      </c>
      <c r="N160" s="12" t="s">
        <v>1861</v>
      </c>
      <c r="O160" s="13" t="s">
        <v>1862</v>
      </c>
      <c r="P160" s="12" t="n">
        <v>64790.5</v>
      </c>
      <c r="Q160" s="12"/>
      <c r="R160" s="12"/>
      <c r="S160" s="12" t="s">
        <v>1863</v>
      </c>
      <c r="T160" s="12"/>
      <c r="U160" s="12" t="n">
        <v>65700</v>
      </c>
      <c r="V160" s="12" t="s">
        <v>1858</v>
      </c>
      <c r="W160" s="12" t="s">
        <v>1864</v>
      </c>
      <c r="X160" s="12" t="n">
        <v>12.8</v>
      </c>
      <c r="Y160" s="13" t="s">
        <v>1865</v>
      </c>
      <c r="Z160" s="13" t="s">
        <v>1866</v>
      </c>
      <c r="AA160" s="13"/>
      <c r="AB160" s="13" t="s">
        <v>1867</v>
      </c>
      <c r="AC160" s="12"/>
      <c r="AD160" s="12" t="s">
        <v>94</v>
      </c>
      <c r="AE160" s="13" t="s">
        <v>1868</v>
      </c>
      <c r="AF160" s="12" t="s">
        <v>1869</v>
      </c>
      <c r="AG160" s="12" t="s">
        <v>1870</v>
      </c>
    </row>
    <row r="161" customFormat="false" ht="43.5" hidden="false" customHeight="true" outlineLevel="0" collapsed="false">
      <c r="A161" s="12" t="n">
        <v>160</v>
      </c>
      <c r="B161" s="12" t="s">
        <v>1871</v>
      </c>
      <c r="C161" s="12" t="s">
        <v>1084</v>
      </c>
      <c r="D161" s="12" t="s">
        <v>83</v>
      </c>
      <c r="E161" s="12" t="s">
        <v>100</v>
      </c>
      <c r="F161" s="12" t="s">
        <v>101</v>
      </c>
      <c r="G161" s="12"/>
      <c r="H161" s="12"/>
      <c r="I161" s="12"/>
      <c r="J161" s="12" t="n">
        <v>5.42</v>
      </c>
      <c r="K161" s="13" t="s">
        <v>1872</v>
      </c>
      <c r="L161" s="12"/>
      <c r="M161" s="12" t="n">
        <v>5.07</v>
      </c>
      <c r="N161" s="12"/>
      <c r="O161" s="13" t="s">
        <v>1873</v>
      </c>
      <c r="P161" s="12" t="n">
        <v>5.36</v>
      </c>
      <c r="Q161" s="12" t="s">
        <v>1874</v>
      </c>
      <c r="R161" s="12" t="s">
        <v>1875</v>
      </c>
      <c r="S161" s="12"/>
      <c r="T161" s="12"/>
      <c r="U161" s="12"/>
      <c r="V161" s="12" t="s">
        <v>1871</v>
      </c>
      <c r="W161" s="12" t="s">
        <v>1876</v>
      </c>
      <c r="X161" s="12" t="n">
        <v>49.6</v>
      </c>
      <c r="Y161" s="13" t="s">
        <v>1877</v>
      </c>
      <c r="Z161" s="13" t="s">
        <v>1878</v>
      </c>
      <c r="AA161" s="13" t="s">
        <v>1879</v>
      </c>
      <c r="AB161" s="13" t="s">
        <v>1880</v>
      </c>
      <c r="AC161" s="12"/>
      <c r="AD161" s="12" t="s">
        <v>94</v>
      </c>
      <c r="AE161" s="13" t="s">
        <v>1881</v>
      </c>
      <c r="AF161" s="12" t="s">
        <v>1882</v>
      </c>
      <c r="AG161" s="12" t="s">
        <v>1883</v>
      </c>
    </row>
    <row r="162" customFormat="false" ht="43.5" hidden="false" customHeight="true" outlineLevel="0" collapsed="false">
      <c r="A162" s="12" t="n">
        <v>161</v>
      </c>
      <c r="B162" s="12" t="s">
        <v>1884</v>
      </c>
      <c r="C162" s="12" t="s">
        <v>113</v>
      </c>
      <c r="D162" s="12" t="s">
        <v>83</v>
      </c>
      <c r="E162" s="12" t="s">
        <v>84</v>
      </c>
      <c r="F162" s="12" t="s">
        <v>151</v>
      </c>
      <c r="G162" s="12"/>
      <c r="H162" s="12" t="n">
        <v>70.28</v>
      </c>
      <c r="I162" s="12" t="n">
        <v>150</v>
      </c>
      <c r="J162" s="12" t="n">
        <v>64700</v>
      </c>
      <c r="K162" s="13" t="s">
        <v>1885</v>
      </c>
      <c r="L162" s="12" t="s">
        <v>1886</v>
      </c>
      <c r="M162" s="12" t="n">
        <v>63400</v>
      </c>
      <c r="N162" s="12" t="s">
        <v>1861</v>
      </c>
      <c r="O162" s="13"/>
      <c r="P162" s="12" t="n">
        <v>64489.7</v>
      </c>
      <c r="Q162" s="12" t="s">
        <v>1887</v>
      </c>
      <c r="R162" s="12" t="s">
        <v>1888</v>
      </c>
      <c r="S162" s="12" t="s">
        <v>1494</v>
      </c>
      <c r="T162" s="12"/>
      <c r="U162" s="12" t="n">
        <v>64791.9</v>
      </c>
      <c r="V162" s="12" t="s">
        <v>1884</v>
      </c>
      <c r="W162" s="12" t="s">
        <v>1889</v>
      </c>
      <c r="X162" s="12" t="n">
        <v>55.3</v>
      </c>
      <c r="Y162" s="13" t="s">
        <v>1890</v>
      </c>
      <c r="Z162" s="13" t="s">
        <v>1891</v>
      </c>
      <c r="AA162" s="13"/>
      <c r="AB162" s="13" t="s">
        <v>1892</v>
      </c>
      <c r="AC162" s="12"/>
      <c r="AD162" s="12" t="s">
        <v>94</v>
      </c>
      <c r="AE162" s="13" t="s">
        <v>1893</v>
      </c>
      <c r="AF162" s="12" t="s">
        <v>1894</v>
      </c>
      <c r="AG162" s="12" t="s">
        <v>1895</v>
      </c>
    </row>
    <row r="163" customFormat="false" ht="43.5" hidden="false" customHeight="true" outlineLevel="0" collapsed="false">
      <c r="A163" s="12" t="n">
        <v>162</v>
      </c>
      <c r="B163" s="12" t="s">
        <v>1896</v>
      </c>
      <c r="C163" s="12" t="s">
        <v>142</v>
      </c>
      <c r="D163" s="12" t="s">
        <v>83</v>
      </c>
      <c r="E163" s="12" t="s">
        <v>170</v>
      </c>
      <c r="F163" s="12" t="s">
        <v>170</v>
      </c>
      <c r="G163" s="12"/>
      <c r="H163" s="12"/>
      <c r="I163" s="12" t="n">
        <v>100</v>
      </c>
      <c r="J163" s="12" t="n">
        <v>4065</v>
      </c>
      <c r="K163" s="13" t="s">
        <v>1897</v>
      </c>
      <c r="L163" s="12"/>
      <c r="M163" s="12" t="n">
        <v>4045</v>
      </c>
      <c r="N163" s="12"/>
      <c r="O163" s="13" t="s">
        <v>1898</v>
      </c>
      <c r="P163" s="12" t="n">
        <v>4066.9</v>
      </c>
      <c r="Q163" s="12"/>
      <c r="R163" s="12" t="s">
        <v>1899</v>
      </c>
      <c r="S163" s="12"/>
      <c r="T163" s="12"/>
      <c r="U163" s="12"/>
      <c r="V163" s="12" t="s">
        <v>1896</v>
      </c>
      <c r="W163" s="12"/>
      <c r="X163" s="12"/>
      <c r="Y163" s="13" t="s">
        <v>1900</v>
      </c>
      <c r="Z163" s="13" t="s">
        <v>1901</v>
      </c>
      <c r="AA163" s="13"/>
      <c r="AB163" s="13"/>
      <c r="AC163" s="12"/>
      <c r="AD163" s="12" t="s">
        <v>108</v>
      </c>
      <c r="AE163" s="13" t="s">
        <v>1902</v>
      </c>
      <c r="AF163" s="12" t="s">
        <v>1903</v>
      </c>
      <c r="AG163" s="12" t="s">
        <v>1904</v>
      </c>
    </row>
    <row r="164" customFormat="false" ht="43.5" hidden="false" customHeight="true" outlineLevel="0" collapsed="false">
      <c r="A164" s="12" t="n">
        <v>163</v>
      </c>
      <c r="B164" s="12" t="s">
        <v>1905</v>
      </c>
      <c r="C164" s="12" t="s">
        <v>792</v>
      </c>
      <c r="D164" s="12" t="s">
        <v>83</v>
      </c>
      <c r="E164" s="12" t="s">
        <v>84</v>
      </c>
      <c r="F164" s="12" t="s">
        <v>85</v>
      </c>
      <c r="G164" s="12"/>
      <c r="H164" s="12" t="n">
        <v>142.34</v>
      </c>
      <c r="I164" s="12" t="n">
        <v>75</v>
      </c>
      <c r="J164" s="12" t="n">
        <v>565</v>
      </c>
      <c r="K164" s="13" t="s">
        <v>1906</v>
      </c>
      <c r="L164" s="12"/>
      <c r="M164" s="12" t="n">
        <v>540</v>
      </c>
      <c r="N164" s="12"/>
      <c r="O164" s="13"/>
      <c r="P164" s="12" t="n">
        <v>565.46</v>
      </c>
      <c r="Q164" s="12"/>
      <c r="R164" s="12" t="s">
        <v>1907</v>
      </c>
      <c r="S164" s="12"/>
      <c r="T164" s="12"/>
      <c r="U164" s="12" t="n">
        <v>577.3</v>
      </c>
      <c r="V164" s="12" t="s">
        <v>1905</v>
      </c>
      <c r="W164" s="12" t="s">
        <v>1908</v>
      </c>
      <c r="X164" s="12" t="n">
        <v>45.4</v>
      </c>
      <c r="Y164" s="13" t="s">
        <v>1909</v>
      </c>
      <c r="Z164" s="13" t="s">
        <v>1910</v>
      </c>
      <c r="AA164" s="13"/>
      <c r="AB164" s="13"/>
      <c r="AC164" s="12"/>
      <c r="AD164" s="12" t="s">
        <v>94</v>
      </c>
      <c r="AE164" s="13" t="s">
        <v>1911</v>
      </c>
      <c r="AF164" s="12" t="s">
        <v>1912</v>
      </c>
      <c r="AG164" s="12" t="s">
        <v>1913</v>
      </c>
    </row>
    <row r="165" customFormat="false" ht="43.5" hidden="false" customHeight="true" outlineLevel="0" collapsed="false">
      <c r="A165" s="12" t="n">
        <v>164</v>
      </c>
      <c r="B165" s="12" t="s">
        <v>1914</v>
      </c>
      <c r="C165" s="12" t="s">
        <v>1915</v>
      </c>
      <c r="D165" s="12" t="s">
        <v>83</v>
      </c>
      <c r="E165" s="12" t="s">
        <v>84</v>
      </c>
      <c r="F165" s="12" t="s">
        <v>151</v>
      </c>
      <c r="G165" s="12"/>
      <c r="H165" s="12" t="n">
        <v>187.28</v>
      </c>
      <c r="I165" s="12" t="n">
        <v>49</v>
      </c>
      <c r="J165" s="12" t="n">
        <v>0.0337</v>
      </c>
      <c r="K165" s="13" t="s">
        <v>388</v>
      </c>
      <c r="L165" s="12"/>
      <c r="M165" s="12" t="n">
        <v>0.03192</v>
      </c>
      <c r="N165" s="12" t="s">
        <v>1916</v>
      </c>
      <c r="O165" s="13" t="s">
        <v>1917</v>
      </c>
      <c r="P165" s="12" t="n">
        <v>0.03375</v>
      </c>
      <c r="Q165" s="12"/>
      <c r="R165" s="12"/>
      <c r="S165" s="12"/>
      <c r="T165" s="12"/>
      <c r="U165" s="12" t="n">
        <v>0.03504</v>
      </c>
      <c r="V165" s="12" t="s">
        <v>1914</v>
      </c>
      <c r="W165" s="12" t="s">
        <v>1918</v>
      </c>
      <c r="X165" s="12" t="n">
        <v>1.6</v>
      </c>
      <c r="Y165" s="13" t="s">
        <v>1919</v>
      </c>
      <c r="Z165" s="13" t="s">
        <v>1920</v>
      </c>
      <c r="AA165" s="13" t="s">
        <v>1410</v>
      </c>
      <c r="AB165" s="13"/>
      <c r="AC165" s="12"/>
      <c r="AD165" s="12" t="s">
        <v>94</v>
      </c>
      <c r="AE165" s="13" t="s">
        <v>1921</v>
      </c>
      <c r="AF165" s="12" t="s">
        <v>1922</v>
      </c>
      <c r="AG165" s="12" t="s">
        <v>1923</v>
      </c>
    </row>
    <row r="166" customFormat="false" ht="43.5" hidden="false" customHeight="true" outlineLevel="0" collapsed="false">
      <c r="A166" s="12" t="n">
        <v>165</v>
      </c>
      <c r="B166" s="12" t="s">
        <v>1924</v>
      </c>
      <c r="C166" s="12" t="s">
        <v>113</v>
      </c>
      <c r="D166" s="12" t="s">
        <v>259</v>
      </c>
      <c r="E166" s="12" t="s">
        <v>84</v>
      </c>
      <c r="F166" s="12" t="s">
        <v>85</v>
      </c>
      <c r="G166" s="12"/>
      <c r="H166" s="12" t="n">
        <v>152.31</v>
      </c>
      <c r="I166" s="12" t="n">
        <v>150</v>
      </c>
      <c r="J166" s="12" t="n">
        <v>65200</v>
      </c>
      <c r="K166" s="13" t="s">
        <v>1925</v>
      </c>
      <c r="L166" s="12" t="s">
        <v>1926</v>
      </c>
      <c r="M166" s="12" t="n">
        <v>66500</v>
      </c>
      <c r="N166" s="12" t="s">
        <v>1927</v>
      </c>
      <c r="O166" s="13" t="s">
        <v>1928</v>
      </c>
      <c r="P166" s="12" t="n">
        <v>65213.3</v>
      </c>
      <c r="Q166" s="12"/>
      <c r="R166" s="12"/>
      <c r="S166" s="12"/>
      <c r="T166" s="12"/>
      <c r="U166" s="12" t="n">
        <v>64551.1</v>
      </c>
      <c r="V166" s="12" t="s">
        <v>1924</v>
      </c>
      <c r="W166" s="12" t="s">
        <v>1929</v>
      </c>
      <c r="X166" s="12" t="n">
        <v>6.9</v>
      </c>
      <c r="Y166" s="13" t="s">
        <v>1930</v>
      </c>
      <c r="Z166" s="13" t="s">
        <v>1931</v>
      </c>
      <c r="AA166" s="13" t="s">
        <v>1932</v>
      </c>
      <c r="AB166" s="13" t="s">
        <v>1933</v>
      </c>
      <c r="AC166" s="12"/>
      <c r="AD166" s="12" t="s">
        <v>94</v>
      </c>
      <c r="AE166" s="13" t="s">
        <v>1934</v>
      </c>
      <c r="AF166" s="12" t="s">
        <v>1935</v>
      </c>
      <c r="AG166" s="12" t="s">
        <v>1936</v>
      </c>
    </row>
    <row r="167" customFormat="false" ht="43.5" hidden="false" customHeight="true" outlineLevel="0" collapsed="false">
      <c r="A167" s="12" t="n">
        <v>166</v>
      </c>
      <c r="B167" s="12" t="s">
        <v>1937</v>
      </c>
      <c r="C167" s="12" t="s">
        <v>476</v>
      </c>
      <c r="D167" s="12" t="s">
        <v>259</v>
      </c>
      <c r="E167" s="12" t="s">
        <v>84</v>
      </c>
      <c r="F167" s="12" t="s">
        <v>151</v>
      </c>
      <c r="G167" s="12"/>
      <c r="H167" s="12" t="n">
        <v>295.56</v>
      </c>
      <c r="I167" s="12" t="n">
        <v>75</v>
      </c>
      <c r="J167" s="12" t="n">
        <v>502</v>
      </c>
      <c r="K167" s="13" t="s">
        <v>1938</v>
      </c>
      <c r="L167" s="12"/>
      <c r="M167" s="12" t="n">
        <v>525.5</v>
      </c>
      <c r="N167" s="12"/>
      <c r="O167" s="13" t="s">
        <v>1939</v>
      </c>
      <c r="P167" s="12" t="n">
        <v>501.92</v>
      </c>
      <c r="Q167" s="12"/>
      <c r="R167" s="12"/>
      <c r="S167" s="12"/>
      <c r="T167" s="12"/>
      <c r="U167" s="12" t="n">
        <v>482.14</v>
      </c>
      <c r="V167" s="12" t="s">
        <v>1937</v>
      </c>
      <c r="W167" s="12" t="s">
        <v>1929</v>
      </c>
      <c r="X167" s="12" t="n">
        <v>6.1</v>
      </c>
      <c r="Y167" s="13" t="s">
        <v>1940</v>
      </c>
      <c r="Z167" s="13" t="s">
        <v>1941</v>
      </c>
      <c r="AA167" s="13"/>
      <c r="AB167" s="13"/>
      <c r="AC167" s="12"/>
      <c r="AD167" s="12" t="s">
        <v>94</v>
      </c>
      <c r="AE167" s="13" t="s">
        <v>1942</v>
      </c>
      <c r="AF167" s="12" t="s">
        <v>1943</v>
      </c>
      <c r="AG167" s="12" t="s">
        <v>1944</v>
      </c>
    </row>
    <row r="168" customFormat="false" ht="43.5" hidden="false" customHeight="true" outlineLevel="0" collapsed="false">
      <c r="A168" s="12" t="n">
        <v>167</v>
      </c>
      <c r="B168" s="12" t="s">
        <v>1945</v>
      </c>
      <c r="C168" s="12" t="s">
        <v>1946</v>
      </c>
      <c r="D168" s="12" t="s">
        <v>83</v>
      </c>
      <c r="E168" s="12" t="s">
        <v>170</v>
      </c>
      <c r="F168" s="12" t="s">
        <v>170</v>
      </c>
      <c r="G168" s="12"/>
      <c r="H168" s="12"/>
      <c r="I168" s="12"/>
      <c r="J168" s="12" t="n">
        <v>0.095</v>
      </c>
      <c r="K168" s="13" t="s">
        <v>1947</v>
      </c>
      <c r="L168" s="12"/>
      <c r="M168" s="12" t="n">
        <v>0.07</v>
      </c>
      <c r="N168" s="12"/>
      <c r="O168" s="13" t="s">
        <v>1948</v>
      </c>
      <c r="P168" s="12" t="n">
        <v>0.095</v>
      </c>
      <c r="Q168" s="12"/>
      <c r="R168" s="12"/>
      <c r="S168" s="12"/>
      <c r="T168" s="12"/>
      <c r="U168" s="12"/>
      <c r="V168" s="12" t="s">
        <v>1945</v>
      </c>
      <c r="W168" s="12"/>
      <c r="X168" s="12"/>
      <c r="Y168" s="13" t="s">
        <v>1949</v>
      </c>
      <c r="Z168" s="13" t="s">
        <v>1950</v>
      </c>
      <c r="AA168" s="13"/>
      <c r="AB168" s="13" t="s">
        <v>302</v>
      </c>
      <c r="AC168" s="12" t="s">
        <v>177</v>
      </c>
      <c r="AD168" s="12" t="s">
        <v>108</v>
      </c>
      <c r="AE168" s="13" t="s">
        <v>1951</v>
      </c>
      <c r="AF168" s="12" t="s">
        <v>1952</v>
      </c>
      <c r="AG168" s="12" t="s">
        <v>1953</v>
      </c>
    </row>
    <row r="169" customFormat="false" ht="43.5" hidden="false" customHeight="true" outlineLevel="0" collapsed="false">
      <c r="A169" s="12" t="n">
        <v>168</v>
      </c>
      <c r="B169" s="12" t="s">
        <v>1954</v>
      </c>
      <c r="C169" s="12" t="s">
        <v>113</v>
      </c>
      <c r="D169" s="12" t="s">
        <v>83</v>
      </c>
      <c r="E169" s="12" t="s">
        <v>84</v>
      </c>
      <c r="F169" s="12" t="s">
        <v>151</v>
      </c>
      <c r="G169" s="12"/>
      <c r="H169" s="12" t="n">
        <v>179.69</v>
      </c>
      <c r="I169" s="12" t="n">
        <v>150</v>
      </c>
      <c r="J169" s="12" t="n">
        <v>63100</v>
      </c>
      <c r="K169" s="13" t="s">
        <v>1955</v>
      </c>
      <c r="L169" s="12"/>
      <c r="M169" s="12" t="n">
        <v>61500</v>
      </c>
      <c r="N169" s="12"/>
      <c r="O169" s="13" t="s">
        <v>1956</v>
      </c>
      <c r="P169" s="12" t="n">
        <v>63182.1</v>
      </c>
      <c r="Q169" s="12"/>
      <c r="R169" s="12"/>
      <c r="S169" s="12" t="s">
        <v>1957</v>
      </c>
      <c r="T169" s="12" t="s">
        <v>1958</v>
      </c>
      <c r="U169" s="12" t="n">
        <v>64652.4</v>
      </c>
      <c r="V169" s="12" t="s">
        <v>1954</v>
      </c>
      <c r="W169" s="12" t="s">
        <v>1959</v>
      </c>
      <c r="X169" s="12" t="n">
        <v>32.1</v>
      </c>
      <c r="Y169" s="13" t="s">
        <v>1960</v>
      </c>
      <c r="Z169" s="13" t="s">
        <v>1961</v>
      </c>
      <c r="AA169" s="13" t="s">
        <v>1962</v>
      </c>
      <c r="AB169" s="13" t="s">
        <v>1963</v>
      </c>
      <c r="AC169" s="12"/>
      <c r="AD169" s="12" t="s">
        <v>94</v>
      </c>
      <c r="AE169" s="13" t="s">
        <v>1964</v>
      </c>
      <c r="AF169" s="12" t="s">
        <v>1965</v>
      </c>
      <c r="AG169" s="12" t="s">
        <v>1966</v>
      </c>
    </row>
    <row r="170" customFormat="false" ht="43.5" hidden="false" customHeight="true" outlineLevel="0" collapsed="false">
      <c r="A170" s="12" t="n">
        <v>169</v>
      </c>
      <c r="B170" s="12" t="s">
        <v>1967</v>
      </c>
      <c r="C170" s="12" t="s">
        <v>317</v>
      </c>
      <c r="D170" s="12" t="s">
        <v>83</v>
      </c>
      <c r="E170" s="12" t="s">
        <v>170</v>
      </c>
      <c r="F170" s="12" t="s">
        <v>170</v>
      </c>
      <c r="G170" s="12"/>
      <c r="H170" s="12"/>
      <c r="I170" s="12" t="n">
        <v>125</v>
      </c>
      <c r="J170" s="12" t="n">
        <v>73.18</v>
      </c>
      <c r="K170" s="13" t="s">
        <v>1968</v>
      </c>
      <c r="L170" s="12"/>
      <c r="M170" s="12" t="n">
        <v>69.4</v>
      </c>
      <c r="N170" s="12"/>
      <c r="O170" s="13" t="s">
        <v>1969</v>
      </c>
      <c r="P170" s="12" t="n">
        <v>73.19</v>
      </c>
      <c r="Q170" s="12"/>
      <c r="R170" s="12" t="s">
        <v>1970</v>
      </c>
      <c r="S170" s="12"/>
      <c r="T170" s="12"/>
      <c r="U170" s="12"/>
      <c r="V170" s="12" t="s">
        <v>1967</v>
      </c>
      <c r="W170" s="12"/>
      <c r="X170" s="12"/>
      <c r="Y170" s="13" t="s">
        <v>1971</v>
      </c>
      <c r="Z170" s="13" t="s">
        <v>1972</v>
      </c>
      <c r="AA170" s="13" t="s">
        <v>1285</v>
      </c>
      <c r="AB170" s="13" t="s">
        <v>1973</v>
      </c>
      <c r="AC170" s="12"/>
      <c r="AD170" s="12" t="s">
        <v>312</v>
      </c>
      <c r="AE170" s="13" t="s">
        <v>1974</v>
      </c>
      <c r="AF170" s="12" t="s">
        <v>1975</v>
      </c>
      <c r="AG170" s="12" t="s">
        <v>1976</v>
      </c>
    </row>
    <row r="171" customFormat="false" ht="43.5" hidden="false" customHeight="true" outlineLevel="0" collapsed="false">
      <c r="A171" s="12" t="n">
        <v>170</v>
      </c>
      <c r="B171" s="12" t="s">
        <v>1977</v>
      </c>
      <c r="C171" s="12" t="s">
        <v>113</v>
      </c>
      <c r="D171" s="12" t="s">
        <v>83</v>
      </c>
      <c r="E171" s="12" t="s">
        <v>143</v>
      </c>
      <c r="F171" s="12" t="s">
        <v>891</v>
      </c>
      <c r="G171" s="12"/>
      <c r="H171" s="12"/>
      <c r="I171" s="12"/>
      <c r="J171" s="12" t="n">
        <v>64160</v>
      </c>
      <c r="K171" s="13" t="s">
        <v>1978</v>
      </c>
      <c r="L171" s="12" t="s">
        <v>1979</v>
      </c>
      <c r="M171" s="12" t="n">
        <v>62550</v>
      </c>
      <c r="N171" s="12"/>
      <c r="O171" s="13" t="s">
        <v>1980</v>
      </c>
      <c r="P171" s="12"/>
      <c r="Q171" s="12"/>
      <c r="R171" s="12"/>
      <c r="S171" s="12"/>
      <c r="T171" s="12"/>
      <c r="U171" s="12"/>
      <c r="V171" s="12"/>
      <c r="W171" s="12" t="s">
        <v>1959</v>
      </c>
      <c r="X171" s="12"/>
      <c r="Y171" s="13" t="s">
        <v>1981</v>
      </c>
      <c r="Z171" s="13" t="s">
        <v>1982</v>
      </c>
      <c r="AA171" s="13" t="s">
        <v>1285</v>
      </c>
      <c r="AB171" s="13" t="s">
        <v>1983</v>
      </c>
      <c r="AC171" s="12"/>
      <c r="AD171" s="12" t="s">
        <v>94</v>
      </c>
      <c r="AE171" s="13" t="s">
        <v>1984</v>
      </c>
      <c r="AF171" s="12" t="s">
        <v>1985</v>
      </c>
      <c r="AG171" s="12" t="s">
        <v>1986</v>
      </c>
    </row>
    <row r="172" customFormat="false" ht="43.5" hidden="false" customHeight="true" outlineLevel="0" collapsed="false">
      <c r="A172" s="12" t="n">
        <v>171</v>
      </c>
      <c r="B172" s="12" t="s">
        <v>1987</v>
      </c>
      <c r="C172" s="12" t="s">
        <v>113</v>
      </c>
      <c r="D172" s="12" t="s">
        <v>83</v>
      </c>
      <c r="E172" s="12" t="s">
        <v>84</v>
      </c>
      <c r="F172" s="12" t="s">
        <v>85</v>
      </c>
      <c r="G172" s="12"/>
      <c r="H172" s="12" t="n">
        <v>232.12</v>
      </c>
      <c r="I172" s="12" t="n">
        <v>150</v>
      </c>
      <c r="J172" s="12" t="n">
        <v>64100</v>
      </c>
      <c r="K172" s="13" t="s">
        <v>1988</v>
      </c>
      <c r="L172" s="12" t="s">
        <v>1989</v>
      </c>
      <c r="M172" s="12" t="n">
        <v>62550</v>
      </c>
      <c r="N172" s="12"/>
      <c r="O172" s="13" t="s">
        <v>1990</v>
      </c>
      <c r="P172" s="12" t="n">
        <v>63812.5</v>
      </c>
      <c r="Q172" s="12" t="s">
        <v>1991</v>
      </c>
      <c r="R172" s="12"/>
      <c r="S172" s="12" t="s">
        <v>1992</v>
      </c>
      <c r="T172" s="12" t="s">
        <v>1993</v>
      </c>
      <c r="U172" s="12" t="n">
        <v>64800</v>
      </c>
      <c r="V172" s="12" t="s">
        <v>1994</v>
      </c>
      <c r="W172" s="12" t="s">
        <v>1995</v>
      </c>
      <c r="X172" s="12" t="n">
        <v>22.5</v>
      </c>
      <c r="Y172" s="13" t="s">
        <v>1996</v>
      </c>
      <c r="Z172" s="13" t="s">
        <v>1997</v>
      </c>
      <c r="AA172" s="13"/>
      <c r="AB172" s="13" t="s">
        <v>1998</v>
      </c>
      <c r="AC172" s="12"/>
      <c r="AD172" s="12" t="s">
        <v>94</v>
      </c>
      <c r="AE172" s="13" t="s">
        <v>1999</v>
      </c>
      <c r="AF172" s="12" t="s">
        <v>2000</v>
      </c>
      <c r="AG172" s="12" t="s">
        <v>2001</v>
      </c>
    </row>
    <row r="173" customFormat="false" ht="43.5" hidden="false" customHeight="true" outlineLevel="0" collapsed="false">
      <c r="A173" s="12" t="n">
        <v>172</v>
      </c>
      <c r="B173" s="12" t="s">
        <v>2002</v>
      </c>
      <c r="C173" s="12" t="s">
        <v>113</v>
      </c>
      <c r="D173" s="12" t="s">
        <v>259</v>
      </c>
      <c r="E173" s="12" t="s">
        <v>84</v>
      </c>
      <c r="F173" s="12" t="s">
        <v>85</v>
      </c>
      <c r="G173" s="12"/>
      <c r="H173" s="12" t="n">
        <v>188.47</v>
      </c>
      <c r="I173" s="12"/>
      <c r="J173" s="12" t="n">
        <v>65200</v>
      </c>
      <c r="K173" s="13" t="s">
        <v>2003</v>
      </c>
      <c r="L173" s="12" t="s">
        <v>2004</v>
      </c>
      <c r="M173" s="12" t="n">
        <v>66600</v>
      </c>
      <c r="N173" s="12"/>
      <c r="O173" s="13" t="s">
        <v>2005</v>
      </c>
      <c r="P173" s="12" t="n">
        <v>65000</v>
      </c>
      <c r="Q173" s="12"/>
      <c r="R173" s="12" t="s">
        <v>2006</v>
      </c>
      <c r="S173" s="12" t="s">
        <v>996</v>
      </c>
      <c r="T173" s="12"/>
      <c r="U173" s="12" t="n">
        <v>64200</v>
      </c>
      <c r="V173" s="12" t="s">
        <v>2007</v>
      </c>
      <c r="W173" s="12" t="s">
        <v>2008</v>
      </c>
      <c r="X173" s="12" t="n">
        <v>15.2</v>
      </c>
      <c r="Y173" s="13" t="s">
        <v>2009</v>
      </c>
      <c r="Z173" s="13" t="s">
        <v>2010</v>
      </c>
      <c r="AA173" s="13"/>
      <c r="AB173" s="13" t="s">
        <v>2011</v>
      </c>
      <c r="AC173" s="12"/>
      <c r="AD173" s="12" t="s">
        <v>94</v>
      </c>
      <c r="AE173" s="13" t="s">
        <v>2012</v>
      </c>
      <c r="AF173" s="12" t="s">
        <v>2013</v>
      </c>
      <c r="AG173" s="12" t="s">
        <v>2014</v>
      </c>
    </row>
    <row r="174" customFormat="false" ht="43.5" hidden="false" customHeight="true" outlineLevel="0" collapsed="false">
      <c r="A174" s="12" t="n">
        <v>173</v>
      </c>
      <c r="B174" s="12" t="s">
        <v>2015</v>
      </c>
      <c r="C174" s="12" t="s">
        <v>99</v>
      </c>
      <c r="D174" s="12" t="s">
        <v>259</v>
      </c>
      <c r="E174" s="12" t="s">
        <v>143</v>
      </c>
      <c r="F174" s="12" t="s">
        <v>143</v>
      </c>
      <c r="G174" s="12"/>
      <c r="H174" s="12"/>
      <c r="I174" s="12"/>
      <c r="J174" s="12"/>
      <c r="K174" s="13" t="s">
        <v>2016</v>
      </c>
      <c r="L174" s="12"/>
      <c r="M174" s="12" t="n">
        <v>1950</v>
      </c>
      <c r="N174" s="12"/>
      <c r="O174" s="13"/>
      <c r="P174" s="12"/>
      <c r="Q174" s="12"/>
      <c r="R174" s="12"/>
      <c r="S174" s="12"/>
      <c r="T174" s="12"/>
      <c r="U174" s="12"/>
      <c r="V174" s="12"/>
      <c r="W174" s="12"/>
      <c r="X174" s="12"/>
      <c r="Y174" s="13" t="s">
        <v>2017</v>
      </c>
      <c r="Z174" s="13" t="s">
        <v>2018</v>
      </c>
      <c r="AA174" s="13"/>
      <c r="AB174" s="13" t="s">
        <v>2019</v>
      </c>
      <c r="AC174" s="12"/>
      <c r="AD174" s="12" t="s">
        <v>108</v>
      </c>
      <c r="AE174" s="13" t="s">
        <v>2020</v>
      </c>
      <c r="AF174" s="12" t="s">
        <v>2021</v>
      </c>
      <c r="AG174" s="12" t="s">
        <v>2022</v>
      </c>
    </row>
    <row r="175" customFormat="false" ht="43.5" hidden="false" customHeight="true" outlineLevel="0" collapsed="false">
      <c r="A175" s="12" t="n">
        <v>174</v>
      </c>
      <c r="B175" s="12" t="s">
        <v>2023</v>
      </c>
      <c r="C175" s="12" t="s">
        <v>113</v>
      </c>
      <c r="D175" s="12" t="s">
        <v>83</v>
      </c>
      <c r="E175" s="12" t="s">
        <v>100</v>
      </c>
      <c r="F175" s="12" t="s">
        <v>101</v>
      </c>
      <c r="G175" s="12"/>
      <c r="H175" s="12"/>
      <c r="I175" s="12"/>
      <c r="J175" s="12" t="n">
        <v>63969</v>
      </c>
      <c r="K175" s="13" t="s">
        <v>2024</v>
      </c>
      <c r="L175" s="12"/>
      <c r="M175" s="12" t="n">
        <v>62700</v>
      </c>
      <c r="N175" s="12" t="s">
        <v>1494</v>
      </c>
      <c r="O175" s="13" t="s">
        <v>2025</v>
      </c>
      <c r="P175" s="12" t="n">
        <v>63969</v>
      </c>
      <c r="Q175" s="12"/>
      <c r="R175" s="12"/>
      <c r="S175" s="12"/>
      <c r="T175" s="12"/>
      <c r="U175" s="12" t="n">
        <v>62700</v>
      </c>
      <c r="V175" s="12" t="s">
        <v>2023</v>
      </c>
      <c r="W175" s="12" t="s">
        <v>2026</v>
      </c>
      <c r="X175" s="12" t="n">
        <v>6.7</v>
      </c>
      <c r="Y175" s="13" t="s">
        <v>2027</v>
      </c>
      <c r="Z175" s="13" t="s">
        <v>2028</v>
      </c>
      <c r="AA175" s="13" t="s">
        <v>2029</v>
      </c>
      <c r="AB175" s="13" t="s">
        <v>2030</v>
      </c>
      <c r="AC175" s="12"/>
      <c r="AD175" s="12" t="s">
        <v>94</v>
      </c>
      <c r="AE175" s="13" t="s">
        <v>2031</v>
      </c>
      <c r="AF175" s="12" t="s">
        <v>2032</v>
      </c>
      <c r="AG175" s="12" t="s">
        <v>2033</v>
      </c>
    </row>
    <row r="176" customFormat="false" ht="43.5" hidden="false" customHeight="true" outlineLevel="0" collapsed="false">
      <c r="A176" s="12" t="n">
        <v>175</v>
      </c>
      <c r="B176" s="12" t="s">
        <v>2034</v>
      </c>
      <c r="C176" s="12" t="s">
        <v>792</v>
      </c>
      <c r="D176" s="12" t="s">
        <v>83</v>
      </c>
      <c r="E176" s="12" t="s">
        <v>128</v>
      </c>
      <c r="F176" s="12" t="s">
        <v>128</v>
      </c>
      <c r="G176" s="12"/>
      <c r="H176" s="12"/>
      <c r="I176" s="12"/>
      <c r="J176" s="12" t="n">
        <v>586.6</v>
      </c>
      <c r="K176" s="13" t="s">
        <v>2035</v>
      </c>
      <c r="L176" s="12"/>
      <c r="M176" s="12" t="n">
        <v>570</v>
      </c>
      <c r="N176" s="12" t="s">
        <v>2036</v>
      </c>
      <c r="O176" s="13"/>
      <c r="P176" s="12"/>
      <c r="Q176" s="12"/>
      <c r="R176" s="12"/>
      <c r="S176" s="12"/>
      <c r="T176" s="12"/>
      <c r="U176" s="12" t="n">
        <v>587</v>
      </c>
      <c r="V176" s="12"/>
      <c r="W176" s="12" t="s">
        <v>2037</v>
      </c>
      <c r="X176" s="12"/>
      <c r="Y176" s="13" t="s">
        <v>2038</v>
      </c>
      <c r="Z176" s="13" t="s">
        <v>2039</v>
      </c>
      <c r="AA176" s="13"/>
      <c r="AB176" s="13" t="s">
        <v>2040</v>
      </c>
      <c r="AC176" s="12"/>
      <c r="AD176" s="12" t="s">
        <v>108</v>
      </c>
      <c r="AE176" s="13" t="s">
        <v>2041</v>
      </c>
      <c r="AF176" s="12" t="s">
        <v>2042</v>
      </c>
      <c r="AG176" s="12" t="s">
        <v>2043</v>
      </c>
    </row>
    <row r="177" customFormat="false" ht="43.5" hidden="false" customHeight="true" outlineLevel="0" collapsed="false">
      <c r="A177" s="12" t="n">
        <v>176</v>
      </c>
      <c r="B177" s="12" t="s">
        <v>2044</v>
      </c>
      <c r="C177" s="12" t="s">
        <v>2045</v>
      </c>
      <c r="D177" s="12" t="s">
        <v>83</v>
      </c>
      <c r="E177" s="12" t="s">
        <v>84</v>
      </c>
      <c r="F177" s="12" t="s">
        <v>151</v>
      </c>
      <c r="G177" s="12" t="n">
        <v>0.5</v>
      </c>
      <c r="H177" s="12" t="n">
        <v>67.07</v>
      </c>
      <c r="I177" s="12" t="n">
        <v>50</v>
      </c>
      <c r="J177" s="12"/>
      <c r="K177" s="13" t="s">
        <v>2046</v>
      </c>
      <c r="L177" s="12"/>
      <c r="M177" s="12" t="n">
        <v>0.093</v>
      </c>
      <c r="N177" s="12"/>
      <c r="O177" s="13" t="s">
        <v>2047</v>
      </c>
      <c r="P177" s="12" t="n">
        <v>0.096</v>
      </c>
      <c r="Q177" s="12"/>
      <c r="R177" s="12"/>
      <c r="S177" s="12"/>
      <c r="T177" s="12"/>
      <c r="U177" s="12"/>
      <c r="V177" s="12" t="s">
        <v>2044</v>
      </c>
      <c r="W177" s="12" t="s">
        <v>2048</v>
      </c>
      <c r="X177" s="12" t="n">
        <v>2</v>
      </c>
      <c r="Y177" s="13" t="s">
        <v>2049</v>
      </c>
      <c r="Z177" s="13" t="s">
        <v>2050</v>
      </c>
      <c r="AA177" s="13" t="s">
        <v>1519</v>
      </c>
      <c r="AB177" s="13"/>
      <c r="AC177" s="12"/>
      <c r="AD177" s="12" t="s">
        <v>94</v>
      </c>
      <c r="AE177" s="13" t="s">
        <v>2051</v>
      </c>
      <c r="AF177" s="12" t="s">
        <v>2052</v>
      </c>
      <c r="AG177" s="12" t="s">
        <v>2053</v>
      </c>
    </row>
    <row r="178" customFormat="false" ht="43.5" hidden="false" customHeight="true" outlineLevel="0" collapsed="false">
      <c r="A178" s="12" t="n">
        <v>177</v>
      </c>
      <c r="B178" s="12" t="s">
        <v>2054</v>
      </c>
      <c r="C178" s="12" t="s">
        <v>82</v>
      </c>
      <c r="D178" s="12" t="s">
        <v>259</v>
      </c>
      <c r="E178" s="12" t="s">
        <v>84</v>
      </c>
      <c r="F178" s="12" t="s">
        <v>85</v>
      </c>
      <c r="G178" s="12"/>
      <c r="H178" s="12" t="n">
        <v>267.66</v>
      </c>
      <c r="I178" s="12" t="n">
        <v>75</v>
      </c>
      <c r="J178" s="12" t="n">
        <v>4.25</v>
      </c>
      <c r="K178" s="13" t="s">
        <v>2055</v>
      </c>
      <c r="L178" s="12"/>
      <c r="M178" s="12" t="n">
        <v>4.44</v>
      </c>
      <c r="N178" s="12"/>
      <c r="O178" s="13" t="s">
        <v>2056</v>
      </c>
      <c r="P178" s="12" t="n">
        <v>4.24</v>
      </c>
      <c r="Q178" s="12"/>
      <c r="R178" s="12"/>
      <c r="S178" s="12"/>
      <c r="T178" s="12"/>
      <c r="U178" s="12" t="n">
        <v>4.088</v>
      </c>
      <c r="V178" s="12" t="s">
        <v>2054</v>
      </c>
      <c r="W178" s="12" t="s">
        <v>2057</v>
      </c>
      <c r="X178" s="12" t="n">
        <v>15.1</v>
      </c>
      <c r="Y178" s="13" t="s">
        <v>2058</v>
      </c>
      <c r="Z178" s="13" t="s">
        <v>2059</v>
      </c>
      <c r="AA178" s="13" t="s">
        <v>191</v>
      </c>
      <c r="AB178" s="13" t="s">
        <v>2060</v>
      </c>
      <c r="AC178" s="12"/>
      <c r="AD178" s="12" t="s">
        <v>108</v>
      </c>
      <c r="AE178" s="13" t="s">
        <v>2061</v>
      </c>
      <c r="AF178" s="12" t="s">
        <v>2062</v>
      </c>
      <c r="AG178" s="12" t="s">
        <v>2063</v>
      </c>
    </row>
    <row r="179" customFormat="false" ht="43.5" hidden="false" customHeight="true" outlineLevel="0" collapsed="false">
      <c r="A179" s="12" t="n">
        <v>178</v>
      </c>
      <c r="B179" s="12" t="s">
        <v>2064</v>
      </c>
      <c r="C179" s="12" t="s">
        <v>596</v>
      </c>
      <c r="D179" s="12" t="s">
        <v>83</v>
      </c>
      <c r="E179" s="12" t="s">
        <v>84</v>
      </c>
      <c r="F179" s="12" t="s">
        <v>85</v>
      </c>
      <c r="G179" s="12"/>
      <c r="H179" s="12" t="n">
        <v>109.69</v>
      </c>
      <c r="I179" s="12"/>
      <c r="J179" s="12" t="n">
        <v>52.4</v>
      </c>
      <c r="K179" s="13" t="s">
        <v>2065</v>
      </c>
      <c r="L179" s="12" t="s">
        <v>2066</v>
      </c>
      <c r="M179" s="12" t="n">
        <v>48.6</v>
      </c>
      <c r="N179" s="12"/>
      <c r="O179" s="13" t="s">
        <v>2067</v>
      </c>
      <c r="P179" s="12"/>
      <c r="Q179" s="12"/>
      <c r="R179" s="12"/>
      <c r="S179" s="12" t="s">
        <v>2068</v>
      </c>
      <c r="T179" s="12" t="s">
        <v>2069</v>
      </c>
      <c r="U179" s="12" t="n">
        <v>54</v>
      </c>
      <c r="V179" s="12" t="s">
        <v>2070</v>
      </c>
      <c r="W179" s="12" t="s">
        <v>2071</v>
      </c>
      <c r="X179" s="12" t="n">
        <v>53.9</v>
      </c>
      <c r="Y179" s="13" t="s">
        <v>2072</v>
      </c>
      <c r="Z179" s="13" t="s">
        <v>2073</v>
      </c>
      <c r="AA179" s="13"/>
      <c r="AB179" s="13"/>
      <c r="AC179" s="12"/>
      <c r="AD179" s="12" t="s">
        <v>108</v>
      </c>
      <c r="AE179" s="13" t="s">
        <v>2074</v>
      </c>
      <c r="AF179" s="12" t="s">
        <v>2075</v>
      </c>
      <c r="AG179" s="12" t="s">
        <v>2076</v>
      </c>
    </row>
    <row r="180" customFormat="false" ht="43.5" hidden="false" customHeight="true" outlineLevel="0" collapsed="false">
      <c r="A180" s="12" t="n">
        <v>179</v>
      </c>
      <c r="B180" s="12" t="s">
        <v>2064</v>
      </c>
      <c r="C180" s="12" t="s">
        <v>113</v>
      </c>
      <c r="D180" s="12" t="s">
        <v>83</v>
      </c>
      <c r="E180" s="12" t="s">
        <v>84</v>
      </c>
      <c r="F180" s="12" t="s">
        <v>85</v>
      </c>
      <c r="G180" s="12"/>
      <c r="H180" s="12"/>
      <c r="I180" s="12" t="n">
        <v>500</v>
      </c>
      <c r="J180" s="12" t="n">
        <v>63000</v>
      </c>
      <c r="K180" s="13" t="s">
        <v>2077</v>
      </c>
      <c r="L180" s="12"/>
      <c r="M180" s="12" t="n">
        <v>61400</v>
      </c>
      <c r="N180" s="12"/>
      <c r="O180" s="13" t="s">
        <v>2078</v>
      </c>
      <c r="P180" s="12" t="n">
        <v>62512.3</v>
      </c>
      <c r="Q180" s="12"/>
      <c r="R180" s="12"/>
      <c r="S180" s="12" t="s">
        <v>2079</v>
      </c>
      <c r="T180" s="12" t="s">
        <v>2080</v>
      </c>
      <c r="U180" s="12" t="n">
        <v>64500</v>
      </c>
      <c r="V180" s="12"/>
      <c r="W180" s="12" t="s">
        <v>2081</v>
      </c>
      <c r="X180" s="12"/>
      <c r="Y180" s="13" t="s">
        <v>2082</v>
      </c>
      <c r="Z180" s="13" t="s">
        <v>2083</v>
      </c>
      <c r="AA180" s="13"/>
      <c r="AB180" s="13" t="s">
        <v>2084</v>
      </c>
      <c r="AC180" s="12"/>
      <c r="AD180" s="12" t="s">
        <v>312</v>
      </c>
      <c r="AE180" s="13" t="s">
        <v>2085</v>
      </c>
      <c r="AF180" s="12" t="s">
        <v>2086</v>
      </c>
      <c r="AG180" s="12" t="s">
        <v>2076</v>
      </c>
    </row>
    <row r="181" customFormat="false" ht="43.5" hidden="false" customHeight="true" outlineLevel="0" collapsed="false">
      <c r="A181" s="12" t="n">
        <v>180</v>
      </c>
      <c r="B181" s="12" t="s">
        <v>2087</v>
      </c>
      <c r="C181" s="12" t="s">
        <v>99</v>
      </c>
      <c r="D181" s="12" t="s">
        <v>259</v>
      </c>
      <c r="E181" s="12" t="s">
        <v>170</v>
      </c>
      <c r="F181" s="12" t="s">
        <v>170</v>
      </c>
      <c r="G181" s="12"/>
      <c r="H181" s="12"/>
      <c r="I181" s="12" t="n">
        <v>100</v>
      </c>
      <c r="J181" s="12" t="n">
        <v>1840</v>
      </c>
      <c r="K181" s="13" t="s">
        <v>2088</v>
      </c>
      <c r="L181" s="12" t="s">
        <v>2089</v>
      </c>
      <c r="M181" s="12"/>
      <c r="N181" s="12" t="s">
        <v>2090</v>
      </c>
      <c r="O181" s="13" t="s">
        <v>2091</v>
      </c>
      <c r="P181" s="12" t="n">
        <v>1840</v>
      </c>
      <c r="Q181" s="12"/>
      <c r="R181" s="12"/>
      <c r="S181" s="12"/>
      <c r="T181" s="12"/>
      <c r="U181" s="12"/>
      <c r="V181" s="12" t="s">
        <v>2087</v>
      </c>
      <c r="W181" s="12"/>
      <c r="X181" s="12"/>
      <c r="Y181" s="13" t="s">
        <v>2092</v>
      </c>
      <c r="Z181" s="13" t="s">
        <v>2093</v>
      </c>
      <c r="AA181" s="13" t="s">
        <v>336</v>
      </c>
      <c r="AB181" s="13" t="s">
        <v>2094</v>
      </c>
      <c r="AC181" s="12"/>
      <c r="AD181" s="12" t="s">
        <v>312</v>
      </c>
      <c r="AE181" s="13" t="s">
        <v>2095</v>
      </c>
      <c r="AF181" s="12" t="s">
        <v>2096</v>
      </c>
      <c r="AG181" s="12" t="s">
        <v>2097</v>
      </c>
    </row>
    <row r="182" customFormat="false" ht="43.5" hidden="false" customHeight="true" outlineLevel="0" collapsed="false">
      <c r="A182" s="12" t="n">
        <v>181</v>
      </c>
      <c r="B182" s="12" t="s">
        <v>2098</v>
      </c>
      <c r="C182" s="12" t="s">
        <v>476</v>
      </c>
      <c r="D182" s="12" t="s">
        <v>83</v>
      </c>
      <c r="E182" s="12" t="s">
        <v>84</v>
      </c>
      <c r="F182" s="12" t="s">
        <v>85</v>
      </c>
      <c r="G182" s="12"/>
      <c r="H182" s="12" t="n">
        <v>168.99</v>
      </c>
      <c r="I182" s="12"/>
      <c r="J182" s="12" t="n">
        <v>473.5</v>
      </c>
      <c r="K182" s="13" t="s">
        <v>2099</v>
      </c>
      <c r="L182" s="12" t="s">
        <v>2100</v>
      </c>
      <c r="M182" s="12" t="n">
        <v>450</v>
      </c>
      <c r="N182" s="12" t="s">
        <v>2101</v>
      </c>
      <c r="O182" s="13" t="s">
        <v>2102</v>
      </c>
      <c r="P182" s="12"/>
      <c r="Q182" s="12"/>
      <c r="R182" s="12"/>
      <c r="S182" s="12" t="s">
        <v>2103</v>
      </c>
      <c r="T182" s="12"/>
      <c r="U182" s="12" t="n">
        <v>490</v>
      </c>
      <c r="V182" s="12" t="s">
        <v>2098</v>
      </c>
      <c r="W182" s="12" t="s">
        <v>2104</v>
      </c>
      <c r="X182" s="12" t="n">
        <v>9.5</v>
      </c>
      <c r="Y182" s="13" t="s">
        <v>2105</v>
      </c>
      <c r="Z182" s="13" t="s">
        <v>2106</v>
      </c>
      <c r="AA182" s="13"/>
      <c r="AB182" s="13" t="s">
        <v>2107</v>
      </c>
      <c r="AC182" s="12"/>
      <c r="AD182" s="12" t="s">
        <v>94</v>
      </c>
      <c r="AE182" s="13" t="s">
        <v>2108</v>
      </c>
      <c r="AF182" s="12" t="s">
        <v>2109</v>
      </c>
      <c r="AG182" s="12" t="s">
        <v>2110</v>
      </c>
    </row>
    <row r="183" customFormat="false" ht="43.5" hidden="false" customHeight="true" outlineLevel="0" collapsed="false">
      <c r="A183" s="12" t="n">
        <v>182</v>
      </c>
      <c r="B183" s="12" t="s">
        <v>2111</v>
      </c>
      <c r="C183" s="12" t="s">
        <v>99</v>
      </c>
      <c r="D183" s="12" t="s">
        <v>83</v>
      </c>
      <c r="E183" s="12" t="s">
        <v>84</v>
      </c>
      <c r="F183" s="12" t="s">
        <v>85</v>
      </c>
      <c r="G183" s="12"/>
      <c r="H183" s="12" t="n">
        <v>329.17</v>
      </c>
      <c r="I183" s="12"/>
      <c r="J183" s="12" t="n">
        <v>1862</v>
      </c>
      <c r="K183" s="13" t="s">
        <v>2112</v>
      </c>
      <c r="L183" s="12"/>
      <c r="M183" s="12" t="n">
        <v>1832</v>
      </c>
      <c r="N183" s="12" t="s">
        <v>2113</v>
      </c>
      <c r="O183" s="13" t="s">
        <v>2114</v>
      </c>
      <c r="P183" s="12"/>
      <c r="Q183" s="12"/>
      <c r="R183" s="12"/>
      <c r="S183" s="12"/>
      <c r="T183" s="12"/>
      <c r="U183" s="12"/>
      <c r="V183" s="12" t="s">
        <v>2111</v>
      </c>
      <c r="W183" s="12" t="s">
        <v>2115</v>
      </c>
      <c r="X183" s="12" t="n">
        <v>4.8</v>
      </c>
      <c r="Y183" s="13" t="s">
        <v>2116</v>
      </c>
      <c r="Z183" s="13" t="s">
        <v>2117</v>
      </c>
      <c r="AA183" s="13" t="s">
        <v>2118</v>
      </c>
      <c r="AB183" s="13" t="s">
        <v>2119</v>
      </c>
      <c r="AC183" s="12"/>
      <c r="AD183" s="12" t="s">
        <v>108</v>
      </c>
      <c r="AE183" s="13" t="s">
        <v>2120</v>
      </c>
      <c r="AF183" s="12" t="s">
        <v>2121</v>
      </c>
      <c r="AG183" s="12" t="s">
        <v>2122</v>
      </c>
    </row>
    <row r="184" customFormat="false" ht="43.5" hidden="false" customHeight="true" outlineLevel="0" collapsed="false">
      <c r="A184" s="12" t="n">
        <v>183</v>
      </c>
      <c r="B184" s="12" t="s">
        <v>2123</v>
      </c>
      <c r="C184" s="12" t="s">
        <v>476</v>
      </c>
      <c r="D184" s="12" t="s">
        <v>83</v>
      </c>
      <c r="E184" s="12" t="s">
        <v>128</v>
      </c>
      <c r="F184" s="12" t="s">
        <v>128</v>
      </c>
      <c r="G184" s="12"/>
      <c r="H184" s="12"/>
      <c r="I184" s="12"/>
      <c r="J184" s="12" t="n">
        <v>482</v>
      </c>
      <c r="K184" s="13" t="s">
        <v>2124</v>
      </c>
      <c r="L184" s="12"/>
      <c r="M184" s="12" t="n">
        <v>460</v>
      </c>
      <c r="N184" s="12" t="s">
        <v>2125</v>
      </c>
      <c r="O184" s="13" t="s">
        <v>2126</v>
      </c>
      <c r="P184" s="12"/>
      <c r="Q184" s="12"/>
      <c r="R184" s="12" t="s">
        <v>2127</v>
      </c>
      <c r="S184" s="12"/>
      <c r="T184" s="12"/>
      <c r="U184" s="12" t="n">
        <v>482</v>
      </c>
      <c r="V184" s="12" t="s">
        <v>2128</v>
      </c>
      <c r="W184" s="12" t="s">
        <v>2129</v>
      </c>
      <c r="X184" s="12" t="n">
        <v>47.5</v>
      </c>
      <c r="Y184" s="13" t="s">
        <v>2130</v>
      </c>
      <c r="Z184" s="13" t="s">
        <v>2131</v>
      </c>
      <c r="AA184" s="13" t="s">
        <v>2132</v>
      </c>
      <c r="AB184" s="13"/>
      <c r="AC184" s="12"/>
      <c r="AD184" s="12" t="s">
        <v>94</v>
      </c>
      <c r="AE184" s="13" t="s">
        <v>2133</v>
      </c>
      <c r="AF184" s="12" t="s">
        <v>2134</v>
      </c>
      <c r="AG184" s="12" t="s">
        <v>2135</v>
      </c>
    </row>
    <row r="185" customFormat="false" ht="43.5" hidden="false" customHeight="true" outlineLevel="0" collapsed="false">
      <c r="A185" s="12" t="n">
        <v>184</v>
      </c>
      <c r="B185" s="12" t="s">
        <v>2136</v>
      </c>
      <c r="C185" s="12" t="s">
        <v>1395</v>
      </c>
      <c r="D185" s="12" t="s">
        <v>83</v>
      </c>
      <c r="E185" s="12" t="s">
        <v>84</v>
      </c>
      <c r="F185" s="12" t="s">
        <v>170</v>
      </c>
      <c r="G185" s="12"/>
      <c r="H185" s="12"/>
      <c r="I185" s="12"/>
      <c r="J185" s="12"/>
      <c r="K185" s="13" t="s">
        <v>2137</v>
      </c>
      <c r="L185" s="12"/>
      <c r="M185" s="12"/>
      <c r="N185" s="12"/>
      <c r="O185" s="13"/>
      <c r="P185" s="12" t="n">
        <v>107.82</v>
      </c>
      <c r="Q185" s="12"/>
      <c r="R185" s="12"/>
      <c r="S185" s="12"/>
      <c r="T185" s="12" t="s">
        <v>2138</v>
      </c>
      <c r="U185" s="12"/>
      <c r="V185" s="12"/>
      <c r="W185" s="12"/>
      <c r="X185" s="12"/>
      <c r="Y185" s="13" t="s">
        <v>2139</v>
      </c>
      <c r="Z185" s="13" t="s">
        <v>2140</v>
      </c>
      <c r="AA185" s="13" t="s">
        <v>2141</v>
      </c>
      <c r="AB185" s="13" t="s">
        <v>2142</v>
      </c>
      <c r="AC185" s="12" t="s">
        <v>177</v>
      </c>
      <c r="AD185" s="12" t="s">
        <v>312</v>
      </c>
      <c r="AE185" s="13" t="s">
        <v>2143</v>
      </c>
      <c r="AF185" s="12" t="s">
        <v>2144</v>
      </c>
      <c r="AG185" s="12" t="s">
        <v>2145</v>
      </c>
    </row>
    <row r="186" customFormat="false" ht="43.5" hidden="false" customHeight="true" outlineLevel="0" collapsed="false">
      <c r="A186" s="12" t="n">
        <v>185</v>
      </c>
      <c r="B186" s="12" t="s">
        <v>2146</v>
      </c>
      <c r="C186" s="12" t="s">
        <v>99</v>
      </c>
      <c r="D186" s="12" t="s">
        <v>83</v>
      </c>
      <c r="E186" s="12" t="s">
        <v>84</v>
      </c>
      <c r="F186" s="12" t="s">
        <v>151</v>
      </c>
      <c r="G186" s="12"/>
      <c r="H186" s="12" t="n">
        <v>114.52</v>
      </c>
      <c r="I186" s="12"/>
      <c r="J186" s="12" t="n">
        <v>1867</v>
      </c>
      <c r="K186" s="13" t="s">
        <v>2147</v>
      </c>
      <c r="L186" s="12" t="s">
        <v>2148</v>
      </c>
      <c r="M186" s="12" t="n">
        <v>1806</v>
      </c>
      <c r="N186" s="12" t="s">
        <v>2149</v>
      </c>
      <c r="O186" s="13" t="s">
        <v>2150</v>
      </c>
      <c r="P186" s="12"/>
      <c r="Q186" s="12"/>
      <c r="R186" s="12"/>
      <c r="S186" s="12"/>
      <c r="T186" s="12"/>
      <c r="U186" s="12" t="n">
        <v>1882</v>
      </c>
      <c r="V186" s="12" t="s">
        <v>2146</v>
      </c>
      <c r="W186" s="12" t="s">
        <v>2151</v>
      </c>
      <c r="X186" s="12" t="n">
        <v>22</v>
      </c>
      <c r="Y186" s="13" t="s">
        <v>2152</v>
      </c>
      <c r="Z186" s="13" t="s">
        <v>2153</v>
      </c>
      <c r="AA186" s="13" t="s">
        <v>2154</v>
      </c>
      <c r="AB186" s="13" t="s">
        <v>2155</v>
      </c>
      <c r="AC186" s="12"/>
      <c r="AD186" s="12" t="s">
        <v>108</v>
      </c>
      <c r="AE186" s="13" t="s">
        <v>2156</v>
      </c>
      <c r="AF186" s="12" t="s">
        <v>2157</v>
      </c>
      <c r="AG186" s="12" t="s">
        <v>2158</v>
      </c>
    </row>
    <row r="187" customFormat="false" ht="43.5" hidden="false" customHeight="true" outlineLevel="0" collapsed="false">
      <c r="A187" s="12" t="n">
        <v>186</v>
      </c>
      <c r="B187" s="12" t="s">
        <v>2159</v>
      </c>
      <c r="C187" s="12" t="s">
        <v>142</v>
      </c>
      <c r="D187" s="12" t="s">
        <v>259</v>
      </c>
      <c r="E187" s="12" t="s">
        <v>100</v>
      </c>
      <c r="F187" s="12" t="s">
        <v>101</v>
      </c>
      <c r="G187" s="12"/>
      <c r="H187" s="12"/>
      <c r="I187" s="12"/>
      <c r="J187" s="12" t="n">
        <v>4162</v>
      </c>
      <c r="K187" s="13" t="s">
        <v>2160</v>
      </c>
      <c r="L187" s="12"/>
      <c r="M187" s="12" t="n">
        <v>4269</v>
      </c>
      <c r="N187" s="12"/>
      <c r="O187" s="13" t="s">
        <v>2161</v>
      </c>
      <c r="P187" s="12" t="n">
        <v>4182</v>
      </c>
      <c r="Q187" s="12" t="s">
        <v>2162</v>
      </c>
      <c r="R187" s="12" t="s">
        <v>2163</v>
      </c>
      <c r="S187" s="12"/>
      <c r="T187" s="12"/>
      <c r="U187" s="12"/>
      <c r="V187" s="12" t="s">
        <v>2159</v>
      </c>
      <c r="W187" s="12" t="s">
        <v>2164</v>
      </c>
      <c r="X187" s="12" t="n">
        <v>13.2</v>
      </c>
      <c r="Y187" s="13" t="s">
        <v>2165</v>
      </c>
      <c r="Z187" s="13" t="s">
        <v>2166</v>
      </c>
      <c r="AA187" s="13"/>
      <c r="AB187" s="13" t="s">
        <v>2167</v>
      </c>
      <c r="AC187" s="12"/>
      <c r="AD187" s="12" t="s">
        <v>94</v>
      </c>
      <c r="AE187" s="13" t="s">
        <v>2168</v>
      </c>
      <c r="AF187" s="12" t="s">
        <v>2169</v>
      </c>
      <c r="AG187" s="12" t="s">
        <v>2170</v>
      </c>
    </row>
    <row r="188" customFormat="false" ht="43.5" hidden="false" customHeight="true" outlineLevel="0" collapsed="false">
      <c r="A188" s="12" t="n">
        <v>187</v>
      </c>
      <c r="B188" s="12" t="s">
        <v>2171</v>
      </c>
      <c r="C188" s="12" t="s">
        <v>596</v>
      </c>
      <c r="D188" s="12" t="s">
        <v>259</v>
      </c>
      <c r="E188" s="12" t="s">
        <v>143</v>
      </c>
      <c r="F188" s="12" t="s">
        <v>891</v>
      </c>
      <c r="G188" s="12"/>
      <c r="H188" s="12"/>
      <c r="I188" s="12"/>
      <c r="J188" s="12" t="n">
        <v>58.5</v>
      </c>
      <c r="K188" s="13" t="s">
        <v>2172</v>
      </c>
      <c r="L188" s="12"/>
      <c r="M188" s="12"/>
      <c r="N188" s="12"/>
      <c r="O188" s="13"/>
      <c r="P188" s="12"/>
      <c r="Q188" s="12"/>
      <c r="R188" s="12"/>
      <c r="S188" s="12"/>
      <c r="T188" s="12"/>
      <c r="U188" s="12"/>
      <c r="V188" s="12"/>
      <c r="W188" s="12"/>
      <c r="X188" s="12"/>
      <c r="Y188" s="13" t="s">
        <v>2173</v>
      </c>
      <c r="Z188" s="13" t="s">
        <v>2174</v>
      </c>
      <c r="AA188" s="13"/>
      <c r="AB188" s="13"/>
      <c r="AC188" s="12"/>
      <c r="AD188" s="12" t="s">
        <v>94</v>
      </c>
      <c r="AE188" s="13" t="s">
        <v>2175</v>
      </c>
      <c r="AF188" s="12" t="s">
        <v>2176</v>
      </c>
      <c r="AG188" s="12" t="s">
        <v>2177</v>
      </c>
    </row>
    <row r="189" customFormat="false" ht="43.5" hidden="false" customHeight="true" outlineLevel="0" collapsed="false">
      <c r="A189" s="12" t="n">
        <v>188</v>
      </c>
      <c r="B189" s="12" t="s">
        <v>2178</v>
      </c>
      <c r="C189" s="12" t="s">
        <v>99</v>
      </c>
      <c r="D189" s="12" t="s">
        <v>83</v>
      </c>
      <c r="E189" s="12" t="s">
        <v>84</v>
      </c>
      <c r="F189" s="12" t="s">
        <v>151</v>
      </c>
      <c r="G189" s="12"/>
      <c r="H189" s="12" t="n">
        <v>200.26</v>
      </c>
      <c r="I189" s="12"/>
      <c r="J189" s="12" t="n">
        <v>1870</v>
      </c>
      <c r="K189" s="13" t="s">
        <v>2179</v>
      </c>
      <c r="L189" s="12"/>
      <c r="M189" s="12" t="n">
        <v>1830</v>
      </c>
      <c r="N189" s="12"/>
      <c r="O189" s="13" t="s">
        <v>2180</v>
      </c>
      <c r="P189" s="12" t="n">
        <v>1871.53</v>
      </c>
      <c r="Q189" s="12"/>
      <c r="R189" s="12"/>
      <c r="S189" s="12"/>
      <c r="T189" s="12"/>
      <c r="U189" s="12" t="n">
        <v>1890.27</v>
      </c>
      <c r="V189" s="12" t="s">
        <v>2178</v>
      </c>
      <c r="W189" s="12" t="s">
        <v>2181</v>
      </c>
      <c r="X189" s="12" t="n">
        <v>2.5</v>
      </c>
      <c r="Y189" s="13" t="s">
        <v>2182</v>
      </c>
      <c r="Z189" s="13" t="s">
        <v>2183</v>
      </c>
      <c r="AA189" s="13" t="s">
        <v>2184</v>
      </c>
      <c r="AB189" s="13" t="s">
        <v>2185</v>
      </c>
      <c r="AC189" s="12"/>
      <c r="AD189" s="12" t="s">
        <v>108</v>
      </c>
      <c r="AE189" s="13" t="s">
        <v>2186</v>
      </c>
      <c r="AF189" s="12" t="s">
        <v>2187</v>
      </c>
      <c r="AG189" s="12" t="s">
        <v>2188</v>
      </c>
    </row>
    <row r="190" customFormat="false" ht="43.5" hidden="false" customHeight="true" outlineLevel="0" collapsed="false">
      <c r="A190" s="12" t="n">
        <v>189</v>
      </c>
      <c r="B190" s="12" t="s">
        <v>2189</v>
      </c>
      <c r="C190" s="12" t="s">
        <v>99</v>
      </c>
      <c r="D190" s="12" t="s">
        <v>259</v>
      </c>
      <c r="E190" s="12" t="s">
        <v>84</v>
      </c>
      <c r="F190" s="12" t="s">
        <v>151</v>
      </c>
      <c r="G190" s="12" t="n">
        <v>1</v>
      </c>
      <c r="H190" s="12" t="n">
        <v>235.1</v>
      </c>
      <c r="I190" s="12" t="n">
        <v>300</v>
      </c>
      <c r="J190" s="12" t="n">
        <v>1920</v>
      </c>
      <c r="K190" s="13" t="s">
        <v>2190</v>
      </c>
      <c r="L190" s="12"/>
      <c r="M190" s="12" t="n">
        <v>1950</v>
      </c>
      <c r="N190" s="12"/>
      <c r="O190" s="13" t="s">
        <v>2191</v>
      </c>
      <c r="P190" s="12"/>
      <c r="Q190" s="12"/>
      <c r="R190" s="12"/>
      <c r="S190" s="12"/>
      <c r="T190" s="12"/>
      <c r="U190" s="12" t="n">
        <v>1892</v>
      </c>
      <c r="V190" s="12" t="s">
        <v>2189</v>
      </c>
      <c r="W190" s="12" t="s">
        <v>2192</v>
      </c>
      <c r="X190" s="12" t="n">
        <v>19</v>
      </c>
      <c r="Y190" s="13" t="s">
        <v>2193</v>
      </c>
      <c r="Z190" s="13" t="s">
        <v>2194</v>
      </c>
      <c r="AA190" s="13" t="s">
        <v>191</v>
      </c>
      <c r="AB190" s="13" t="s">
        <v>302</v>
      </c>
      <c r="AC190" s="12"/>
      <c r="AD190" s="12" t="s">
        <v>94</v>
      </c>
      <c r="AE190" s="13" t="s">
        <v>2195</v>
      </c>
      <c r="AF190" s="12" t="s">
        <v>2196</v>
      </c>
      <c r="AG190" s="12" t="s">
        <v>2197</v>
      </c>
    </row>
    <row r="191" customFormat="false" ht="43.5" hidden="false" customHeight="true" outlineLevel="0" collapsed="false">
      <c r="A191" s="12" t="n">
        <v>190</v>
      </c>
      <c r="B191" s="12" t="s">
        <v>2198</v>
      </c>
      <c r="C191" s="12" t="s">
        <v>113</v>
      </c>
      <c r="D191" s="12" t="s">
        <v>259</v>
      </c>
      <c r="E191" s="12" t="s">
        <v>84</v>
      </c>
      <c r="F191" s="12" t="s">
        <v>85</v>
      </c>
      <c r="G191" s="12"/>
      <c r="H191" s="12" t="n">
        <v>119.86</v>
      </c>
      <c r="I191" s="12" t="n">
        <v>150</v>
      </c>
      <c r="J191" s="12" t="n">
        <v>64800</v>
      </c>
      <c r="K191" s="13" t="s">
        <v>2199</v>
      </c>
      <c r="L191" s="12" t="s">
        <v>2200</v>
      </c>
      <c r="M191" s="12" t="n">
        <v>66000</v>
      </c>
      <c r="N191" s="12" t="s">
        <v>2201</v>
      </c>
      <c r="O191" s="13" t="s">
        <v>2202</v>
      </c>
      <c r="P191" s="12" t="n">
        <v>65024.1</v>
      </c>
      <c r="Q191" s="12" t="s">
        <v>2203</v>
      </c>
      <c r="R191" s="12" t="s">
        <v>2204</v>
      </c>
      <c r="S191" s="12" t="s">
        <v>2205</v>
      </c>
      <c r="T191" s="12" t="s">
        <v>2206</v>
      </c>
      <c r="U191" s="12" t="n">
        <v>64060</v>
      </c>
      <c r="V191" s="12"/>
      <c r="W191" s="12" t="s">
        <v>2207</v>
      </c>
      <c r="X191" s="12"/>
      <c r="Y191" s="13" t="s">
        <v>2208</v>
      </c>
      <c r="Z191" s="13" t="s">
        <v>2209</v>
      </c>
      <c r="AA191" s="13" t="s">
        <v>2210</v>
      </c>
      <c r="AB191" s="13" t="s">
        <v>2211</v>
      </c>
      <c r="AC191" s="12"/>
      <c r="AD191" s="12" t="s">
        <v>108</v>
      </c>
      <c r="AE191" s="13" t="s">
        <v>2212</v>
      </c>
      <c r="AF191" s="12" t="s">
        <v>2213</v>
      </c>
      <c r="AG191" s="12" t="s">
        <v>2214</v>
      </c>
    </row>
    <row r="192" customFormat="false" ht="43.5" hidden="false" customHeight="true" outlineLevel="0" collapsed="false">
      <c r="A192" s="12" t="n">
        <v>191</v>
      </c>
      <c r="B192" s="12" t="s">
        <v>2215</v>
      </c>
      <c r="C192" s="12" t="s">
        <v>142</v>
      </c>
      <c r="D192" s="12" t="s">
        <v>259</v>
      </c>
      <c r="E192" s="12" t="s">
        <v>143</v>
      </c>
      <c r="F192" s="12" t="s">
        <v>143</v>
      </c>
      <c r="G192" s="12"/>
      <c r="H192" s="12"/>
      <c r="I192" s="12"/>
      <c r="J192" s="12" t="n">
        <v>4350</v>
      </c>
      <c r="K192" s="13" t="s">
        <v>2216</v>
      </c>
      <c r="L192" s="12"/>
      <c r="M192" s="12"/>
      <c r="N192" s="12"/>
      <c r="O192" s="13"/>
      <c r="P192" s="12"/>
      <c r="Q192" s="12"/>
      <c r="R192" s="12"/>
      <c r="S192" s="12"/>
      <c r="T192" s="12"/>
      <c r="U192" s="12"/>
      <c r="V192" s="12"/>
      <c r="W192" s="12"/>
      <c r="X192" s="12"/>
      <c r="Y192" s="13" t="s">
        <v>2217</v>
      </c>
      <c r="Z192" s="13" t="s">
        <v>2218</v>
      </c>
      <c r="AA192" s="13"/>
      <c r="AB192" s="13" t="s">
        <v>2219</v>
      </c>
      <c r="AC192" s="12"/>
      <c r="AD192" s="12" t="s">
        <v>108</v>
      </c>
      <c r="AE192" s="13" t="s">
        <v>2220</v>
      </c>
      <c r="AF192" s="12" t="s">
        <v>2221</v>
      </c>
      <c r="AG192" s="12" t="s">
        <v>2222</v>
      </c>
    </row>
    <row r="193" customFormat="false" ht="43.5" hidden="false" customHeight="true" outlineLevel="0" collapsed="false">
      <c r="A193" s="12" t="n">
        <v>192</v>
      </c>
      <c r="B193" s="12" t="s">
        <v>2223</v>
      </c>
      <c r="C193" s="12" t="s">
        <v>2224</v>
      </c>
      <c r="D193" s="12" t="s">
        <v>83</v>
      </c>
      <c r="E193" s="12" t="s">
        <v>100</v>
      </c>
      <c r="F193" s="12" t="s">
        <v>101</v>
      </c>
      <c r="G193" s="12"/>
      <c r="H193" s="12"/>
      <c r="I193" s="12"/>
      <c r="J193" s="12" t="n">
        <v>0.72</v>
      </c>
      <c r="K193" s="13" t="s">
        <v>2225</v>
      </c>
      <c r="L193" s="12" t="s">
        <v>2226</v>
      </c>
      <c r="M193" s="12" t="n">
        <v>0.605</v>
      </c>
      <c r="N193" s="12" t="s">
        <v>2227</v>
      </c>
      <c r="O193" s="13" t="s">
        <v>2228</v>
      </c>
      <c r="P193" s="12"/>
      <c r="Q193" s="12"/>
      <c r="R193" s="12"/>
      <c r="S193" s="12"/>
      <c r="T193" s="12"/>
      <c r="U193" s="12"/>
      <c r="V193" s="12" t="s">
        <v>2223</v>
      </c>
      <c r="W193" s="12" t="s">
        <v>2229</v>
      </c>
      <c r="X193" s="12" t="n">
        <v>12.6</v>
      </c>
      <c r="Y193" s="13" t="s">
        <v>2230</v>
      </c>
      <c r="Z193" s="13" t="s">
        <v>2231</v>
      </c>
      <c r="AA193" s="13"/>
      <c r="AB193" s="13"/>
      <c r="AC193" s="12"/>
      <c r="AD193" s="12" t="s">
        <v>94</v>
      </c>
      <c r="AE193" s="13" t="s">
        <v>2232</v>
      </c>
      <c r="AF193" s="12" t="s">
        <v>2233</v>
      </c>
      <c r="AG193" s="12" t="s">
        <v>2234</v>
      </c>
    </row>
    <row r="194" customFormat="false" ht="43.5" hidden="false" customHeight="true" outlineLevel="0" collapsed="false">
      <c r="A194" s="12" t="n">
        <v>193</v>
      </c>
      <c r="B194" s="12" t="s">
        <v>2235</v>
      </c>
      <c r="C194" s="12" t="s">
        <v>2236</v>
      </c>
      <c r="D194" s="12" t="s">
        <v>259</v>
      </c>
      <c r="E194" s="12" t="s">
        <v>170</v>
      </c>
      <c r="F194" s="12" t="s">
        <v>170</v>
      </c>
      <c r="G194" s="12"/>
      <c r="H194" s="12"/>
      <c r="I194" s="12"/>
      <c r="J194" s="12" t="n">
        <v>0.134</v>
      </c>
      <c r="K194" s="13" t="s">
        <v>388</v>
      </c>
      <c r="L194" s="12"/>
      <c r="M194" s="12" t="n">
        <v>0.1375</v>
      </c>
      <c r="N194" s="12" t="s">
        <v>2237</v>
      </c>
      <c r="O194" s="13" t="s">
        <v>2238</v>
      </c>
      <c r="P194" s="12"/>
      <c r="Q194" s="12"/>
      <c r="R194" s="12"/>
      <c r="S194" s="12"/>
      <c r="T194" s="12"/>
      <c r="U194" s="12"/>
      <c r="V194" s="12" t="s">
        <v>2235</v>
      </c>
      <c r="W194" s="12"/>
      <c r="X194" s="12"/>
      <c r="Y194" s="13" t="s">
        <v>2239</v>
      </c>
      <c r="Z194" s="13" t="s">
        <v>2240</v>
      </c>
      <c r="AA194" s="13" t="s">
        <v>381</v>
      </c>
      <c r="AB194" s="13" t="s">
        <v>2241</v>
      </c>
      <c r="AC194" s="12"/>
      <c r="AD194" s="12" t="s">
        <v>312</v>
      </c>
      <c r="AE194" s="13" t="s">
        <v>2242</v>
      </c>
      <c r="AF194" s="12" t="s">
        <v>2243</v>
      </c>
      <c r="AG194" s="12" t="s">
        <v>2244</v>
      </c>
    </row>
    <row r="195" customFormat="false" ht="43.5" hidden="false" customHeight="true" outlineLevel="0" collapsed="false">
      <c r="A195" s="12" t="n">
        <v>194</v>
      </c>
      <c r="B195" s="12" t="s">
        <v>2245</v>
      </c>
      <c r="C195" s="12" t="s">
        <v>99</v>
      </c>
      <c r="D195" s="12" t="s">
        <v>259</v>
      </c>
      <c r="E195" s="12" t="s">
        <v>84</v>
      </c>
      <c r="F195" s="12" t="s">
        <v>151</v>
      </c>
      <c r="G195" s="12"/>
      <c r="H195" s="12" t="n">
        <v>241.45</v>
      </c>
      <c r="I195" s="12" t="n">
        <v>300</v>
      </c>
      <c r="J195" s="12" t="n">
        <v>1920</v>
      </c>
      <c r="K195" s="13" t="s">
        <v>2246</v>
      </c>
      <c r="L195" s="12" t="s">
        <v>2247</v>
      </c>
      <c r="M195" s="12" t="n">
        <v>1950</v>
      </c>
      <c r="N195" s="12" t="s">
        <v>2248</v>
      </c>
      <c r="O195" s="13" t="s">
        <v>2249</v>
      </c>
      <c r="P195" s="12" t="n">
        <v>1922.78</v>
      </c>
      <c r="Q195" s="12" t="s">
        <v>2250</v>
      </c>
      <c r="R195" s="12"/>
      <c r="S195" s="12" t="s">
        <v>2251</v>
      </c>
      <c r="T195" s="12"/>
      <c r="U195" s="12" t="n">
        <v>1907.31</v>
      </c>
      <c r="V195" s="12" t="s">
        <v>2245</v>
      </c>
      <c r="W195" s="12" t="s">
        <v>2252</v>
      </c>
      <c r="X195" s="12" t="n">
        <v>68.7</v>
      </c>
      <c r="Y195" s="13" t="s">
        <v>2253</v>
      </c>
      <c r="Z195" s="13" t="s">
        <v>2254</v>
      </c>
      <c r="AA195" s="13" t="s">
        <v>2132</v>
      </c>
      <c r="AB195" s="13" t="s">
        <v>2255</v>
      </c>
      <c r="AC195" s="12"/>
      <c r="AD195" s="12" t="s">
        <v>94</v>
      </c>
      <c r="AE195" s="13" t="s">
        <v>2256</v>
      </c>
      <c r="AF195" s="12" t="s">
        <v>2257</v>
      </c>
      <c r="AG195" s="12" t="s">
        <v>2258</v>
      </c>
    </row>
    <row r="196" customFormat="false" ht="43.5" hidden="false" customHeight="true" outlineLevel="0" collapsed="false">
      <c r="A196" s="12" t="n">
        <v>195</v>
      </c>
      <c r="B196" s="12" t="s">
        <v>2259</v>
      </c>
      <c r="C196" s="12" t="s">
        <v>2260</v>
      </c>
      <c r="D196" s="12" t="s">
        <v>259</v>
      </c>
      <c r="E196" s="12" t="s">
        <v>84</v>
      </c>
      <c r="F196" s="12" t="s">
        <v>85</v>
      </c>
      <c r="G196" s="12" t="n">
        <v>0.7</v>
      </c>
      <c r="H196" s="12" t="n">
        <v>48.04</v>
      </c>
      <c r="I196" s="12"/>
      <c r="J196" s="12" t="n">
        <v>0.0146</v>
      </c>
      <c r="K196" s="13" t="s">
        <v>2261</v>
      </c>
      <c r="L196" s="12"/>
      <c r="M196" s="12" t="n">
        <v>0.0149</v>
      </c>
      <c r="N196" s="12"/>
      <c r="O196" s="13" t="s">
        <v>2262</v>
      </c>
      <c r="P196" s="12" t="n">
        <v>0.01457</v>
      </c>
      <c r="Q196" s="12"/>
      <c r="R196" s="12"/>
      <c r="S196" s="12"/>
      <c r="T196" s="12"/>
      <c r="U196" s="12" t="n">
        <v>0.01443</v>
      </c>
      <c r="V196" s="12" t="s">
        <v>2259</v>
      </c>
      <c r="W196" s="12" t="s">
        <v>2263</v>
      </c>
      <c r="X196" s="12" t="n">
        <v>1.5</v>
      </c>
      <c r="Y196" s="13" t="s">
        <v>2264</v>
      </c>
      <c r="Z196" s="13" t="s">
        <v>2265</v>
      </c>
      <c r="AA196" s="13" t="s">
        <v>191</v>
      </c>
      <c r="AB196" s="13"/>
      <c r="AC196" s="12"/>
      <c r="AD196" s="12" t="s">
        <v>94</v>
      </c>
      <c r="AE196" s="13" t="s">
        <v>2266</v>
      </c>
      <c r="AF196" s="12" t="s">
        <v>2267</v>
      </c>
      <c r="AG196" s="12" t="s">
        <v>2268</v>
      </c>
    </row>
    <row r="197" customFormat="false" ht="43.5" hidden="false" customHeight="true" outlineLevel="0" collapsed="false">
      <c r="A197" s="12" t="n">
        <v>196</v>
      </c>
      <c r="B197" s="12" t="s">
        <v>2269</v>
      </c>
      <c r="C197" s="12" t="s">
        <v>113</v>
      </c>
      <c r="D197" s="12" t="s">
        <v>83</v>
      </c>
      <c r="E197" s="12" t="s">
        <v>84</v>
      </c>
      <c r="F197" s="12" t="s">
        <v>151</v>
      </c>
      <c r="G197" s="12"/>
      <c r="H197" s="12" t="n">
        <v>109.01</v>
      </c>
      <c r="I197" s="12"/>
      <c r="J197" s="12" t="n">
        <v>63960</v>
      </c>
      <c r="K197" s="13" t="s">
        <v>2270</v>
      </c>
      <c r="L197" s="12" t="s">
        <v>2271</v>
      </c>
      <c r="M197" s="12" t="n">
        <v>62500</v>
      </c>
      <c r="N197" s="12"/>
      <c r="O197" s="13" t="s">
        <v>2272</v>
      </c>
      <c r="P197" s="12" t="n">
        <v>63797.1</v>
      </c>
      <c r="Q197" s="12" t="s">
        <v>2273</v>
      </c>
      <c r="R197" s="12" t="s">
        <v>2274</v>
      </c>
      <c r="S197" s="12" t="s">
        <v>2275</v>
      </c>
      <c r="T197" s="12"/>
      <c r="U197" s="12" t="n">
        <v>64144.9</v>
      </c>
      <c r="V197" s="12" t="s">
        <v>2269</v>
      </c>
      <c r="W197" s="12" t="s">
        <v>2276</v>
      </c>
      <c r="X197" s="12" t="n">
        <v>167.4</v>
      </c>
      <c r="Y197" s="13" t="s">
        <v>2277</v>
      </c>
      <c r="Z197" s="13" t="s">
        <v>2278</v>
      </c>
      <c r="AA197" s="13" t="s">
        <v>2279</v>
      </c>
      <c r="AB197" s="13" t="s">
        <v>2280</v>
      </c>
      <c r="AC197" s="12"/>
      <c r="AD197" s="12" t="s">
        <v>94</v>
      </c>
      <c r="AE197" s="13" t="s">
        <v>2281</v>
      </c>
      <c r="AF197" s="12" t="s">
        <v>2282</v>
      </c>
      <c r="AG197" s="12" t="s">
        <v>2283</v>
      </c>
    </row>
    <row r="198" customFormat="false" ht="43.5" hidden="false" customHeight="true" outlineLevel="0" collapsed="false">
      <c r="A198" s="12" t="n">
        <v>197</v>
      </c>
      <c r="B198" s="12" t="s">
        <v>2284</v>
      </c>
      <c r="C198" s="12" t="s">
        <v>99</v>
      </c>
      <c r="D198" s="12" t="s">
        <v>83</v>
      </c>
      <c r="E198" s="12" t="s">
        <v>84</v>
      </c>
      <c r="F198" s="12" t="s">
        <v>85</v>
      </c>
      <c r="G198" s="12"/>
      <c r="H198" s="12" t="n">
        <v>186.03</v>
      </c>
      <c r="I198" s="12"/>
      <c r="J198" s="12" t="n">
        <v>1871</v>
      </c>
      <c r="K198" s="13" t="s">
        <v>2285</v>
      </c>
      <c r="L198" s="12" t="s">
        <v>2286</v>
      </c>
      <c r="M198" s="12" t="n">
        <v>1842</v>
      </c>
      <c r="N198" s="12" t="s">
        <v>2287</v>
      </c>
      <c r="O198" s="13" t="s">
        <v>2288</v>
      </c>
      <c r="P198" s="12" t="n">
        <v>1872.74</v>
      </c>
      <c r="Q198" s="12"/>
      <c r="R198" s="12"/>
      <c r="S198" s="12"/>
      <c r="T198" s="12"/>
      <c r="U198" s="12" t="n">
        <v>1890.16</v>
      </c>
      <c r="V198" s="12" t="s">
        <v>2284</v>
      </c>
      <c r="W198" s="12" t="s">
        <v>2289</v>
      </c>
      <c r="X198" s="12" t="n">
        <v>16.1</v>
      </c>
      <c r="Y198" s="13" t="s">
        <v>2290</v>
      </c>
      <c r="Z198" s="13" t="s">
        <v>2291</v>
      </c>
      <c r="AA198" s="13"/>
      <c r="AB198" s="13" t="s">
        <v>302</v>
      </c>
      <c r="AC198" s="12"/>
      <c r="AD198" s="12" t="s">
        <v>94</v>
      </c>
      <c r="AE198" s="13" t="s">
        <v>2292</v>
      </c>
      <c r="AF198" s="12" t="s">
        <v>2293</v>
      </c>
      <c r="AG198" s="12" t="s">
        <v>2294</v>
      </c>
    </row>
    <row r="199" customFormat="false" ht="43.5" hidden="false" customHeight="true" outlineLevel="0" collapsed="false">
      <c r="A199" s="12" t="n">
        <v>198</v>
      </c>
      <c r="B199" s="12" t="s">
        <v>2295</v>
      </c>
      <c r="C199" s="12" t="s">
        <v>317</v>
      </c>
      <c r="D199" s="12" t="s">
        <v>259</v>
      </c>
      <c r="E199" s="12" t="s">
        <v>84</v>
      </c>
      <c r="F199" s="12" t="s">
        <v>170</v>
      </c>
      <c r="G199" s="12"/>
      <c r="H199" s="12" t="n">
        <v>262.87</v>
      </c>
      <c r="I199" s="12" t="n">
        <v>100</v>
      </c>
      <c r="J199" s="12"/>
      <c r="K199" s="13" t="s">
        <v>2296</v>
      </c>
      <c r="L199" s="12"/>
      <c r="M199" s="12"/>
      <c r="N199" s="12"/>
      <c r="O199" s="13"/>
      <c r="P199" s="12" t="n">
        <v>77.23</v>
      </c>
      <c r="Q199" s="12"/>
      <c r="R199" s="12"/>
      <c r="S199" s="12"/>
      <c r="T199" s="12"/>
      <c r="U199" s="12" t="n">
        <v>75.23</v>
      </c>
      <c r="V199" s="12"/>
      <c r="W199" s="12"/>
      <c r="X199" s="12"/>
      <c r="Y199" s="13" t="s">
        <v>2297</v>
      </c>
      <c r="Z199" s="13" t="s">
        <v>2298</v>
      </c>
      <c r="AA199" s="13"/>
      <c r="AB199" s="13"/>
      <c r="AC199" s="12"/>
      <c r="AD199" s="12" t="s">
        <v>312</v>
      </c>
      <c r="AE199" s="13" t="s">
        <v>2299</v>
      </c>
      <c r="AF199" s="12" t="s">
        <v>2300</v>
      </c>
      <c r="AG199" s="12" t="s">
        <v>2301</v>
      </c>
    </row>
    <row r="200" customFormat="false" ht="43.5" hidden="false" customHeight="true" outlineLevel="0" collapsed="false">
      <c r="A200" s="12" t="n">
        <v>199</v>
      </c>
      <c r="B200" s="12" t="s">
        <v>2302</v>
      </c>
      <c r="C200" s="12" t="s">
        <v>113</v>
      </c>
      <c r="D200" s="12" t="s">
        <v>83</v>
      </c>
      <c r="E200" s="12" t="s">
        <v>170</v>
      </c>
      <c r="F200" s="12"/>
      <c r="G200" s="12"/>
      <c r="H200" s="12" t="n">
        <v>20.95</v>
      </c>
      <c r="I200" s="12"/>
      <c r="J200" s="12"/>
      <c r="K200" s="13" t="s">
        <v>2303</v>
      </c>
      <c r="L200" s="12"/>
      <c r="M200" s="12"/>
      <c r="N200" s="12"/>
      <c r="O200" s="13" t="s">
        <v>2304</v>
      </c>
      <c r="P200" s="12" t="n">
        <v>63500</v>
      </c>
      <c r="Q200" s="12"/>
      <c r="R200" s="12"/>
      <c r="S200" s="12"/>
      <c r="T200" s="12"/>
      <c r="U200" s="12"/>
      <c r="V200" s="12" t="s">
        <v>2302</v>
      </c>
      <c r="W200" s="12"/>
      <c r="X200" s="12"/>
      <c r="Y200" s="13" t="s">
        <v>2305</v>
      </c>
      <c r="Z200" s="13" t="s">
        <v>2306</v>
      </c>
      <c r="AA200" s="13"/>
      <c r="AB200" s="13" t="s">
        <v>2307</v>
      </c>
      <c r="AC200" s="12" t="s">
        <v>177</v>
      </c>
      <c r="AD200" s="12" t="s">
        <v>108</v>
      </c>
      <c r="AE200" s="13" t="s">
        <v>2308</v>
      </c>
      <c r="AF200" s="12" t="s">
        <v>2309</v>
      </c>
      <c r="AG200" s="12" t="s">
        <v>2310</v>
      </c>
    </row>
    <row r="201" customFormat="false" ht="43.5" hidden="false" customHeight="true" outlineLevel="0" collapsed="false">
      <c r="A201" s="12" t="n">
        <v>200</v>
      </c>
      <c r="B201" s="12" t="s">
        <v>2311</v>
      </c>
      <c r="C201" s="12" t="s">
        <v>2312</v>
      </c>
      <c r="D201" s="12" t="s">
        <v>83</v>
      </c>
      <c r="E201" s="12" t="s">
        <v>170</v>
      </c>
      <c r="F201" s="12" t="s">
        <v>170</v>
      </c>
      <c r="G201" s="12"/>
      <c r="H201" s="12" t="n">
        <v>25</v>
      </c>
      <c r="I201" s="12"/>
      <c r="J201" s="12" t="n">
        <v>0.084</v>
      </c>
      <c r="K201" s="13" t="s">
        <v>2313</v>
      </c>
      <c r="L201" s="12"/>
      <c r="M201" s="12"/>
      <c r="N201" s="12"/>
      <c r="O201" s="13"/>
      <c r="P201" s="12" t="n">
        <v>0.084</v>
      </c>
      <c r="Q201" s="12"/>
      <c r="R201" s="12"/>
      <c r="S201" s="12"/>
      <c r="T201" s="12"/>
      <c r="U201" s="12"/>
      <c r="V201" s="12" t="s">
        <v>2311</v>
      </c>
      <c r="W201" s="12"/>
      <c r="X201" s="12"/>
      <c r="Y201" s="13" t="s">
        <v>2314</v>
      </c>
      <c r="Z201" s="13" t="s">
        <v>2315</v>
      </c>
      <c r="AA201" s="13"/>
      <c r="AB201" s="13" t="s">
        <v>302</v>
      </c>
      <c r="AC201" s="12" t="s">
        <v>177</v>
      </c>
      <c r="AD201" s="12" t="s">
        <v>108</v>
      </c>
      <c r="AE201" s="13" t="s">
        <v>2316</v>
      </c>
      <c r="AF201" s="12" t="s">
        <v>2317</v>
      </c>
      <c r="AG201" s="12" t="s">
        <v>2318</v>
      </c>
    </row>
    <row r="202" customFormat="false" ht="43.5" hidden="false" customHeight="true" outlineLevel="0" collapsed="false">
      <c r="A202" s="12" t="n">
        <v>201</v>
      </c>
      <c r="B202" s="12" t="s">
        <v>2319</v>
      </c>
      <c r="C202" s="12" t="s">
        <v>596</v>
      </c>
      <c r="D202" s="12" t="s">
        <v>259</v>
      </c>
      <c r="E202" s="12" t="s">
        <v>84</v>
      </c>
      <c r="F202" s="12" t="s">
        <v>85</v>
      </c>
      <c r="G202" s="12"/>
      <c r="H202" s="12" t="n">
        <v>158.26</v>
      </c>
      <c r="I202" s="12"/>
      <c r="J202" s="12" t="n">
        <v>58.36</v>
      </c>
      <c r="K202" s="13" t="s">
        <v>2320</v>
      </c>
      <c r="L202" s="12" t="s">
        <v>2321</v>
      </c>
      <c r="M202" s="12" t="n">
        <v>60.5</v>
      </c>
      <c r="N202" s="12"/>
      <c r="O202" s="13" t="s">
        <v>2322</v>
      </c>
      <c r="P202" s="12" t="n">
        <v>58.35</v>
      </c>
      <c r="Q202" s="12"/>
      <c r="R202" s="12"/>
      <c r="S202" s="12" t="s">
        <v>2323</v>
      </c>
      <c r="T202" s="12"/>
      <c r="U202" s="12" t="n">
        <v>56.503</v>
      </c>
      <c r="V202" s="12" t="s">
        <v>2319</v>
      </c>
      <c r="W202" s="12" t="s">
        <v>2324</v>
      </c>
      <c r="X202" s="12" t="n">
        <v>17.2</v>
      </c>
      <c r="Y202" s="13" t="s">
        <v>2325</v>
      </c>
      <c r="Z202" s="13" t="s">
        <v>2326</v>
      </c>
      <c r="AA202" s="13" t="s">
        <v>191</v>
      </c>
      <c r="AB202" s="13"/>
      <c r="AC202" s="12"/>
      <c r="AD202" s="12" t="s">
        <v>94</v>
      </c>
      <c r="AE202" s="13" t="s">
        <v>2327</v>
      </c>
      <c r="AF202" s="12" t="s">
        <v>2328</v>
      </c>
      <c r="AG202" s="12" t="s">
        <v>2329</v>
      </c>
    </row>
    <row r="203" customFormat="false" ht="43.5" hidden="false" customHeight="true" outlineLevel="0" collapsed="false">
      <c r="A203" s="12" t="n">
        <v>202</v>
      </c>
      <c r="B203" s="12" t="s">
        <v>2330</v>
      </c>
      <c r="C203" s="12" t="s">
        <v>476</v>
      </c>
      <c r="D203" s="12" t="s">
        <v>83</v>
      </c>
      <c r="E203" s="12" t="s">
        <v>84</v>
      </c>
      <c r="F203" s="12" t="s">
        <v>85</v>
      </c>
      <c r="G203" s="12"/>
      <c r="H203" s="12" t="n">
        <v>103.9</v>
      </c>
      <c r="I203" s="12"/>
      <c r="J203" s="12" t="n">
        <v>486</v>
      </c>
      <c r="K203" s="13" t="s">
        <v>2331</v>
      </c>
      <c r="L203" s="12"/>
      <c r="M203" s="12" t="n">
        <v>465</v>
      </c>
      <c r="N203" s="12" t="s">
        <v>2332</v>
      </c>
      <c r="O203" s="13" t="s">
        <v>2333</v>
      </c>
      <c r="P203" s="12"/>
      <c r="Q203" s="12"/>
      <c r="R203" s="12"/>
      <c r="S203" s="12"/>
      <c r="T203" s="12"/>
      <c r="U203" s="12" t="n">
        <v>498</v>
      </c>
      <c r="V203" s="12" t="s">
        <v>2330</v>
      </c>
      <c r="W203" s="12" t="s">
        <v>2334</v>
      </c>
      <c r="X203" s="12" t="n">
        <v>9.6</v>
      </c>
      <c r="Y203" s="13" t="s">
        <v>2335</v>
      </c>
      <c r="Z203" s="13" t="s">
        <v>2336</v>
      </c>
      <c r="AA203" s="13"/>
      <c r="AB203" s="13"/>
      <c r="AC203" s="12"/>
      <c r="AD203" s="12" t="s">
        <v>94</v>
      </c>
      <c r="AE203" s="13" t="s">
        <v>2337</v>
      </c>
      <c r="AF203" s="12" t="s">
        <v>2338</v>
      </c>
      <c r="AG203" s="12" t="s">
        <v>2339</v>
      </c>
    </row>
    <row r="204" customFormat="false" ht="43.5" hidden="false" customHeight="true" outlineLevel="0" collapsed="false">
      <c r="A204" s="12" t="n">
        <v>203</v>
      </c>
      <c r="B204" s="12" t="s">
        <v>2340</v>
      </c>
      <c r="C204" s="12" t="s">
        <v>363</v>
      </c>
      <c r="D204" s="12" t="s">
        <v>83</v>
      </c>
      <c r="E204" s="12" t="s">
        <v>170</v>
      </c>
      <c r="F204" s="12" t="s">
        <v>170</v>
      </c>
      <c r="G204" s="12"/>
      <c r="H204" s="12"/>
      <c r="I204" s="12"/>
      <c r="J204" s="12" t="n">
        <v>4.036</v>
      </c>
      <c r="K204" s="13" t="s">
        <v>2341</v>
      </c>
      <c r="L204" s="12"/>
      <c r="M204" s="12" t="n">
        <v>3.91</v>
      </c>
      <c r="N204" s="12"/>
      <c r="O204" s="13" t="s">
        <v>2342</v>
      </c>
      <c r="P204" s="12" t="n">
        <v>4.036</v>
      </c>
      <c r="Q204" s="12"/>
      <c r="R204" s="12"/>
      <c r="S204" s="12"/>
      <c r="T204" s="12"/>
      <c r="U204" s="12"/>
      <c r="V204" s="12" t="s">
        <v>2340</v>
      </c>
      <c r="W204" s="12"/>
      <c r="X204" s="12"/>
      <c r="Y204" s="13" t="s">
        <v>2343</v>
      </c>
      <c r="Z204" s="13" t="s">
        <v>2344</v>
      </c>
      <c r="AA204" s="13"/>
      <c r="AB204" s="13" t="s">
        <v>302</v>
      </c>
      <c r="AC204" s="12" t="s">
        <v>177</v>
      </c>
      <c r="AD204" s="12" t="s">
        <v>108</v>
      </c>
      <c r="AE204" s="13" t="s">
        <v>2345</v>
      </c>
      <c r="AF204" s="12" t="s">
        <v>2346</v>
      </c>
      <c r="AG204" s="12" t="s">
        <v>2347</v>
      </c>
    </row>
    <row r="205" customFormat="false" ht="43.5" hidden="false" customHeight="true" outlineLevel="0" collapsed="false">
      <c r="A205" s="12" t="n">
        <v>204</v>
      </c>
      <c r="B205" s="12" t="s">
        <v>2348</v>
      </c>
      <c r="C205" s="12" t="s">
        <v>317</v>
      </c>
      <c r="D205" s="12" t="s">
        <v>83</v>
      </c>
      <c r="E205" s="12" t="s">
        <v>84</v>
      </c>
      <c r="F205" s="12" t="s">
        <v>151</v>
      </c>
      <c r="G205" s="12"/>
      <c r="H205" s="12" t="n">
        <v>123.88</v>
      </c>
      <c r="I205" s="12"/>
      <c r="J205" s="12" t="n">
        <v>75.3</v>
      </c>
      <c r="K205" s="13" t="s">
        <v>2349</v>
      </c>
      <c r="L205" s="12" t="s">
        <v>2350</v>
      </c>
      <c r="M205" s="12" t="n">
        <v>73</v>
      </c>
      <c r="N205" s="12"/>
      <c r="O205" s="13" t="s">
        <v>2351</v>
      </c>
      <c r="P205" s="12"/>
      <c r="Q205" s="12" t="s">
        <v>2352</v>
      </c>
      <c r="R205" s="12"/>
      <c r="S205" s="12"/>
      <c r="T205" s="12"/>
      <c r="U205" s="12" t="n">
        <v>75.6</v>
      </c>
      <c r="V205" s="12" t="s">
        <v>2348</v>
      </c>
      <c r="W205" s="12" t="s">
        <v>2353</v>
      </c>
      <c r="X205" s="12" t="n">
        <v>33</v>
      </c>
      <c r="Y205" s="13" t="s">
        <v>2354</v>
      </c>
      <c r="Z205" s="13" t="s">
        <v>2355</v>
      </c>
      <c r="AA205" s="13"/>
      <c r="AB205" s="13" t="s">
        <v>2356</v>
      </c>
      <c r="AC205" s="12"/>
      <c r="AD205" s="12" t="s">
        <v>94</v>
      </c>
      <c r="AE205" s="13" t="s">
        <v>2357</v>
      </c>
      <c r="AF205" s="12" t="s">
        <v>2358</v>
      </c>
      <c r="AG205" s="12" t="s">
        <v>2359</v>
      </c>
    </row>
    <row r="206" customFormat="false" ht="43.5" hidden="false" customHeight="true" outlineLevel="0" collapsed="false">
      <c r="A206" s="12" t="n">
        <v>205</v>
      </c>
      <c r="B206" s="12" t="s">
        <v>2360</v>
      </c>
      <c r="C206" s="12" t="s">
        <v>2361</v>
      </c>
      <c r="D206" s="12" t="s">
        <v>259</v>
      </c>
      <c r="E206" s="12" t="s">
        <v>143</v>
      </c>
      <c r="F206" s="12" t="s">
        <v>143</v>
      </c>
      <c r="G206" s="12"/>
      <c r="H206" s="12"/>
      <c r="I206" s="12"/>
      <c r="J206" s="12" t="n">
        <v>0.155</v>
      </c>
      <c r="K206" s="13" t="s">
        <v>2362</v>
      </c>
      <c r="L206" s="12"/>
      <c r="M206" s="12"/>
      <c r="N206" s="12"/>
      <c r="O206" s="13" t="s">
        <v>2363</v>
      </c>
      <c r="P206" s="12"/>
      <c r="Q206" s="12"/>
      <c r="R206" s="12"/>
      <c r="S206" s="12"/>
      <c r="T206" s="12"/>
      <c r="U206" s="12"/>
      <c r="V206" s="12"/>
      <c r="W206" s="12"/>
      <c r="X206" s="12"/>
      <c r="Y206" s="13" t="s">
        <v>2364</v>
      </c>
      <c r="Z206" s="13" t="s">
        <v>2365</v>
      </c>
      <c r="AA206" s="13"/>
      <c r="AB206" s="13"/>
      <c r="AC206" s="12"/>
      <c r="AD206" s="12" t="s">
        <v>94</v>
      </c>
      <c r="AE206" s="13" t="s">
        <v>2366</v>
      </c>
      <c r="AF206" s="12" t="s">
        <v>2367</v>
      </c>
      <c r="AG206" s="12" t="s">
        <v>2368</v>
      </c>
    </row>
    <row r="207" customFormat="false" ht="43.5" hidden="false" customHeight="true" outlineLevel="0" collapsed="false">
      <c r="A207" s="12" t="n">
        <v>206</v>
      </c>
      <c r="B207" s="12" t="s">
        <v>2369</v>
      </c>
      <c r="C207" s="12" t="s">
        <v>527</v>
      </c>
      <c r="D207" s="12" t="s">
        <v>259</v>
      </c>
      <c r="E207" s="12" t="s">
        <v>84</v>
      </c>
      <c r="F207" s="12" t="s">
        <v>151</v>
      </c>
      <c r="G207" s="12"/>
      <c r="H207" s="12" t="n">
        <v>83.05</v>
      </c>
      <c r="I207" s="12"/>
      <c r="J207" s="12" t="n">
        <v>0.355</v>
      </c>
      <c r="K207" s="13"/>
      <c r="L207" s="12"/>
      <c r="M207" s="12" t="n">
        <v>0.372</v>
      </c>
      <c r="N207" s="12"/>
      <c r="O207" s="13" t="s">
        <v>2370</v>
      </c>
      <c r="P207" s="12" t="n">
        <v>0.3552</v>
      </c>
      <c r="Q207" s="12"/>
      <c r="R207" s="12"/>
      <c r="S207" s="12"/>
      <c r="T207" s="12"/>
      <c r="U207" s="12" t="n">
        <v>0.3493</v>
      </c>
      <c r="V207" s="12" t="s">
        <v>2369</v>
      </c>
      <c r="W207" s="12" t="s">
        <v>2371</v>
      </c>
      <c r="X207" s="12" t="n">
        <v>5.6</v>
      </c>
      <c r="Y207" s="13" t="s">
        <v>2372</v>
      </c>
      <c r="Z207" s="13" t="s">
        <v>2373</v>
      </c>
      <c r="AA207" s="13"/>
      <c r="AB207" s="13"/>
      <c r="AC207" s="12"/>
      <c r="AD207" s="12" t="s">
        <v>94</v>
      </c>
      <c r="AE207" s="13" t="s">
        <v>2374</v>
      </c>
      <c r="AF207" s="12" t="s">
        <v>2375</v>
      </c>
      <c r="AG207" s="12" t="s">
        <v>2376</v>
      </c>
    </row>
    <row r="208" customFormat="false" ht="43.5" hidden="false" customHeight="true" outlineLevel="0" collapsed="false">
      <c r="A208" s="12" t="n">
        <v>207</v>
      </c>
      <c r="B208" s="12" t="s">
        <v>2377</v>
      </c>
      <c r="C208" s="12" t="s">
        <v>113</v>
      </c>
      <c r="D208" s="12" t="s">
        <v>259</v>
      </c>
      <c r="E208" s="12" t="s">
        <v>100</v>
      </c>
      <c r="F208" s="12" t="s">
        <v>101</v>
      </c>
      <c r="G208" s="12"/>
      <c r="H208" s="12"/>
      <c r="I208" s="12"/>
      <c r="J208" s="12" t="n">
        <v>64200</v>
      </c>
      <c r="K208" s="13" t="s">
        <v>2378</v>
      </c>
      <c r="L208" s="12" t="s">
        <v>2379</v>
      </c>
      <c r="M208" s="12" t="n">
        <v>65200</v>
      </c>
      <c r="N208" s="12"/>
      <c r="O208" s="13" t="s">
        <v>2380</v>
      </c>
      <c r="P208" s="12" t="n">
        <v>64300</v>
      </c>
      <c r="Q208" s="12" t="s">
        <v>2381</v>
      </c>
      <c r="R208" s="12" t="s">
        <v>2382</v>
      </c>
      <c r="S208" s="12" t="s">
        <v>2383</v>
      </c>
      <c r="T208" s="12"/>
      <c r="U208" s="12"/>
      <c r="V208" s="12" t="s">
        <v>2377</v>
      </c>
      <c r="W208" s="12"/>
      <c r="X208" s="12"/>
      <c r="Y208" s="13" t="s">
        <v>2384</v>
      </c>
      <c r="Z208" s="13" t="s">
        <v>2385</v>
      </c>
      <c r="AA208" s="13" t="s">
        <v>2386</v>
      </c>
      <c r="AB208" s="13" t="s">
        <v>2387</v>
      </c>
      <c r="AC208" s="12"/>
      <c r="AD208" s="12" t="s">
        <v>312</v>
      </c>
      <c r="AE208" s="13" t="s">
        <v>2388</v>
      </c>
      <c r="AF208" s="12" t="s">
        <v>2389</v>
      </c>
      <c r="AG208" s="12" t="s">
        <v>2390</v>
      </c>
    </row>
    <row r="209" customFormat="false" ht="43.5" hidden="false" customHeight="true" outlineLevel="0" collapsed="false">
      <c r="A209" s="12" t="n">
        <v>208</v>
      </c>
      <c r="B209" s="12" t="s">
        <v>2391</v>
      </c>
      <c r="C209" s="12" t="s">
        <v>476</v>
      </c>
      <c r="D209" s="12" t="s">
        <v>259</v>
      </c>
      <c r="E209" s="12" t="s">
        <v>170</v>
      </c>
      <c r="F209" s="12" t="s">
        <v>170</v>
      </c>
      <c r="G209" s="12"/>
      <c r="H209" s="12"/>
      <c r="I209" s="12"/>
      <c r="J209" s="12" t="n">
        <v>505.2</v>
      </c>
      <c r="K209" s="13" t="s">
        <v>2392</v>
      </c>
      <c r="L209" s="12"/>
      <c r="M209" s="12" t="n">
        <v>517.5</v>
      </c>
      <c r="N209" s="12" t="s">
        <v>2393</v>
      </c>
      <c r="O209" s="13"/>
      <c r="P209" s="12"/>
      <c r="Q209" s="12"/>
      <c r="R209" s="12"/>
      <c r="S209" s="12"/>
      <c r="T209" s="12"/>
      <c r="U209" s="12"/>
      <c r="V209" s="12" t="s">
        <v>2391</v>
      </c>
      <c r="W209" s="12"/>
      <c r="X209" s="12"/>
      <c r="Y209" s="13" t="s">
        <v>2394</v>
      </c>
      <c r="Z209" s="13" t="s">
        <v>2395</v>
      </c>
      <c r="AA209" s="13"/>
      <c r="AB209" s="13" t="s">
        <v>2396</v>
      </c>
      <c r="AC209" s="12" t="s">
        <v>177</v>
      </c>
      <c r="AD209" s="12" t="s">
        <v>108</v>
      </c>
      <c r="AE209" s="13" t="s">
        <v>2397</v>
      </c>
      <c r="AF209" s="12" t="s">
        <v>2398</v>
      </c>
      <c r="AG209" s="12" t="s">
        <v>2399</v>
      </c>
    </row>
    <row r="210" customFormat="false" ht="43.5" hidden="false" customHeight="true" outlineLevel="0" collapsed="false">
      <c r="A210" s="12" t="n">
        <v>209</v>
      </c>
      <c r="B210" s="12" t="s">
        <v>2400</v>
      </c>
      <c r="C210" s="12" t="s">
        <v>596</v>
      </c>
      <c r="D210" s="12" t="s">
        <v>259</v>
      </c>
      <c r="E210" s="12" t="s">
        <v>170</v>
      </c>
      <c r="F210" s="12"/>
      <c r="G210" s="12"/>
      <c r="H210" s="12"/>
      <c r="I210" s="12"/>
      <c r="J210" s="12" t="n">
        <v>59.82</v>
      </c>
      <c r="K210" s="13" t="s">
        <v>2401</v>
      </c>
      <c r="L210" s="12"/>
      <c r="M210" s="12" t="n">
        <v>61.5</v>
      </c>
      <c r="N210" s="12"/>
      <c r="O210" s="13" t="s">
        <v>2402</v>
      </c>
      <c r="P210" s="12"/>
      <c r="Q210" s="12" t="s">
        <v>2403</v>
      </c>
      <c r="R210" s="12"/>
      <c r="S210" s="12"/>
      <c r="T210" s="12"/>
      <c r="U210" s="12"/>
      <c r="V210" s="12" t="s">
        <v>2400</v>
      </c>
      <c r="W210" s="12"/>
      <c r="X210" s="12"/>
      <c r="Y210" s="13" t="s">
        <v>2404</v>
      </c>
      <c r="Z210" s="13" t="s">
        <v>2405</v>
      </c>
      <c r="AA210" s="13" t="s">
        <v>191</v>
      </c>
      <c r="AB210" s="13"/>
      <c r="AC210" s="12" t="s">
        <v>177</v>
      </c>
      <c r="AD210" s="12" t="s">
        <v>312</v>
      </c>
      <c r="AE210" s="13" t="s">
        <v>2406</v>
      </c>
      <c r="AF210" s="12" t="s">
        <v>2407</v>
      </c>
      <c r="AG210" s="12" t="s">
        <v>2408</v>
      </c>
    </row>
    <row r="211" customFormat="false" ht="43.5" hidden="false" customHeight="true" outlineLevel="0" collapsed="false">
      <c r="A211" s="12" t="n">
        <v>210</v>
      </c>
      <c r="B211" s="12" t="s">
        <v>2409</v>
      </c>
      <c r="C211" s="12" t="s">
        <v>113</v>
      </c>
      <c r="D211" s="12" t="s">
        <v>83</v>
      </c>
      <c r="E211" s="12" t="s">
        <v>84</v>
      </c>
      <c r="F211" s="12" t="s">
        <v>85</v>
      </c>
      <c r="G211" s="12"/>
      <c r="H211" s="12" t="n">
        <v>172.83</v>
      </c>
      <c r="I211" s="12" t="n">
        <v>150</v>
      </c>
      <c r="J211" s="12" t="n">
        <v>69280</v>
      </c>
      <c r="K211" s="13" t="s">
        <v>2410</v>
      </c>
      <c r="L211" s="12" t="s">
        <v>2411</v>
      </c>
      <c r="M211" s="12" t="n">
        <v>68369</v>
      </c>
      <c r="N211" s="12" t="s">
        <v>2412</v>
      </c>
      <c r="O211" s="13" t="s">
        <v>2413</v>
      </c>
      <c r="P211" s="12" t="n">
        <v>69111.2</v>
      </c>
      <c r="Q211" s="12"/>
      <c r="R211" s="12" t="s">
        <v>2414</v>
      </c>
      <c r="S211" s="12" t="s">
        <v>2415</v>
      </c>
      <c r="T211" s="12" t="s">
        <v>2416</v>
      </c>
      <c r="U211" s="12" t="n">
        <v>70999.5</v>
      </c>
      <c r="V211" s="12" t="s">
        <v>2409</v>
      </c>
      <c r="W211" s="12" t="s">
        <v>2417</v>
      </c>
      <c r="X211" s="12" t="n">
        <v>6.7</v>
      </c>
      <c r="Y211" s="13" t="s">
        <v>2418</v>
      </c>
      <c r="Z211" s="13" t="s">
        <v>2419</v>
      </c>
      <c r="AA211" s="13"/>
      <c r="AB211" s="13" t="s">
        <v>2420</v>
      </c>
      <c r="AC211" s="12"/>
      <c r="AD211" s="12" t="s">
        <v>108</v>
      </c>
      <c r="AE211" s="13" t="s">
        <v>2421</v>
      </c>
      <c r="AF211" s="12" t="s">
        <v>2422</v>
      </c>
      <c r="AG211" s="12" t="s">
        <v>2423</v>
      </c>
    </row>
    <row r="212" customFormat="false" ht="43.5" hidden="false" customHeight="true" outlineLevel="0" collapsed="false">
      <c r="A212" s="12" t="n">
        <v>211</v>
      </c>
      <c r="B212" s="12" t="s">
        <v>2424</v>
      </c>
      <c r="C212" s="12" t="s">
        <v>113</v>
      </c>
      <c r="D212" s="12" t="s">
        <v>259</v>
      </c>
      <c r="E212" s="12" t="s">
        <v>100</v>
      </c>
      <c r="F212" s="12" t="s">
        <v>101</v>
      </c>
      <c r="G212" s="12"/>
      <c r="H212" s="12"/>
      <c r="I212" s="12"/>
      <c r="J212" s="12" t="n">
        <v>72400</v>
      </c>
      <c r="K212" s="13" t="s">
        <v>2425</v>
      </c>
      <c r="L212" s="12" t="s">
        <v>2426</v>
      </c>
      <c r="M212" s="12" t="n">
        <v>74100</v>
      </c>
      <c r="N212" s="12"/>
      <c r="O212" s="13" t="s">
        <v>2427</v>
      </c>
      <c r="P212" s="12" t="n">
        <v>72400</v>
      </c>
      <c r="Q212" s="12"/>
      <c r="R212" s="12" t="s">
        <v>2428</v>
      </c>
      <c r="S212" s="12" t="s">
        <v>2429</v>
      </c>
      <c r="T212" s="12"/>
      <c r="U212" s="12"/>
      <c r="V212" s="12" t="s">
        <v>2424</v>
      </c>
      <c r="W212" s="12" t="s">
        <v>2430</v>
      </c>
      <c r="X212" s="12" t="n">
        <v>6.8</v>
      </c>
      <c r="Y212" s="13" t="s">
        <v>2431</v>
      </c>
      <c r="Z212" s="13" t="s">
        <v>2432</v>
      </c>
      <c r="AA212" s="13"/>
      <c r="AB212" s="13" t="s">
        <v>2433</v>
      </c>
      <c r="AC212" s="12"/>
      <c r="AD212" s="12" t="s">
        <v>108</v>
      </c>
      <c r="AE212" s="13" t="s">
        <v>2434</v>
      </c>
      <c r="AF212" s="12" t="s">
        <v>2435</v>
      </c>
      <c r="AG212" s="12" t="s">
        <v>2436</v>
      </c>
    </row>
    <row r="213" customFormat="false" ht="43.5" hidden="false" customHeight="true" outlineLevel="0" collapsed="false">
      <c r="A213" s="12" t="n">
        <v>212</v>
      </c>
      <c r="B213" s="12" t="s">
        <v>2437</v>
      </c>
      <c r="C213" s="12" t="s">
        <v>2438</v>
      </c>
      <c r="D213" s="12" t="s">
        <v>259</v>
      </c>
      <c r="E213" s="12" t="s">
        <v>170</v>
      </c>
      <c r="F213" s="12" t="s">
        <v>170</v>
      </c>
      <c r="G213" s="12"/>
      <c r="H213" s="12"/>
      <c r="I213" s="12"/>
      <c r="J213" s="12" t="n">
        <v>0.0889</v>
      </c>
      <c r="K213" s="13" t="s">
        <v>2439</v>
      </c>
      <c r="L213" s="12"/>
      <c r="M213" s="12" t="n">
        <v>0.09106</v>
      </c>
      <c r="N213" s="12" t="s">
        <v>2440</v>
      </c>
      <c r="O213" s="13" t="s">
        <v>2441</v>
      </c>
      <c r="P213" s="12"/>
      <c r="Q213" s="12"/>
      <c r="R213" s="12"/>
      <c r="S213" s="12"/>
      <c r="T213" s="12"/>
      <c r="U213" s="12"/>
      <c r="V213" s="12" t="s">
        <v>2437</v>
      </c>
      <c r="W213" s="12"/>
      <c r="X213" s="12"/>
      <c r="Y213" s="13" t="s">
        <v>2442</v>
      </c>
      <c r="Z213" s="13" t="s">
        <v>2443</v>
      </c>
      <c r="AA213" s="13"/>
      <c r="AB213" s="13" t="s">
        <v>302</v>
      </c>
      <c r="AC213" s="12" t="s">
        <v>177</v>
      </c>
      <c r="AD213" s="12" t="s">
        <v>94</v>
      </c>
      <c r="AE213" s="13" t="s">
        <v>2444</v>
      </c>
      <c r="AF213" s="12" t="s">
        <v>2445</v>
      </c>
      <c r="AG213" s="12" t="s">
        <v>2446</v>
      </c>
    </row>
    <row r="214" customFormat="false" ht="43.5" hidden="false" customHeight="true" outlineLevel="0" collapsed="false">
      <c r="A214" s="12" t="n">
        <v>213</v>
      </c>
      <c r="B214" s="12" t="s">
        <v>2447</v>
      </c>
      <c r="C214" s="12" t="s">
        <v>491</v>
      </c>
      <c r="D214" s="12" t="s">
        <v>83</v>
      </c>
      <c r="E214" s="12" t="s">
        <v>170</v>
      </c>
      <c r="F214" s="12" t="s">
        <v>170</v>
      </c>
      <c r="G214" s="12"/>
      <c r="H214" s="12"/>
      <c r="I214" s="12"/>
      <c r="J214" s="12" t="n">
        <v>0.74</v>
      </c>
      <c r="K214" s="13" t="s">
        <v>2448</v>
      </c>
      <c r="L214" s="12"/>
      <c r="M214" s="12"/>
      <c r="N214" s="12"/>
      <c r="O214" s="13"/>
      <c r="P214" s="12" t="n">
        <v>0.74</v>
      </c>
      <c r="Q214" s="12"/>
      <c r="R214" s="12"/>
      <c r="S214" s="12"/>
      <c r="T214" s="12"/>
      <c r="U214" s="12"/>
      <c r="V214" s="12" t="s">
        <v>2447</v>
      </c>
      <c r="W214" s="12"/>
      <c r="X214" s="12"/>
      <c r="Y214" s="13" t="s">
        <v>2449</v>
      </c>
      <c r="Z214" s="13" t="s">
        <v>2450</v>
      </c>
      <c r="AA214" s="13"/>
      <c r="AB214" s="13" t="s">
        <v>2451</v>
      </c>
      <c r="AC214" s="12" t="s">
        <v>177</v>
      </c>
      <c r="AD214" s="12" t="s">
        <v>94</v>
      </c>
      <c r="AE214" s="13" t="s">
        <v>2452</v>
      </c>
      <c r="AF214" s="12" t="s">
        <v>2453</v>
      </c>
      <c r="AG214" s="12" t="s">
        <v>2454</v>
      </c>
    </row>
    <row r="215" customFormat="false" ht="43.5" hidden="false" customHeight="true" outlineLevel="0" collapsed="false">
      <c r="A215" s="12" t="n">
        <v>214</v>
      </c>
      <c r="B215" s="12" t="s">
        <v>2447</v>
      </c>
      <c r="C215" s="12" t="s">
        <v>552</v>
      </c>
      <c r="D215" s="12" t="s">
        <v>83</v>
      </c>
      <c r="E215" s="12" t="s">
        <v>170</v>
      </c>
      <c r="F215" s="12" t="s">
        <v>170</v>
      </c>
      <c r="G215" s="12"/>
      <c r="H215" s="12"/>
      <c r="I215" s="12"/>
      <c r="J215" s="12" t="n">
        <v>7.2</v>
      </c>
      <c r="K215" s="13" t="s">
        <v>2455</v>
      </c>
      <c r="L215" s="12"/>
      <c r="M215" s="12"/>
      <c r="N215" s="12"/>
      <c r="O215" s="13" t="s">
        <v>2456</v>
      </c>
      <c r="P215" s="12" t="n">
        <v>7.2</v>
      </c>
      <c r="Q215" s="12"/>
      <c r="R215" s="12"/>
      <c r="S215" s="12"/>
      <c r="T215" s="12"/>
      <c r="U215" s="12"/>
      <c r="V215" s="12" t="s">
        <v>2447</v>
      </c>
      <c r="W215" s="12"/>
      <c r="X215" s="12"/>
      <c r="Y215" s="13" t="s">
        <v>2457</v>
      </c>
      <c r="Z215" s="13" t="s">
        <v>2458</v>
      </c>
      <c r="AA215" s="13"/>
      <c r="AB215" s="13" t="s">
        <v>2459</v>
      </c>
      <c r="AC215" s="12" t="s">
        <v>177</v>
      </c>
      <c r="AD215" s="12" t="s">
        <v>94</v>
      </c>
      <c r="AE215" s="13" t="s">
        <v>2460</v>
      </c>
      <c r="AF215" s="12" t="s">
        <v>2453</v>
      </c>
      <c r="AG215" s="12" t="s">
        <v>2454</v>
      </c>
    </row>
    <row r="216" customFormat="false" ht="43.5" hidden="false" customHeight="true" outlineLevel="0" collapsed="false">
      <c r="A216" s="12" t="n">
        <v>215</v>
      </c>
      <c r="B216" s="12" t="s">
        <v>2461</v>
      </c>
      <c r="C216" s="12" t="s">
        <v>409</v>
      </c>
      <c r="D216" s="12" t="s">
        <v>83</v>
      </c>
      <c r="E216" s="12" t="s">
        <v>170</v>
      </c>
      <c r="F216" s="12"/>
      <c r="G216" s="12"/>
      <c r="H216" s="12"/>
      <c r="I216" s="12"/>
      <c r="J216" s="12"/>
      <c r="K216" s="13" t="s">
        <v>2462</v>
      </c>
      <c r="L216" s="12"/>
      <c r="M216" s="12"/>
      <c r="N216" s="12"/>
      <c r="O216" s="13" t="s">
        <v>1244</v>
      </c>
      <c r="P216" s="12"/>
      <c r="Q216" s="12"/>
      <c r="R216" s="12"/>
      <c r="S216" s="12"/>
      <c r="T216" s="12"/>
      <c r="U216" s="12"/>
      <c r="V216" s="12"/>
      <c r="W216" s="12"/>
      <c r="X216" s="12"/>
      <c r="Y216" s="13" t="s">
        <v>2463</v>
      </c>
      <c r="Z216" s="13" t="s">
        <v>2464</v>
      </c>
      <c r="AA216" s="13"/>
      <c r="AB216" s="13" t="s">
        <v>2465</v>
      </c>
      <c r="AC216" s="12" t="s">
        <v>177</v>
      </c>
      <c r="AD216" s="12" t="s">
        <v>312</v>
      </c>
      <c r="AE216" s="13" t="s">
        <v>2466</v>
      </c>
      <c r="AF216" s="12" t="s">
        <v>2467</v>
      </c>
      <c r="AG216" s="12" t="s">
        <v>2468</v>
      </c>
    </row>
    <row r="217" customFormat="false" ht="43.5" hidden="false" customHeight="true" outlineLevel="0" collapsed="false">
      <c r="A217" s="12" t="n">
        <v>216</v>
      </c>
      <c r="B217" s="12" t="s">
        <v>2469</v>
      </c>
      <c r="C217" s="12" t="s">
        <v>2470</v>
      </c>
      <c r="D217" s="12" t="s">
        <v>83</v>
      </c>
      <c r="E217" s="12" t="s">
        <v>170</v>
      </c>
      <c r="F217" s="12" t="s">
        <v>170</v>
      </c>
      <c r="G217" s="12"/>
      <c r="H217" s="12"/>
      <c r="I217" s="12"/>
      <c r="J217" s="12" t="n">
        <v>0.19</v>
      </c>
      <c r="K217" s="13" t="s">
        <v>2471</v>
      </c>
      <c r="L217" s="12"/>
      <c r="M217" s="12" t="n">
        <v>0.1946</v>
      </c>
      <c r="N217" s="12"/>
      <c r="O217" s="13" t="s">
        <v>2472</v>
      </c>
      <c r="P217" s="12" t="n">
        <v>0.19</v>
      </c>
      <c r="Q217" s="12"/>
      <c r="R217" s="12"/>
      <c r="S217" s="12"/>
      <c r="T217" s="12"/>
      <c r="U217" s="12"/>
      <c r="V217" s="12" t="s">
        <v>2469</v>
      </c>
      <c r="W217" s="12"/>
      <c r="X217" s="12"/>
      <c r="Y217" s="13" t="s">
        <v>2473</v>
      </c>
      <c r="Z217" s="13" t="s">
        <v>2474</v>
      </c>
      <c r="AA217" s="13"/>
      <c r="AB217" s="13"/>
      <c r="AC217" s="12" t="s">
        <v>177</v>
      </c>
      <c r="AD217" s="12" t="s">
        <v>108</v>
      </c>
      <c r="AE217" s="13" t="s">
        <v>2475</v>
      </c>
      <c r="AF217" s="12" t="s">
        <v>2476</v>
      </c>
      <c r="AG217" s="12" t="s">
        <v>2477</v>
      </c>
    </row>
    <row r="218" customFormat="false" ht="43.5" hidden="false" customHeight="true" outlineLevel="0" collapsed="false">
      <c r="A218" s="12" t="n">
        <v>217</v>
      </c>
      <c r="B218" s="12" t="s">
        <v>2478</v>
      </c>
      <c r="C218" s="12" t="s">
        <v>113</v>
      </c>
      <c r="D218" s="12" t="s">
        <v>83</v>
      </c>
      <c r="E218" s="12" t="s">
        <v>128</v>
      </c>
      <c r="F218" s="12" t="s">
        <v>128</v>
      </c>
      <c r="G218" s="12"/>
      <c r="H218" s="12"/>
      <c r="I218" s="12"/>
      <c r="J218" s="12" t="n">
        <v>77300</v>
      </c>
      <c r="K218" s="13" t="s">
        <v>2479</v>
      </c>
      <c r="L218" s="12"/>
      <c r="M218" s="12" t="n">
        <v>75500</v>
      </c>
      <c r="N218" s="12" t="s">
        <v>329</v>
      </c>
      <c r="O218" s="13" t="s">
        <v>2480</v>
      </c>
      <c r="P218" s="12" t="n">
        <v>77300</v>
      </c>
      <c r="Q218" s="12"/>
      <c r="R218" s="12"/>
      <c r="S218" s="12"/>
      <c r="T218" s="12"/>
      <c r="U218" s="12"/>
      <c r="V218" s="12" t="s">
        <v>2478</v>
      </c>
      <c r="W218" s="12" t="s">
        <v>2481</v>
      </c>
      <c r="X218" s="12" t="n">
        <v>1</v>
      </c>
      <c r="Y218" s="13" t="s">
        <v>2482</v>
      </c>
      <c r="Z218" s="13" t="s">
        <v>2483</v>
      </c>
      <c r="AA218" s="13"/>
      <c r="AB218" s="13" t="s">
        <v>2484</v>
      </c>
      <c r="AC218" s="12"/>
      <c r="AD218" s="12" t="s">
        <v>108</v>
      </c>
      <c r="AE218" s="13" t="s">
        <v>2485</v>
      </c>
      <c r="AF218" s="12" t="s">
        <v>2486</v>
      </c>
      <c r="AG218" s="12" t="s">
        <v>2487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9"/>
    <col collapsed="false" customWidth="true" hidden="false" outlineLevel="0" max="3" min="3" style="0" width="14"/>
    <col collapsed="false" customWidth="true" hidden="false" outlineLevel="0" max="4" min="4" style="0" width="11"/>
    <col collapsed="false" customWidth="true" hidden="false" outlineLevel="0" max="5" min="5" style="0" width="7"/>
    <col collapsed="false" customWidth="true" hidden="false" outlineLevel="0" max="7" min="6" style="0" width="12"/>
    <col collapsed="false" customWidth="true" hidden="false" outlineLevel="0" max="8" min="8" style="0" width="18"/>
    <col collapsed="false" customWidth="true" hidden="false" outlineLevel="0" max="9" min="9" style="0" width="12"/>
    <col collapsed="false" customWidth="true" hidden="false" outlineLevel="0" max="11" min="10" style="0" width="9"/>
    <col collapsed="false" customWidth="true" hidden="false" outlineLevel="0" max="12" min="12" style="0" width="7"/>
    <col collapsed="false" customWidth="true" hidden="false" outlineLevel="0" max="13" min="13" style="0" width="9"/>
    <col collapsed="false" customWidth="true" hidden="false" outlineLevel="0" max="14" min="14" style="0" width="14"/>
    <col collapsed="false" customWidth="true" hidden="false" outlineLevel="0" max="15" min="15" style="0" width="22"/>
    <col collapsed="false" customWidth="true" hidden="false" outlineLevel="0" max="16" min="16" style="0" width="52"/>
    <col collapsed="false" customWidth="true" hidden="false" outlineLevel="0" max="17" min="17" style="0" width="22"/>
    <col collapsed="false" customWidth="true" hidden="false" outlineLevel="0" max="18" min="18" style="0" width="24"/>
    <col collapsed="false" customWidth="true" hidden="false" outlineLevel="0" max="19" min="19" style="0" width="62"/>
    <col collapsed="false" customWidth="true" hidden="false" outlineLevel="0" max="20" min="20" style="0" width="10"/>
    <col collapsed="false" customWidth="true" hidden="false" outlineLevel="0" max="21" min="21" style="0" width="36"/>
  </cols>
  <sheetData>
    <row r="1" customFormat="false" ht="31.5" hidden="false" customHeight="true" outlineLevel="0" collapsed="false">
      <c r="A1" s="11" t="s">
        <v>2488</v>
      </c>
      <c r="B1" s="11" t="s">
        <v>2489</v>
      </c>
      <c r="C1" s="11" t="s">
        <v>2490</v>
      </c>
      <c r="D1" s="11" t="s">
        <v>50</v>
      </c>
      <c r="E1" s="11" t="s">
        <v>51</v>
      </c>
      <c r="F1" s="11" t="s">
        <v>2491</v>
      </c>
      <c r="G1" s="11" t="s">
        <v>2492</v>
      </c>
      <c r="H1" s="11" t="s">
        <v>2493</v>
      </c>
      <c r="I1" s="11" t="s">
        <v>2494</v>
      </c>
      <c r="J1" s="11" t="s">
        <v>2495</v>
      </c>
      <c r="K1" s="11" t="s">
        <v>56</v>
      </c>
      <c r="L1" s="11" t="s">
        <v>54</v>
      </c>
      <c r="M1" s="11" t="s">
        <v>2496</v>
      </c>
      <c r="N1" s="11" t="s">
        <v>2497</v>
      </c>
      <c r="O1" s="11" t="s">
        <v>62</v>
      </c>
      <c r="P1" s="11" t="s">
        <v>2498</v>
      </c>
      <c r="Q1" s="11" t="s">
        <v>74</v>
      </c>
      <c r="R1" s="11" t="s">
        <v>75</v>
      </c>
      <c r="S1" s="11" t="s">
        <v>2499</v>
      </c>
      <c r="T1" s="11" t="s">
        <v>77</v>
      </c>
      <c r="U1" s="11" t="s">
        <v>2500</v>
      </c>
    </row>
    <row r="2" customFormat="false" ht="31.5" hidden="false" customHeight="true" outlineLevel="0" collapsed="false">
      <c r="A2" s="12" t="n">
        <v>1</v>
      </c>
      <c r="B2" s="12" t="s">
        <v>2501</v>
      </c>
      <c r="C2" s="12" t="s">
        <v>2502</v>
      </c>
      <c r="D2" s="12"/>
      <c r="E2" s="12"/>
      <c r="F2" s="12"/>
      <c r="G2" s="12"/>
      <c r="H2" s="12"/>
      <c r="I2" s="12"/>
      <c r="J2" s="12"/>
      <c r="K2" s="12"/>
      <c r="L2" s="12"/>
      <c r="M2" s="12"/>
      <c r="N2" s="12"/>
      <c r="O2" s="13"/>
      <c r="P2" s="13" t="s">
        <v>2503</v>
      </c>
      <c r="Q2" s="13"/>
      <c r="R2" s="13"/>
      <c r="S2" s="13" t="s">
        <v>2504</v>
      </c>
      <c r="T2" s="12" t="s">
        <v>94</v>
      </c>
      <c r="U2" s="12" t="s">
        <v>2505</v>
      </c>
    </row>
    <row r="3" customFormat="false" ht="31.5" hidden="false" customHeight="true" outlineLevel="0" collapsed="false">
      <c r="A3" s="12" t="n">
        <v>1</v>
      </c>
      <c r="B3" s="12" t="s">
        <v>2501</v>
      </c>
      <c r="C3" s="12" t="s">
        <v>2506</v>
      </c>
      <c r="D3" s="12"/>
      <c r="E3" s="12"/>
      <c r="F3" s="12"/>
      <c r="G3" s="12"/>
      <c r="H3" s="12"/>
      <c r="I3" s="12"/>
      <c r="J3" s="12"/>
      <c r="K3" s="12"/>
      <c r="L3" s="12"/>
      <c r="M3" s="12"/>
      <c r="N3" s="12"/>
      <c r="O3" s="13" t="s">
        <v>2507</v>
      </c>
      <c r="P3" s="13" t="s">
        <v>2508</v>
      </c>
      <c r="Q3" s="13"/>
      <c r="R3" s="13"/>
      <c r="S3" s="13" t="s">
        <v>2509</v>
      </c>
      <c r="T3" s="12" t="s">
        <v>94</v>
      </c>
      <c r="U3" s="12" t="s">
        <v>2505</v>
      </c>
    </row>
    <row r="4" customFormat="false" ht="31.5" hidden="false" customHeight="true" outlineLevel="0" collapsed="false">
      <c r="A4" s="12" t="n">
        <v>2</v>
      </c>
      <c r="B4" s="12" t="s">
        <v>2510</v>
      </c>
      <c r="C4" s="12" t="s">
        <v>2511</v>
      </c>
      <c r="D4" s="12"/>
      <c r="E4" s="12"/>
      <c r="F4" s="12"/>
      <c r="G4" s="12"/>
      <c r="H4" s="12"/>
      <c r="I4" s="12"/>
      <c r="J4" s="12"/>
      <c r="K4" s="12"/>
      <c r="L4" s="12"/>
      <c r="M4" s="12"/>
      <c r="N4" s="12"/>
      <c r="O4" s="13"/>
      <c r="P4" s="13" t="s">
        <v>2512</v>
      </c>
      <c r="Q4" s="13"/>
      <c r="R4" s="13"/>
      <c r="S4" s="13" t="s">
        <v>2513</v>
      </c>
      <c r="T4" s="12" t="s">
        <v>94</v>
      </c>
      <c r="U4" s="12" t="s">
        <v>2514</v>
      </c>
    </row>
    <row r="5" customFormat="false" ht="31.5" hidden="false" customHeight="true" outlineLevel="0" collapsed="false">
      <c r="A5" s="12" t="n">
        <v>4</v>
      </c>
      <c r="B5" s="12" t="s">
        <v>2515</v>
      </c>
      <c r="C5" s="12" t="s">
        <v>2516</v>
      </c>
      <c r="D5" s="12"/>
      <c r="E5" s="12"/>
      <c r="F5" s="12"/>
      <c r="G5" s="12"/>
      <c r="H5" s="12"/>
      <c r="I5" s="12"/>
      <c r="J5" s="12"/>
      <c r="K5" s="12"/>
      <c r="L5" s="12"/>
      <c r="M5" s="12"/>
      <c r="N5" s="12"/>
      <c r="O5" s="13" t="s">
        <v>2517</v>
      </c>
      <c r="P5" s="13" t="s">
        <v>2518</v>
      </c>
      <c r="Q5" s="13"/>
      <c r="R5" s="13"/>
      <c r="S5" s="13" t="s">
        <v>2519</v>
      </c>
      <c r="T5" s="12" t="s">
        <v>94</v>
      </c>
      <c r="U5" s="12" t="s">
        <v>2520</v>
      </c>
    </row>
    <row r="6" customFormat="false" ht="31.5" hidden="false" customHeight="true" outlineLevel="0" collapsed="false">
      <c r="A6" s="12" t="n">
        <v>5</v>
      </c>
      <c r="B6" s="12" t="s">
        <v>81</v>
      </c>
      <c r="C6" s="12" t="s">
        <v>2521</v>
      </c>
      <c r="D6" s="12" t="s">
        <v>82</v>
      </c>
      <c r="E6" s="12" t="s">
        <v>83</v>
      </c>
      <c r="F6" s="12" t="n">
        <v>3.46</v>
      </c>
      <c r="G6" s="12"/>
      <c r="H6" s="12" t="s">
        <v>87</v>
      </c>
      <c r="I6" s="12" t="n">
        <v>3.28</v>
      </c>
      <c r="J6" s="12"/>
      <c r="K6" s="12"/>
      <c r="L6" s="12"/>
      <c r="M6" s="12"/>
      <c r="N6" s="12" t="n">
        <v>3.46</v>
      </c>
      <c r="O6" s="13"/>
      <c r="P6" s="13" t="s">
        <v>2522</v>
      </c>
      <c r="Q6" s="13"/>
      <c r="R6" s="13"/>
      <c r="S6" s="13" t="s">
        <v>2523</v>
      </c>
      <c r="T6" s="12" t="s">
        <v>94</v>
      </c>
      <c r="U6" s="12" t="s">
        <v>97</v>
      </c>
    </row>
    <row r="7" customFormat="false" ht="31.5" hidden="false" customHeight="true" outlineLevel="0" collapsed="false">
      <c r="A7" s="12" t="n">
        <v>6</v>
      </c>
      <c r="B7" s="12" t="s">
        <v>98</v>
      </c>
      <c r="C7" s="12" t="s">
        <v>2521</v>
      </c>
      <c r="D7" s="12" t="s">
        <v>99</v>
      </c>
      <c r="E7" s="12" t="s">
        <v>83</v>
      </c>
      <c r="F7" s="12" t="n">
        <v>2348</v>
      </c>
      <c r="G7" s="12"/>
      <c r="H7" s="12" t="s">
        <v>103</v>
      </c>
      <c r="I7" s="12" t="n">
        <v>2292</v>
      </c>
      <c r="J7" s="12"/>
      <c r="K7" s="12"/>
      <c r="L7" s="12"/>
      <c r="M7" s="12"/>
      <c r="N7" s="12" t="n">
        <v>2348</v>
      </c>
      <c r="O7" s="13"/>
      <c r="P7" s="13" t="s">
        <v>2524</v>
      </c>
      <c r="Q7" s="13"/>
      <c r="R7" s="13"/>
      <c r="S7" s="13" t="s">
        <v>2525</v>
      </c>
      <c r="T7" s="12" t="s">
        <v>94</v>
      </c>
      <c r="U7" s="12" t="s">
        <v>111</v>
      </c>
    </row>
    <row r="8" customFormat="false" ht="31.5" hidden="false" customHeight="true" outlineLevel="0" collapsed="false">
      <c r="A8" s="12" t="n">
        <v>7</v>
      </c>
      <c r="B8" s="12" t="s">
        <v>2526</v>
      </c>
      <c r="C8" s="12" t="s">
        <v>2527</v>
      </c>
      <c r="D8" s="12" t="s">
        <v>113</v>
      </c>
      <c r="E8" s="12"/>
      <c r="F8" s="12"/>
      <c r="G8" s="12"/>
      <c r="H8" s="12"/>
      <c r="I8" s="12"/>
      <c r="J8" s="12"/>
      <c r="K8" s="12"/>
      <c r="L8" s="12"/>
      <c r="M8" s="12"/>
      <c r="N8" s="12"/>
      <c r="O8" s="13" t="s">
        <v>2528</v>
      </c>
      <c r="P8" s="13" t="s">
        <v>2529</v>
      </c>
      <c r="Q8" s="13" t="s">
        <v>121</v>
      </c>
      <c r="R8" s="13" t="s">
        <v>2530</v>
      </c>
      <c r="S8" s="13" t="s">
        <v>2531</v>
      </c>
      <c r="T8" s="12" t="s">
        <v>94</v>
      </c>
      <c r="U8" s="12" t="s">
        <v>2532</v>
      </c>
    </row>
    <row r="9" customFormat="false" ht="31.5" hidden="false" customHeight="true" outlineLevel="0" collapsed="false">
      <c r="A9" s="12" t="n">
        <v>8</v>
      </c>
      <c r="B9" s="12" t="s">
        <v>112</v>
      </c>
      <c r="C9" s="12" t="s">
        <v>2521</v>
      </c>
      <c r="D9" s="12" t="s">
        <v>113</v>
      </c>
      <c r="E9" s="12" t="s">
        <v>83</v>
      </c>
      <c r="F9" s="12" t="n">
        <v>81500</v>
      </c>
      <c r="G9" s="12" t="n">
        <v>80800</v>
      </c>
      <c r="H9" s="12" t="s">
        <v>116</v>
      </c>
      <c r="I9" s="12" t="n">
        <v>79600</v>
      </c>
      <c r="J9" s="12" t="n">
        <v>20</v>
      </c>
      <c r="K9" s="12"/>
      <c r="L9" s="12"/>
      <c r="M9" s="12"/>
      <c r="N9" s="12"/>
      <c r="O9" s="13" t="s">
        <v>2533</v>
      </c>
      <c r="P9" s="13" t="s">
        <v>2534</v>
      </c>
      <c r="Q9" s="13"/>
      <c r="R9" s="13"/>
      <c r="S9" s="13" t="s">
        <v>2535</v>
      </c>
      <c r="T9" s="12" t="s">
        <v>94</v>
      </c>
      <c r="U9" s="12" t="s">
        <v>125</v>
      </c>
    </row>
    <row r="10" customFormat="false" ht="31.5" hidden="false" customHeight="true" outlineLevel="0" collapsed="false">
      <c r="A10" s="12" t="n">
        <v>9</v>
      </c>
      <c r="B10" s="12" t="s">
        <v>2536</v>
      </c>
      <c r="C10" s="12" t="s">
        <v>2537</v>
      </c>
      <c r="D10" s="12" t="s">
        <v>113</v>
      </c>
      <c r="E10" s="12" t="s">
        <v>83</v>
      </c>
      <c r="F10" s="12"/>
      <c r="G10" s="12"/>
      <c r="H10" s="12"/>
      <c r="I10" s="12"/>
      <c r="J10" s="12" t="n">
        <v>50</v>
      </c>
      <c r="K10" s="12"/>
      <c r="L10" s="12"/>
      <c r="M10" s="12"/>
      <c r="N10" s="12"/>
      <c r="O10" s="13" t="s">
        <v>2538</v>
      </c>
      <c r="P10" s="13" t="s">
        <v>2539</v>
      </c>
      <c r="Q10" s="13"/>
      <c r="R10" s="13"/>
      <c r="S10" s="13" t="s">
        <v>2540</v>
      </c>
      <c r="T10" s="12" t="s">
        <v>108</v>
      </c>
      <c r="U10" s="12" t="s">
        <v>2541</v>
      </c>
    </row>
    <row r="11" customFormat="false" ht="31.5" hidden="false" customHeight="true" outlineLevel="0" collapsed="false">
      <c r="A11" s="12" t="n">
        <v>10</v>
      </c>
      <c r="B11" s="12" t="s">
        <v>2542</v>
      </c>
      <c r="C11" s="12" t="s">
        <v>2537</v>
      </c>
      <c r="D11" s="12" t="s">
        <v>113</v>
      </c>
      <c r="E11" s="12" t="s">
        <v>83</v>
      </c>
      <c r="F11" s="12"/>
      <c r="G11" s="12" t="n">
        <v>80900</v>
      </c>
      <c r="H11" s="12"/>
      <c r="I11" s="12"/>
      <c r="J11" s="12"/>
      <c r="K11" s="12"/>
      <c r="L11" s="12"/>
      <c r="M11" s="12"/>
      <c r="N11" s="12"/>
      <c r="O11" s="13"/>
      <c r="P11" s="13" t="s">
        <v>2543</v>
      </c>
      <c r="Q11" s="13"/>
      <c r="R11" s="13"/>
      <c r="S11" s="13" t="s">
        <v>2544</v>
      </c>
      <c r="T11" s="12" t="s">
        <v>108</v>
      </c>
      <c r="U11" s="12" t="s">
        <v>2545</v>
      </c>
    </row>
    <row r="12" customFormat="false" ht="31.5" hidden="false" customHeight="true" outlineLevel="0" collapsed="false">
      <c r="A12" s="12" t="n">
        <v>11</v>
      </c>
      <c r="B12" s="12" t="s">
        <v>126</v>
      </c>
      <c r="C12" s="12" t="s">
        <v>2521</v>
      </c>
      <c r="D12" s="12" t="s">
        <v>127</v>
      </c>
      <c r="E12" s="12" t="s">
        <v>83</v>
      </c>
      <c r="F12" s="12" t="n">
        <v>1.48</v>
      </c>
      <c r="G12" s="12"/>
      <c r="H12" s="12" t="s">
        <v>131</v>
      </c>
      <c r="I12" s="12" t="n">
        <v>1.36</v>
      </c>
      <c r="J12" s="12"/>
      <c r="K12" s="12"/>
      <c r="L12" s="12"/>
      <c r="M12" s="12"/>
      <c r="N12" s="12" t="n">
        <v>1.48</v>
      </c>
      <c r="O12" s="13" t="s">
        <v>132</v>
      </c>
      <c r="P12" s="13" t="s">
        <v>2546</v>
      </c>
      <c r="Q12" s="13"/>
      <c r="R12" s="13"/>
      <c r="S12" s="13" t="s">
        <v>2547</v>
      </c>
      <c r="T12" s="12" t="s">
        <v>94</v>
      </c>
      <c r="U12" s="12" t="s">
        <v>140</v>
      </c>
    </row>
    <row r="13" customFormat="false" ht="31.5" hidden="false" customHeight="true" outlineLevel="0" collapsed="false">
      <c r="A13" s="12" t="n">
        <v>12</v>
      </c>
      <c r="B13" s="12" t="s">
        <v>2548</v>
      </c>
      <c r="C13" s="12" t="s">
        <v>2549</v>
      </c>
      <c r="D13" s="12" t="s">
        <v>127</v>
      </c>
      <c r="E13" s="12" t="s">
        <v>83</v>
      </c>
      <c r="F13" s="12" t="n">
        <v>1.486</v>
      </c>
      <c r="G13" s="12"/>
      <c r="H13" s="12"/>
      <c r="I13" s="12"/>
      <c r="J13" s="12"/>
      <c r="K13" s="12"/>
      <c r="L13" s="12"/>
      <c r="M13" s="12"/>
      <c r="N13" s="12" t="n">
        <v>1.486</v>
      </c>
      <c r="O13" s="13"/>
      <c r="P13" s="13" t="s">
        <v>2550</v>
      </c>
      <c r="Q13" s="13"/>
      <c r="R13" s="13"/>
      <c r="S13" s="13" t="s">
        <v>2551</v>
      </c>
      <c r="T13" s="12" t="s">
        <v>108</v>
      </c>
      <c r="U13" s="12" t="s">
        <v>2552</v>
      </c>
    </row>
    <row r="14" customFormat="false" ht="31.5" hidden="false" customHeight="true" outlineLevel="0" collapsed="false">
      <c r="A14" s="12" t="n">
        <v>12</v>
      </c>
      <c r="B14" s="12" t="s">
        <v>2548</v>
      </c>
      <c r="C14" s="12" t="s">
        <v>2537</v>
      </c>
      <c r="D14" s="12" t="s">
        <v>127</v>
      </c>
      <c r="E14" s="12" t="s">
        <v>83</v>
      </c>
      <c r="F14" s="12"/>
      <c r="G14" s="12" t="n">
        <v>1.45</v>
      </c>
      <c r="H14" s="12"/>
      <c r="I14" s="12"/>
      <c r="J14" s="12" t="n">
        <v>50</v>
      </c>
      <c r="K14" s="12"/>
      <c r="L14" s="12"/>
      <c r="M14" s="12"/>
      <c r="N14" s="12"/>
      <c r="O14" s="13" t="s">
        <v>2553</v>
      </c>
      <c r="P14" s="13" t="s">
        <v>2554</v>
      </c>
      <c r="Q14" s="13"/>
      <c r="R14" s="13"/>
      <c r="S14" s="13" t="s">
        <v>2555</v>
      </c>
      <c r="T14" s="12" t="s">
        <v>108</v>
      </c>
      <c r="U14" s="12" t="s">
        <v>2552</v>
      </c>
    </row>
    <row r="15" customFormat="false" ht="31.5" hidden="false" customHeight="true" outlineLevel="0" collapsed="false">
      <c r="A15" s="12" t="n">
        <v>13</v>
      </c>
      <c r="B15" s="12" t="s">
        <v>2556</v>
      </c>
      <c r="C15" s="12" t="s">
        <v>2557</v>
      </c>
      <c r="D15" s="12" t="s">
        <v>127</v>
      </c>
      <c r="E15" s="12" t="s">
        <v>83</v>
      </c>
      <c r="F15" s="12"/>
      <c r="G15" s="12"/>
      <c r="H15" s="12" t="s">
        <v>131</v>
      </c>
      <c r="I15" s="12"/>
      <c r="J15" s="12"/>
      <c r="K15" s="12"/>
      <c r="L15" s="12"/>
      <c r="M15" s="12"/>
      <c r="N15" s="12"/>
      <c r="O15" s="13"/>
      <c r="P15" s="13" t="s">
        <v>2558</v>
      </c>
      <c r="Q15" s="13"/>
      <c r="R15" s="13"/>
      <c r="S15" s="13" t="s">
        <v>2559</v>
      </c>
      <c r="T15" s="12" t="s">
        <v>108</v>
      </c>
      <c r="U15" s="12" t="s">
        <v>2560</v>
      </c>
    </row>
    <row r="16" customFormat="false" ht="31.5" hidden="false" customHeight="true" outlineLevel="0" collapsed="false">
      <c r="A16" s="12" t="n">
        <v>14</v>
      </c>
      <c r="B16" s="12" t="s">
        <v>141</v>
      </c>
      <c r="C16" s="12" t="s">
        <v>2527</v>
      </c>
      <c r="D16" s="12" t="s">
        <v>142</v>
      </c>
      <c r="E16" s="12" t="s">
        <v>83</v>
      </c>
      <c r="F16" s="12"/>
      <c r="G16" s="12"/>
      <c r="H16" s="12"/>
      <c r="I16" s="12"/>
      <c r="J16" s="12"/>
      <c r="K16" s="12"/>
      <c r="L16" s="12"/>
      <c r="M16" s="12"/>
      <c r="N16" s="12"/>
      <c r="O16" s="13" t="s">
        <v>2561</v>
      </c>
      <c r="P16" s="13" t="s">
        <v>2562</v>
      </c>
      <c r="Q16" s="13"/>
      <c r="R16" s="13"/>
      <c r="S16" s="13" t="s">
        <v>2563</v>
      </c>
      <c r="T16" s="12" t="s">
        <v>94</v>
      </c>
      <c r="U16" s="12" t="s">
        <v>149</v>
      </c>
    </row>
    <row r="17" customFormat="false" ht="31.5" hidden="false" customHeight="true" outlineLevel="0" collapsed="false">
      <c r="A17" s="12" t="n">
        <v>15</v>
      </c>
      <c r="B17" s="12" t="s">
        <v>104</v>
      </c>
      <c r="C17" s="12" t="s">
        <v>2564</v>
      </c>
      <c r="D17" s="12" t="s">
        <v>113</v>
      </c>
      <c r="E17" s="12" t="s">
        <v>83</v>
      </c>
      <c r="F17" s="12"/>
      <c r="G17" s="12"/>
      <c r="H17" s="12"/>
      <c r="I17" s="12"/>
      <c r="J17" s="12"/>
      <c r="K17" s="12"/>
      <c r="L17" s="12"/>
      <c r="M17" s="12"/>
      <c r="N17" s="12"/>
      <c r="O17" s="13"/>
      <c r="P17" s="13" t="s">
        <v>2565</v>
      </c>
      <c r="Q17" s="13"/>
      <c r="R17" s="13" t="s">
        <v>2566</v>
      </c>
      <c r="S17" s="13" t="s">
        <v>2567</v>
      </c>
      <c r="T17" s="12" t="s">
        <v>108</v>
      </c>
      <c r="U17" s="12" t="s">
        <v>2568</v>
      </c>
    </row>
    <row r="18" customFormat="false" ht="31.5" hidden="false" customHeight="true" outlineLevel="0" collapsed="false">
      <c r="A18" s="12" t="n">
        <v>15</v>
      </c>
      <c r="B18" s="12" t="s">
        <v>104</v>
      </c>
      <c r="C18" s="12" t="s">
        <v>2564</v>
      </c>
      <c r="D18" s="12" t="s">
        <v>99</v>
      </c>
      <c r="E18" s="12" t="s">
        <v>83</v>
      </c>
      <c r="F18" s="12"/>
      <c r="G18" s="12"/>
      <c r="H18" s="12"/>
      <c r="I18" s="12"/>
      <c r="J18" s="12"/>
      <c r="K18" s="12"/>
      <c r="L18" s="12"/>
      <c r="M18" s="12"/>
      <c r="N18" s="12"/>
      <c r="O18" s="13"/>
      <c r="P18" s="13" t="s">
        <v>2569</v>
      </c>
      <c r="Q18" s="13"/>
      <c r="R18" s="13" t="s">
        <v>2566</v>
      </c>
      <c r="S18" s="13" t="s">
        <v>2567</v>
      </c>
      <c r="T18" s="12" t="s">
        <v>94</v>
      </c>
      <c r="U18" s="12" t="s">
        <v>2568</v>
      </c>
    </row>
    <row r="19" customFormat="false" ht="31.5" hidden="false" customHeight="true" outlineLevel="0" collapsed="false">
      <c r="A19" s="12" t="n">
        <v>17</v>
      </c>
      <c r="B19" s="12" t="s">
        <v>150</v>
      </c>
      <c r="C19" s="12" t="s">
        <v>2521</v>
      </c>
      <c r="D19" s="12" t="s">
        <v>113</v>
      </c>
      <c r="E19" s="12" t="s">
        <v>83</v>
      </c>
      <c r="F19" s="12" t="n">
        <v>79700</v>
      </c>
      <c r="G19" s="12"/>
      <c r="H19" s="12" t="s">
        <v>154</v>
      </c>
      <c r="I19" s="12" t="n">
        <v>78500</v>
      </c>
      <c r="J19" s="12"/>
      <c r="K19" s="12"/>
      <c r="L19" s="12"/>
      <c r="M19" s="12"/>
      <c r="N19" s="12" t="n">
        <v>79700</v>
      </c>
      <c r="O19" s="13"/>
      <c r="P19" s="13" t="s">
        <v>2570</v>
      </c>
      <c r="Q19" s="13" t="s">
        <v>370</v>
      </c>
      <c r="R19" s="13"/>
      <c r="S19" s="13" t="s">
        <v>2571</v>
      </c>
      <c r="T19" s="12" t="s">
        <v>94</v>
      </c>
      <c r="U19" s="12" t="s">
        <v>167</v>
      </c>
    </row>
    <row r="20" customFormat="false" ht="31.5" hidden="false" customHeight="true" outlineLevel="0" collapsed="false">
      <c r="A20" s="12" t="n">
        <v>18</v>
      </c>
      <c r="B20" s="12" t="s">
        <v>2572</v>
      </c>
      <c r="C20" s="12" t="s">
        <v>2537</v>
      </c>
      <c r="D20" s="12" t="s">
        <v>113</v>
      </c>
      <c r="E20" s="12" t="s">
        <v>83</v>
      </c>
      <c r="F20" s="12"/>
      <c r="G20" s="12" t="n">
        <v>79469</v>
      </c>
      <c r="H20" s="12"/>
      <c r="I20" s="12"/>
      <c r="J20" s="12"/>
      <c r="K20" s="12"/>
      <c r="L20" s="12"/>
      <c r="M20" s="12"/>
      <c r="N20" s="12"/>
      <c r="O20" s="13" t="s">
        <v>2573</v>
      </c>
      <c r="P20" s="13" t="s">
        <v>2574</v>
      </c>
      <c r="Q20" s="13"/>
      <c r="R20" s="13"/>
      <c r="S20" s="13" t="s">
        <v>2575</v>
      </c>
      <c r="T20" s="12" t="s">
        <v>94</v>
      </c>
      <c r="U20" s="12" t="s">
        <v>2576</v>
      </c>
    </row>
    <row r="21" customFormat="false" ht="31.5" hidden="false" customHeight="true" outlineLevel="0" collapsed="false">
      <c r="A21" s="12" t="n">
        <v>19</v>
      </c>
      <c r="B21" s="12" t="s">
        <v>2577</v>
      </c>
      <c r="C21" s="12" t="s">
        <v>2537</v>
      </c>
      <c r="D21" s="12" t="s">
        <v>113</v>
      </c>
      <c r="E21" s="12" t="s">
        <v>83</v>
      </c>
      <c r="F21" s="12" t="n">
        <v>79590</v>
      </c>
      <c r="G21" s="12" t="n">
        <v>79469</v>
      </c>
      <c r="H21" s="12"/>
      <c r="I21" s="12"/>
      <c r="J21" s="12"/>
      <c r="K21" s="12"/>
      <c r="L21" s="12"/>
      <c r="M21" s="12"/>
      <c r="N21" s="12"/>
      <c r="O21" s="13"/>
      <c r="P21" s="13" t="s">
        <v>2578</v>
      </c>
      <c r="Q21" s="13"/>
      <c r="R21" s="13"/>
      <c r="S21" s="13" t="s">
        <v>2579</v>
      </c>
      <c r="T21" s="12" t="s">
        <v>94</v>
      </c>
      <c r="U21" s="12" t="s">
        <v>2580</v>
      </c>
    </row>
    <row r="22" customFormat="false" ht="31.5" hidden="false" customHeight="true" outlineLevel="0" collapsed="false">
      <c r="A22" s="12" t="n">
        <v>19</v>
      </c>
      <c r="B22" s="12" t="s">
        <v>2577</v>
      </c>
      <c r="C22" s="12" t="s">
        <v>2581</v>
      </c>
      <c r="D22" s="12" t="s">
        <v>113</v>
      </c>
      <c r="E22" s="12" t="s">
        <v>83</v>
      </c>
      <c r="F22" s="12"/>
      <c r="G22" s="12"/>
      <c r="H22" s="12"/>
      <c r="I22" s="12"/>
      <c r="J22" s="12" t="n">
        <v>50</v>
      </c>
      <c r="K22" s="12"/>
      <c r="L22" s="12"/>
      <c r="M22" s="12"/>
      <c r="N22" s="12" t="n">
        <v>79590</v>
      </c>
      <c r="O22" s="13" t="s">
        <v>2582</v>
      </c>
      <c r="P22" s="13" t="s">
        <v>2583</v>
      </c>
      <c r="Q22" s="13"/>
      <c r="R22" s="13"/>
      <c r="S22" s="13" t="s">
        <v>2584</v>
      </c>
      <c r="T22" s="12" t="s">
        <v>94</v>
      </c>
      <c r="U22" s="12" t="s">
        <v>2580</v>
      </c>
    </row>
    <row r="23" customFormat="false" ht="31.5" hidden="false" customHeight="true" outlineLevel="0" collapsed="false">
      <c r="A23" s="12" t="n">
        <v>19</v>
      </c>
      <c r="B23" s="12" t="s">
        <v>2577</v>
      </c>
      <c r="C23" s="12" t="s">
        <v>2537</v>
      </c>
      <c r="D23" s="12" t="s">
        <v>113</v>
      </c>
      <c r="E23" s="12" t="s">
        <v>83</v>
      </c>
      <c r="F23" s="12"/>
      <c r="G23" s="12" t="n">
        <v>78600</v>
      </c>
      <c r="H23" s="12"/>
      <c r="I23" s="12"/>
      <c r="J23" s="12"/>
      <c r="K23" s="12"/>
      <c r="L23" s="12"/>
      <c r="M23" s="12"/>
      <c r="N23" s="12"/>
      <c r="O23" s="13" t="s">
        <v>2585</v>
      </c>
      <c r="P23" s="13" t="s">
        <v>2586</v>
      </c>
      <c r="Q23" s="13"/>
      <c r="R23" s="13"/>
      <c r="S23" s="13" t="s">
        <v>2587</v>
      </c>
      <c r="T23" s="12" t="s">
        <v>94</v>
      </c>
      <c r="U23" s="12" t="s">
        <v>2580</v>
      </c>
    </row>
    <row r="24" customFormat="false" ht="31.5" hidden="false" customHeight="true" outlineLevel="0" collapsed="false">
      <c r="A24" s="12" t="n">
        <v>19</v>
      </c>
      <c r="B24" s="12" t="s">
        <v>2577</v>
      </c>
      <c r="C24" s="12" t="s">
        <v>2588</v>
      </c>
      <c r="D24" s="12" t="s">
        <v>113</v>
      </c>
      <c r="E24" s="12" t="s">
        <v>83</v>
      </c>
      <c r="F24" s="12"/>
      <c r="G24" s="12"/>
      <c r="H24" s="12"/>
      <c r="I24" s="12" t="n">
        <v>77600</v>
      </c>
      <c r="J24" s="12"/>
      <c r="K24" s="12"/>
      <c r="L24" s="12"/>
      <c r="M24" s="12"/>
      <c r="N24" s="12"/>
      <c r="O24" s="13"/>
      <c r="P24" s="13" t="s">
        <v>2589</v>
      </c>
      <c r="Q24" s="13"/>
      <c r="R24" s="13"/>
      <c r="S24" s="13" t="s">
        <v>2590</v>
      </c>
      <c r="T24" s="12" t="s">
        <v>94</v>
      </c>
      <c r="U24" s="12" t="s">
        <v>2580</v>
      </c>
    </row>
    <row r="25" customFormat="false" ht="31.5" hidden="false" customHeight="true" outlineLevel="0" collapsed="false">
      <c r="A25" s="12" t="n">
        <v>21</v>
      </c>
      <c r="B25" s="12" t="s">
        <v>2591</v>
      </c>
      <c r="C25" s="12" t="s">
        <v>2581</v>
      </c>
      <c r="D25" s="12" t="s">
        <v>113</v>
      </c>
      <c r="E25" s="12" t="s">
        <v>83</v>
      </c>
      <c r="F25" s="12"/>
      <c r="G25" s="12" t="n">
        <v>78600</v>
      </c>
      <c r="H25" s="12"/>
      <c r="I25" s="12"/>
      <c r="J25" s="12" t="n">
        <v>50</v>
      </c>
      <c r="K25" s="12"/>
      <c r="L25" s="12"/>
      <c r="M25" s="12"/>
      <c r="N25" s="12"/>
      <c r="O25" s="13"/>
      <c r="P25" s="13" t="s">
        <v>2592</v>
      </c>
      <c r="Q25" s="13"/>
      <c r="R25" s="13"/>
      <c r="S25" s="13" t="s">
        <v>2593</v>
      </c>
      <c r="T25" s="12" t="s">
        <v>94</v>
      </c>
      <c r="U25" s="12" t="s">
        <v>2594</v>
      </c>
    </row>
    <row r="26" customFormat="false" ht="31.5" hidden="false" customHeight="true" outlineLevel="0" collapsed="false">
      <c r="A26" s="12" t="n">
        <v>22</v>
      </c>
      <c r="B26" s="12" t="s">
        <v>168</v>
      </c>
      <c r="C26" s="12" t="s">
        <v>2521</v>
      </c>
      <c r="D26" s="12" t="s">
        <v>169</v>
      </c>
      <c r="E26" s="12" t="s">
        <v>83</v>
      </c>
      <c r="F26" s="12" t="n">
        <v>0.158</v>
      </c>
      <c r="G26" s="12"/>
      <c r="H26" s="12" t="s">
        <v>172</v>
      </c>
      <c r="I26" s="12" t="n">
        <v>0.1411</v>
      </c>
      <c r="J26" s="12"/>
      <c r="K26" s="12"/>
      <c r="L26" s="12"/>
      <c r="M26" s="12"/>
      <c r="N26" s="12" t="n">
        <v>0.158</v>
      </c>
      <c r="O26" s="13"/>
      <c r="P26" s="13" t="s">
        <v>2595</v>
      </c>
      <c r="Q26" s="13"/>
      <c r="R26" s="13"/>
      <c r="S26" s="13" t="s">
        <v>2596</v>
      </c>
      <c r="T26" s="12" t="s">
        <v>94</v>
      </c>
      <c r="U26" s="12" t="s">
        <v>180</v>
      </c>
    </row>
    <row r="27" customFormat="false" ht="31.5" hidden="false" customHeight="true" outlineLevel="0" collapsed="false">
      <c r="A27" s="12" t="n">
        <v>23</v>
      </c>
      <c r="B27" s="12" t="s">
        <v>2597</v>
      </c>
      <c r="C27" s="12" t="s">
        <v>2557</v>
      </c>
      <c r="D27" s="12"/>
      <c r="E27" s="12"/>
      <c r="F27" s="12"/>
      <c r="G27" s="12"/>
      <c r="H27" s="12"/>
      <c r="I27" s="12"/>
      <c r="J27" s="12"/>
      <c r="K27" s="12"/>
      <c r="L27" s="12"/>
      <c r="M27" s="12"/>
      <c r="N27" s="12"/>
      <c r="O27" s="13" t="s">
        <v>2598</v>
      </c>
      <c r="P27" s="13" t="s">
        <v>2599</v>
      </c>
      <c r="Q27" s="13"/>
      <c r="R27" s="13"/>
      <c r="S27" s="13" t="s">
        <v>2600</v>
      </c>
      <c r="T27" s="12" t="s">
        <v>94</v>
      </c>
      <c r="U27" s="12" t="s">
        <v>2601</v>
      </c>
    </row>
    <row r="28" customFormat="false" ht="31.5" hidden="false" customHeight="true" outlineLevel="0" collapsed="false">
      <c r="A28" s="12" t="n">
        <v>23</v>
      </c>
      <c r="B28" s="12" t="s">
        <v>2597</v>
      </c>
      <c r="C28" s="12" t="s">
        <v>2506</v>
      </c>
      <c r="D28" s="12"/>
      <c r="E28" s="12"/>
      <c r="F28" s="12"/>
      <c r="G28" s="12"/>
      <c r="H28" s="12"/>
      <c r="I28" s="12"/>
      <c r="J28" s="12"/>
      <c r="K28" s="12"/>
      <c r="L28" s="12"/>
      <c r="M28" s="12"/>
      <c r="N28" s="12"/>
      <c r="O28" s="13" t="s">
        <v>2602</v>
      </c>
      <c r="P28" s="13" t="s">
        <v>2603</v>
      </c>
      <c r="Q28" s="13"/>
      <c r="R28" s="13"/>
      <c r="S28" s="13" t="s">
        <v>2604</v>
      </c>
      <c r="T28" s="12" t="s">
        <v>94</v>
      </c>
      <c r="U28" s="12" t="s">
        <v>2601</v>
      </c>
    </row>
    <row r="29" customFormat="false" ht="31.5" hidden="false" customHeight="true" outlineLevel="0" collapsed="false">
      <c r="A29" s="12" t="n">
        <v>24</v>
      </c>
      <c r="B29" s="12" t="s">
        <v>2605</v>
      </c>
      <c r="C29" s="12" t="s">
        <v>2527</v>
      </c>
      <c r="D29" s="12"/>
      <c r="E29" s="12" t="s">
        <v>83</v>
      </c>
      <c r="F29" s="12"/>
      <c r="G29" s="12"/>
      <c r="H29" s="12"/>
      <c r="I29" s="12"/>
      <c r="J29" s="12"/>
      <c r="K29" s="12"/>
      <c r="L29" s="12"/>
      <c r="M29" s="12"/>
      <c r="N29" s="12"/>
      <c r="O29" s="13" t="s">
        <v>2606</v>
      </c>
      <c r="P29" s="13" t="s">
        <v>2607</v>
      </c>
      <c r="Q29" s="13"/>
      <c r="R29" s="13"/>
      <c r="S29" s="13" t="s">
        <v>2608</v>
      </c>
      <c r="T29" s="12" t="s">
        <v>94</v>
      </c>
      <c r="U29" s="12" t="s">
        <v>2609</v>
      </c>
    </row>
    <row r="30" customFormat="false" ht="31.5" hidden="false" customHeight="true" outlineLevel="0" collapsed="false">
      <c r="A30" s="12" t="n">
        <v>25</v>
      </c>
      <c r="B30" s="12" t="s">
        <v>2610</v>
      </c>
      <c r="C30" s="12" t="s">
        <v>2581</v>
      </c>
      <c r="D30" s="12" t="s">
        <v>113</v>
      </c>
      <c r="E30" s="12" t="s">
        <v>83</v>
      </c>
      <c r="F30" s="12" t="n">
        <v>79564.8</v>
      </c>
      <c r="G30" s="12"/>
      <c r="H30" s="12" t="s">
        <v>154</v>
      </c>
      <c r="I30" s="12"/>
      <c r="J30" s="12" t="n">
        <v>20</v>
      </c>
      <c r="K30" s="12"/>
      <c r="L30" s="12"/>
      <c r="M30" s="12"/>
      <c r="N30" s="12"/>
      <c r="O30" s="13"/>
      <c r="P30" s="13" t="s">
        <v>2611</v>
      </c>
      <c r="Q30" s="13"/>
      <c r="R30" s="13"/>
      <c r="S30" s="13" t="s">
        <v>2612</v>
      </c>
      <c r="T30" s="12" t="s">
        <v>94</v>
      </c>
      <c r="U30" s="12" t="s">
        <v>2613</v>
      </c>
    </row>
    <row r="31" customFormat="false" ht="31.5" hidden="false" customHeight="true" outlineLevel="0" collapsed="false">
      <c r="A31" s="12" t="n">
        <v>26</v>
      </c>
      <c r="B31" s="12" t="s">
        <v>2614</v>
      </c>
      <c r="C31" s="12" t="s">
        <v>2581</v>
      </c>
      <c r="D31" s="12" t="s">
        <v>82</v>
      </c>
      <c r="E31" s="12" t="s">
        <v>83</v>
      </c>
      <c r="F31" s="12"/>
      <c r="G31" s="12"/>
      <c r="H31" s="12"/>
      <c r="I31" s="12"/>
      <c r="J31" s="12" t="n">
        <v>50</v>
      </c>
      <c r="K31" s="12" t="n">
        <v>50</v>
      </c>
      <c r="L31" s="12" t="n">
        <v>0.7</v>
      </c>
      <c r="M31" s="12" t="n">
        <v>101.21</v>
      </c>
      <c r="N31" s="12"/>
      <c r="O31" s="13"/>
      <c r="P31" s="13" t="s">
        <v>2615</v>
      </c>
      <c r="Q31" s="13"/>
      <c r="R31" s="13"/>
      <c r="S31" s="13" t="s">
        <v>2616</v>
      </c>
      <c r="T31" s="12" t="s">
        <v>94</v>
      </c>
      <c r="U31" s="12" t="s">
        <v>2617</v>
      </c>
    </row>
    <row r="32" customFormat="false" ht="31.5" hidden="false" customHeight="true" outlineLevel="0" collapsed="false">
      <c r="A32" s="12" t="n">
        <v>26</v>
      </c>
      <c r="B32" s="12" t="s">
        <v>2614</v>
      </c>
      <c r="C32" s="12" t="s">
        <v>2618</v>
      </c>
      <c r="D32" s="12" t="s">
        <v>82</v>
      </c>
      <c r="E32" s="12" t="s">
        <v>83</v>
      </c>
      <c r="F32" s="12"/>
      <c r="G32" s="12"/>
      <c r="H32" s="12" t="s">
        <v>2619</v>
      </c>
      <c r="I32" s="12"/>
      <c r="J32" s="12"/>
      <c r="K32" s="12"/>
      <c r="L32" s="12"/>
      <c r="M32" s="12"/>
      <c r="N32" s="12"/>
      <c r="O32" s="13"/>
      <c r="P32" s="13" t="s">
        <v>2620</v>
      </c>
      <c r="Q32" s="13"/>
      <c r="R32" s="13"/>
      <c r="S32" s="13" t="s">
        <v>2621</v>
      </c>
      <c r="T32" s="12" t="s">
        <v>94</v>
      </c>
      <c r="U32" s="12" t="s">
        <v>2617</v>
      </c>
    </row>
    <row r="33" customFormat="false" ht="31.5" hidden="false" customHeight="true" outlineLevel="0" collapsed="false">
      <c r="A33" s="12" t="n">
        <v>26</v>
      </c>
      <c r="B33" s="12" t="s">
        <v>2614</v>
      </c>
      <c r="C33" s="12" t="s">
        <v>2588</v>
      </c>
      <c r="D33" s="12" t="s">
        <v>82</v>
      </c>
      <c r="E33" s="12" t="s">
        <v>83</v>
      </c>
      <c r="F33" s="12" t="n">
        <v>3.46</v>
      </c>
      <c r="G33" s="12"/>
      <c r="H33" s="12"/>
      <c r="I33" s="12" t="n">
        <v>3.46</v>
      </c>
      <c r="J33" s="12"/>
      <c r="K33" s="12"/>
      <c r="L33" s="12"/>
      <c r="M33" s="12"/>
      <c r="N33" s="12"/>
      <c r="O33" s="13"/>
      <c r="P33" s="13" t="s">
        <v>2622</v>
      </c>
      <c r="Q33" s="13"/>
      <c r="R33" s="13"/>
      <c r="S33" s="13" t="s">
        <v>2623</v>
      </c>
      <c r="T33" s="12" t="s">
        <v>94</v>
      </c>
      <c r="U33" s="12" t="s">
        <v>2617</v>
      </c>
    </row>
    <row r="34" customFormat="false" ht="31.5" hidden="false" customHeight="true" outlineLevel="0" collapsed="false">
      <c r="A34" s="12" t="n">
        <v>27</v>
      </c>
      <c r="B34" s="12" t="s">
        <v>181</v>
      </c>
      <c r="C34" s="12" t="s">
        <v>2521</v>
      </c>
      <c r="D34" s="12" t="s">
        <v>182</v>
      </c>
      <c r="E34" s="12" t="s">
        <v>83</v>
      </c>
      <c r="F34" s="12" t="n">
        <v>0.064</v>
      </c>
      <c r="G34" s="12"/>
      <c r="H34" s="12" t="s">
        <v>184</v>
      </c>
      <c r="I34" s="12" t="n">
        <v>0.581</v>
      </c>
      <c r="J34" s="12"/>
      <c r="K34" s="12"/>
      <c r="L34" s="12"/>
      <c r="M34" s="12"/>
      <c r="N34" s="12"/>
      <c r="O34" s="13"/>
      <c r="P34" s="13" t="s">
        <v>2624</v>
      </c>
      <c r="Q34" s="13" t="s">
        <v>191</v>
      </c>
      <c r="R34" s="13"/>
      <c r="S34" s="13" t="s">
        <v>2625</v>
      </c>
      <c r="T34" s="12" t="s">
        <v>108</v>
      </c>
      <c r="U34" s="12" t="s">
        <v>194</v>
      </c>
    </row>
    <row r="35" customFormat="false" ht="31.5" hidden="false" customHeight="true" outlineLevel="0" collapsed="false">
      <c r="A35" s="12" t="n">
        <v>28</v>
      </c>
      <c r="B35" s="12" t="s">
        <v>2626</v>
      </c>
      <c r="C35" s="12" t="s">
        <v>2557</v>
      </c>
      <c r="D35" s="12" t="s">
        <v>182</v>
      </c>
      <c r="E35" s="12" t="s">
        <v>83</v>
      </c>
      <c r="F35" s="12"/>
      <c r="G35" s="12"/>
      <c r="H35" s="12"/>
      <c r="I35" s="12"/>
      <c r="J35" s="12"/>
      <c r="K35" s="12"/>
      <c r="L35" s="12"/>
      <c r="M35" s="12"/>
      <c r="N35" s="12" t="n">
        <v>0.064</v>
      </c>
      <c r="O35" s="13"/>
      <c r="P35" s="13" t="s">
        <v>2627</v>
      </c>
      <c r="Q35" s="13"/>
      <c r="R35" s="13"/>
      <c r="S35" s="13" t="s">
        <v>2628</v>
      </c>
      <c r="T35" s="12" t="s">
        <v>108</v>
      </c>
      <c r="U35" s="12" t="s">
        <v>2629</v>
      </c>
    </row>
    <row r="36" customFormat="false" ht="31.5" hidden="false" customHeight="true" outlineLevel="0" collapsed="false">
      <c r="A36" s="12" t="n">
        <v>29</v>
      </c>
      <c r="B36" s="12" t="s">
        <v>91</v>
      </c>
      <c r="C36" s="12" t="s">
        <v>2630</v>
      </c>
      <c r="D36" s="12" t="s">
        <v>82</v>
      </c>
      <c r="E36" s="12" t="s">
        <v>83</v>
      </c>
      <c r="F36" s="12"/>
      <c r="G36" s="12"/>
      <c r="H36" s="12" t="s">
        <v>2631</v>
      </c>
      <c r="I36" s="12"/>
      <c r="J36" s="12" t="n">
        <v>100</v>
      </c>
      <c r="K36" s="12"/>
      <c r="L36" s="12" t="n">
        <v>1.4</v>
      </c>
      <c r="M36" s="12"/>
      <c r="N36" s="12" t="n">
        <v>3.7</v>
      </c>
      <c r="O36" s="13"/>
      <c r="P36" s="13" t="s">
        <v>2632</v>
      </c>
      <c r="Q36" s="13"/>
      <c r="R36" s="13"/>
      <c r="S36" s="13" t="s">
        <v>2633</v>
      </c>
      <c r="T36" s="12" t="s">
        <v>94</v>
      </c>
      <c r="U36" s="12" t="s">
        <v>2634</v>
      </c>
    </row>
    <row r="37" customFormat="false" ht="31.5" hidden="false" customHeight="true" outlineLevel="0" collapsed="false">
      <c r="A37" s="12" t="n">
        <v>29</v>
      </c>
      <c r="B37" s="12" t="s">
        <v>91</v>
      </c>
      <c r="C37" s="12" t="s">
        <v>2527</v>
      </c>
      <c r="D37" s="12" t="s">
        <v>82</v>
      </c>
      <c r="E37" s="12" t="s">
        <v>83</v>
      </c>
      <c r="F37" s="12"/>
      <c r="G37" s="12"/>
      <c r="H37" s="12"/>
      <c r="I37" s="12"/>
      <c r="J37" s="12"/>
      <c r="K37" s="12"/>
      <c r="L37" s="12"/>
      <c r="M37" s="12"/>
      <c r="N37" s="12" t="n">
        <v>4</v>
      </c>
      <c r="O37" s="13"/>
      <c r="P37" s="13" t="s">
        <v>2635</v>
      </c>
      <c r="Q37" s="13"/>
      <c r="R37" s="13"/>
      <c r="S37" s="13" t="s">
        <v>2636</v>
      </c>
      <c r="T37" s="12" t="s">
        <v>94</v>
      </c>
      <c r="U37" s="12" t="s">
        <v>2634</v>
      </c>
    </row>
    <row r="38" customFormat="false" ht="31.5" hidden="false" customHeight="true" outlineLevel="0" collapsed="false">
      <c r="A38" s="12" t="n">
        <v>30</v>
      </c>
      <c r="B38" s="12" t="s">
        <v>2637</v>
      </c>
      <c r="C38" s="12" t="s">
        <v>2502</v>
      </c>
      <c r="D38" s="12"/>
      <c r="E38" s="12"/>
      <c r="F38" s="12"/>
      <c r="G38" s="12"/>
      <c r="H38" s="12"/>
      <c r="I38" s="12"/>
      <c r="J38" s="12"/>
      <c r="K38" s="12"/>
      <c r="L38" s="12"/>
      <c r="M38" s="12"/>
      <c r="N38" s="12"/>
      <c r="O38" s="13"/>
      <c r="P38" s="13" t="s">
        <v>2638</v>
      </c>
      <c r="Q38" s="13"/>
      <c r="R38" s="13"/>
      <c r="S38" s="13" t="s">
        <v>2639</v>
      </c>
      <c r="T38" s="12" t="s">
        <v>94</v>
      </c>
      <c r="U38" s="12" t="s">
        <v>2640</v>
      </c>
    </row>
    <row r="39" customFormat="false" ht="31.5" hidden="false" customHeight="true" outlineLevel="0" collapsed="false">
      <c r="A39" s="12" t="n">
        <v>31</v>
      </c>
      <c r="B39" s="12" t="s">
        <v>195</v>
      </c>
      <c r="C39" s="12" t="s">
        <v>2521</v>
      </c>
      <c r="D39" s="12" t="s">
        <v>196</v>
      </c>
      <c r="E39" s="12" t="s">
        <v>83</v>
      </c>
      <c r="F39" s="12" t="n">
        <v>0.354</v>
      </c>
      <c r="G39" s="12" t="n">
        <v>0.334</v>
      </c>
      <c r="H39" s="12" t="s">
        <v>199</v>
      </c>
      <c r="I39" s="12" t="n">
        <v>0.31</v>
      </c>
      <c r="J39" s="12" t="n">
        <v>50</v>
      </c>
      <c r="K39" s="12"/>
      <c r="L39" s="12" t="n">
        <v>1</v>
      </c>
      <c r="M39" s="12"/>
      <c r="N39" s="12" t="n">
        <v>0.354</v>
      </c>
      <c r="O39" s="13" t="s">
        <v>2641</v>
      </c>
      <c r="P39" s="13" t="s">
        <v>2642</v>
      </c>
      <c r="Q39" s="13"/>
      <c r="R39" s="13"/>
      <c r="S39" s="13" t="s">
        <v>2643</v>
      </c>
      <c r="T39" s="12" t="s">
        <v>94</v>
      </c>
      <c r="U39" s="12" t="s">
        <v>207</v>
      </c>
    </row>
    <row r="40" customFormat="false" ht="31.5" hidden="false" customHeight="true" outlineLevel="0" collapsed="false">
      <c r="A40" s="12" t="n">
        <v>32</v>
      </c>
      <c r="B40" s="12" t="s">
        <v>2644</v>
      </c>
      <c r="C40" s="12" t="s">
        <v>2557</v>
      </c>
      <c r="D40" s="12"/>
      <c r="E40" s="12"/>
      <c r="F40" s="12"/>
      <c r="G40" s="12"/>
      <c r="H40" s="12"/>
      <c r="I40" s="12"/>
      <c r="J40" s="12"/>
      <c r="K40" s="12"/>
      <c r="L40" s="12"/>
      <c r="M40" s="12"/>
      <c r="N40" s="12"/>
      <c r="O40" s="13" t="s">
        <v>2645</v>
      </c>
      <c r="P40" s="13" t="s">
        <v>2646</v>
      </c>
      <c r="Q40" s="13"/>
      <c r="R40" s="13"/>
      <c r="S40" s="13" t="s">
        <v>2647</v>
      </c>
      <c r="T40" s="12" t="s">
        <v>94</v>
      </c>
      <c r="U40" s="12" t="s">
        <v>2648</v>
      </c>
    </row>
    <row r="41" customFormat="false" ht="31.5" hidden="false" customHeight="true" outlineLevel="0" collapsed="false">
      <c r="A41" s="12" t="n">
        <v>32</v>
      </c>
      <c r="B41" s="12" t="s">
        <v>2644</v>
      </c>
      <c r="C41" s="12" t="s">
        <v>2527</v>
      </c>
      <c r="D41" s="12"/>
      <c r="E41" s="12" t="s">
        <v>83</v>
      </c>
      <c r="F41" s="12"/>
      <c r="G41" s="12"/>
      <c r="H41" s="12"/>
      <c r="I41" s="12"/>
      <c r="J41" s="12"/>
      <c r="K41" s="12"/>
      <c r="L41" s="12"/>
      <c r="M41" s="12"/>
      <c r="N41" s="12"/>
      <c r="O41" s="13" t="s">
        <v>2649</v>
      </c>
      <c r="P41" s="13" t="s">
        <v>2650</v>
      </c>
      <c r="Q41" s="13"/>
      <c r="R41" s="13" t="s">
        <v>2651</v>
      </c>
      <c r="S41" s="13" t="s">
        <v>2652</v>
      </c>
      <c r="T41" s="12" t="s">
        <v>94</v>
      </c>
      <c r="U41" s="12" t="s">
        <v>2648</v>
      </c>
    </row>
    <row r="42" customFormat="false" ht="31.5" hidden="false" customHeight="true" outlineLevel="0" collapsed="false">
      <c r="A42" s="12" t="n">
        <v>33</v>
      </c>
      <c r="B42" s="12" t="s">
        <v>2653</v>
      </c>
      <c r="C42" s="12" t="s">
        <v>2516</v>
      </c>
      <c r="D42" s="12" t="s">
        <v>113</v>
      </c>
      <c r="E42" s="12" t="s">
        <v>83</v>
      </c>
      <c r="F42" s="12" t="n">
        <v>79500</v>
      </c>
      <c r="G42" s="12"/>
      <c r="H42" s="12" t="s">
        <v>2654</v>
      </c>
      <c r="I42" s="12"/>
      <c r="J42" s="12"/>
      <c r="K42" s="12"/>
      <c r="L42" s="12"/>
      <c r="M42" s="12"/>
      <c r="N42" s="12"/>
      <c r="O42" s="13"/>
      <c r="P42" s="13" t="s">
        <v>2655</v>
      </c>
      <c r="Q42" s="13" t="s">
        <v>2656</v>
      </c>
      <c r="R42" s="13" t="s">
        <v>1649</v>
      </c>
      <c r="S42" s="13" t="s">
        <v>2657</v>
      </c>
      <c r="T42" s="12" t="s">
        <v>94</v>
      </c>
      <c r="U42" s="12" t="s">
        <v>2658</v>
      </c>
    </row>
    <row r="43" customFormat="false" ht="31.5" hidden="false" customHeight="true" outlineLevel="0" collapsed="false">
      <c r="A43" s="12" t="n">
        <v>34</v>
      </c>
      <c r="B43" s="12" t="s">
        <v>2659</v>
      </c>
      <c r="C43" s="12" t="s">
        <v>2506</v>
      </c>
      <c r="D43" s="12"/>
      <c r="E43" s="12"/>
      <c r="F43" s="12"/>
      <c r="G43" s="12"/>
      <c r="H43" s="12"/>
      <c r="I43" s="12"/>
      <c r="J43" s="12"/>
      <c r="K43" s="12"/>
      <c r="L43" s="12"/>
      <c r="M43" s="12"/>
      <c r="N43" s="12"/>
      <c r="O43" s="13" t="s">
        <v>2660</v>
      </c>
      <c r="P43" s="13" t="s">
        <v>2661</v>
      </c>
      <c r="Q43" s="13"/>
      <c r="R43" s="13" t="s">
        <v>2662</v>
      </c>
      <c r="S43" s="13" t="s">
        <v>2663</v>
      </c>
      <c r="T43" s="12" t="s">
        <v>94</v>
      </c>
      <c r="U43" s="12" t="s">
        <v>2664</v>
      </c>
    </row>
    <row r="44" customFormat="false" ht="31.5" hidden="false" customHeight="true" outlineLevel="0" collapsed="false">
      <c r="A44" s="12" t="n">
        <v>35</v>
      </c>
      <c r="B44" s="12" t="s">
        <v>2665</v>
      </c>
      <c r="C44" s="12" t="s">
        <v>2666</v>
      </c>
      <c r="D44" s="12" t="s">
        <v>182</v>
      </c>
      <c r="E44" s="12" t="s">
        <v>83</v>
      </c>
      <c r="F44" s="12" t="n">
        <v>0.06454</v>
      </c>
      <c r="G44" s="12"/>
      <c r="H44" s="12" t="s">
        <v>184</v>
      </c>
      <c r="I44" s="12"/>
      <c r="J44" s="12"/>
      <c r="K44" s="12" t="n">
        <v>20</v>
      </c>
      <c r="L44" s="12"/>
      <c r="M44" s="12" t="n">
        <v>49.35</v>
      </c>
      <c r="N44" s="12" t="n">
        <v>0.06615</v>
      </c>
      <c r="O44" s="13"/>
      <c r="P44" s="13" t="s">
        <v>2667</v>
      </c>
      <c r="Q44" s="13"/>
      <c r="R44" s="13"/>
      <c r="S44" s="13" t="s">
        <v>2668</v>
      </c>
      <c r="T44" s="12" t="s">
        <v>94</v>
      </c>
      <c r="U44" s="12" t="s">
        <v>2669</v>
      </c>
    </row>
    <row r="45" customFormat="false" ht="31.5" hidden="false" customHeight="true" outlineLevel="0" collapsed="false">
      <c r="A45" s="12" t="n">
        <v>35</v>
      </c>
      <c r="B45" s="12" t="s">
        <v>2665</v>
      </c>
      <c r="C45" s="12" t="s">
        <v>2670</v>
      </c>
      <c r="D45" s="12" t="s">
        <v>182</v>
      </c>
      <c r="E45" s="12" t="s">
        <v>83</v>
      </c>
      <c r="F45" s="12"/>
      <c r="G45" s="12"/>
      <c r="H45" s="12" t="s">
        <v>187</v>
      </c>
      <c r="I45" s="12"/>
      <c r="J45" s="12"/>
      <c r="K45" s="12"/>
      <c r="L45" s="12"/>
      <c r="M45" s="12"/>
      <c r="N45" s="12"/>
      <c r="O45" s="13"/>
      <c r="P45" s="13" t="s">
        <v>2671</v>
      </c>
      <c r="Q45" s="13"/>
      <c r="R45" s="13"/>
      <c r="S45" s="13" t="s">
        <v>2672</v>
      </c>
      <c r="T45" s="12" t="s">
        <v>94</v>
      </c>
      <c r="U45" s="12" t="s">
        <v>2669</v>
      </c>
    </row>
    <row r="46" customFormat="false" ht="31.5" hidden="false" customHeight="true" outlineLevel="0" collapsed="false">
      <c r="A46" s="12" t="n">
        <v>36</v>
      </c>
      <c r="B46" s="12" t="s">
        <v>2673</v>
      </c>
      <c r="C46" s="12" t="s">
        <v>2557</v>
      </c>
      <c r="D46" s="12" t="s">
        <v>169</v>
      </c>
      <c r="E46" s="12" t="s">
        <v>83</v>
      </c>
      <c r="F46" s="12" t="n">
        <v>0.15851</v>
      </c>
      <c r="G46" s="12"/>
      <c r="H46" s="12"/>
      <c r="I46" s="12"/>
      <c r="J46" s="12"/>
      <c r="K46" s="12" t="n">
        <v>50</v>
      </c>
      <c r="L46" s="12"/>
      <c r="M46" s="12" t="n">
        <v>265.55</v>
      </c>
      <c r="N46" s="12" t="n">
        <v>0.16787</v>
      </c>
      <c r="O46" s="13"/>
      <c r="P46" s="13" t="s">
        <v>2674</v>
      </c>
      <c r="Q46" s="13"/>
      <c r="R46" s="13"/>
      <c r="S46" s="13" t="s">
        <v>2675</v>
      </c>
      <c r="T46" s="12" t="s">
        <v>94</v>
      </c>
      <c r="U46" s="12" t="s">
        <v>2676</v>
      </c>
    </row>
    <row r="47" customFormat="false" ht="31.5" hidden="false" customHeight="true" outlineLevel="0" collapsed="false">
      <c r="A47" s="12" t="n">
        <v>36</v>
      </c>
      <c r="B47" s="12" t="s">
        <v>2673</v>
      </c>
      <c r="C47" s="12" t="s">
        <v>2557</v>
      </c>
      <c r="D47" s="12" t="s">
        <v>113</v>
      </c>
      <c r="E47" s="12" t="s">
        <v>83</v>
      </c>
      <c r="F47" s="12" t="n">
        <v>79764.4</v>
      </c>
      <c r="G47" s="12"/>
      <c r="H47" s="12"/>
      <c r="I47" s="12"/>
      <c r="J47" s="12"/>
      <c r="K47" s="12" t="n">
        <v>100</v>
      </c>
      <c r="L47" s="12"/>
      <c r="M47" s="12" t="n">
        <v>67.25</v>
      </c>
      <c r="N47" s="12" t="n">
        <v>80333.9</v>
      </c>
      <c r="O47" s="13"/>
      <c r="P47" s="13" t="s">
        <v>2677</v>
      </c>
      <c r="Q47" s="13"/>
      <c r="R47" s="13"/>
      <c r="S47" s="13" t="s">
        <v>2675</v>
      </c>
      <c r="T47" s="12" t="s">
        <v>94</v>
      </c>
      <c r="U47" s="12" t="s">
        <v>2676</v>
      </c>
    </row>
    <row r="48" customFormat="false" ht="31.5" hidden="false" customHeight="true" outlineLevel="0" collapsed="false">
      <c r="A48" s="12" t="n">
        <v>36</v>
      </c>
      <c r="B48" s="12" t="s">
        <v>2673</v>
      </c>
      <c r="C48" s="12" t="s">
        <v>2557</v>
      </c>
      <c r="D48" s="12" t="s">
        <v>182</v>
      </c>
      <c r="E48" s="12" t="s">
        <v>83</v>
      </c>
      <c r="F48" s="12" t="n">
        <v>0.06454</v>
      </c>
      <c r="G48" s="12"/>
      <c r="H48" s="12"/>
      <c r="I48" s="12"/>
      <c r="J48" s="12"/>
      <c r="K48" s="12" t="n">
        <v>20</v>
      </c>
      <c r="L48" s="12"/>
      <c r="M48" s="12" t="n">
        <v>49.35</v>
      </c>
      <c r="N48" s="12" t="n">
        <v>0.06615</v>
      </c>
      <c r="O48" s="13"/>
      <c r="P48" s="13" t="s">
        <v>2678</v>
      </c>
      <c r="Q48" s="13"/>
      <c r="R48" s="13"/>
      <c r="S48" s="13" t="s">
        <v>2675</v>
      </c>
      <c r="T48" s="12" t="s">
        <v>94</v>
      </c>
      <c r="U48" s="12" t="s">
        <v>2676</v>
      </c>
    </row>
    <row r="49" customFormat="false" ht="31.5" hidden="false" customHeight="true" outlineLevel="0" collapsed="false">
      <c r="A49" s="12" t="n">
        <v>36</v>
      </c>
      <c r="B49" s="12" t="s">
        <v>2673</v>
      </c>
      <c r="C49" s="12" t="s">
        <v>2557</v>
      </c>
      <c r="D49" s="12" t="s">
        <v>196</v>
      </c>
      <c r="E49" s="12" t="s">
        <v>83</v>
      </c>
      <c r="F49" s="12" t="n">
        <v>0.3545</v>
      </c>
      <c r="G49" s="12"/>
      <c r="H49" s="12"/>
      <c r="I49" s="12"/>
      <c r="J49" s="12"/>
      <c r="K49" s="12" t="n">
        <v>25</v>
      </c>
      <c r="L49" s="12"/>
      <c r="M49" s="12" t="n">
        <v>118.67</v>
      </c>
      <c r="N49" s="12" t="n">
        <v>0.3727</v>
      </c>
      <c r="O49" s="13"/>
      <c r="P49" s="13" t="s">
        <v>2679</v>
      </c>
      <c r="Q49" s="13"/>
      <c r="R49" s="13"/>
      <c r="S49" s="13" t="s">
        <v>2675</v>
      </c>
      <c r="T49" s="12" t="s">
        <v>94</v>
      </c>
      <c r="U49" s="12" t="s">
        <v>2676</v>
      </c>
    </row>
    <row r="50" customFormat="false" ht="31.5" hidden="false" customHeight="true" outlineLevel="0" collapsed="false">
      <c r="A50" s="12" t="n">
        <v>36</v>
      </c>
      <c r="B50" s="12" t="s">
        <v>2673</v>
      </c>
      <c r="C50" s="12" t="s">
        <v>2557</v>
      </c>
      <c r="D50" s="12" t="s">
        <v>82</v>
      </c>
      <c r="E50" s="12" t="s">
        <v>83</v>
      </c>
      <c r="F50" s="12" t="n">
        <v>3.458</v>
      </c>
      <c r="G50" s="12"/>
      <c r="H50" s="12"/>
      <c r="I50" s="12"/>
      <c r="J50" s="12"/>
      <c r="K50" s="12" t="n">
        <v>50</v>
      </c>
      <c r="L50" s="12"/>
      <c r="M50" s="12" t="n">
        <v>101.21</v>
      </c>
      <c r="N50" s="12" t="n">
        <v>3.528</v>
      </c>
      <c r="O50" s="13"/>
      <c r="P50" s="13" t="s">
        <v>2680</v>
      </c>
      <c r="Q50" s="13"/>
      <c r="R50" s="13"/>
      <c r="S50" s="13" t="s">
        <v>2675</v>
      </c>
      <c r="T50" s="12" t="s">
        <v>108</v>
      </c>
      <c r="U50" s="12" t="s">
        <v>2676</v>
      </c>
    </row>
    <row r="51" customFormat="false" ht="31.5" hidden="false" customHeight="true" outlineLevel="0" collapsed="false">
      <c r="A51" s="12" t="n">
        <v>36</v>
      </c>
      <c r="B51" s="12" t="s">
        <v>2673</v>
      </c>
      <c r="C51" s="12" t="s">
        <v>2557</v>
      </c>
      <c r="D51" s="12" t="s">
        <v>127</v>
      </c>
      <c r="E51" s="12" t="s">
        <v>83</v>
      </c>
      <c r="F51" s="12" t="n">
        <v>1.4744</v>
      </c>
      <c r="G51" s="12"/>
      <c r="H51" s="12"/>
      <c r="I51" s="12"/>
      <c r="J51" s="12"/>
      <c r="K51" s="12" t="n">
        <v>50</v>
      </c>
      <c r="L51" s="12"/>
      <c r="M51" s="12" t="n">
        <v>34.43</v>
      </c>
      <c r="N51" s="12" t="n">
        <v>1.4849</v>
      </c>
      <c r="O51" s="13"/>
      <c r="P51" s="13" t="s">
        <v>2681</v>
      </c>
      <c r="Q51" s="13"/>
      <c r="R51" s="13"/>
      <c r="S51" s="13" t="s">
        <v>2675</v>
      </c>
      <c r="T51" s="12" t="s">
        <v>94</v>
      </c>
      <c r="U51" s="12" t="s">
        <v>2676</v>
      </c>
    </row>
    <row r="52" customFormat="false" ht="31.5" hidden="false" customHeight="true" outlineLevel="0" collapsed="false">
      <c r="A52" s="12" t="n">
        <v>38</v>
      </c>
      <c r="B52" s="12" t="s">
        <v>208</v>
      </c>
      <c r="C52" s="12" t="s">
        <v>2630</v>
      </c>
      <c r="D52" s="12" t="s">
        <v>209</v>
      </c>
      <c r="E52" s="12" t="s">
        <v>83</v>
      </c>
      <c r="F52" s="12" t="n">
        <v>0.25328</v>
      </c>
      <c r="G52" s="12"/>
      <c r="H52" s="12"/>
      <c r="I52" s="12"/>
      <c r="J52" s="12" t="n">
        <v>100</v>
      </c>
      <c r="K52" s="12" t="n">
        <v>25</v>
      </c>
      <c r="L52" s="12"/>
      <c r="M52" s="12" t="n">
        <v>67.61</v>
      </c>
      <c r="N52" s="12" t="n">
        <v>0.26013</v>
      </c>
      <c r="O52" s="13"/>
      <c r="P52" s="13" t="s">
        <v>2682</v>
      </c>
      <c r="Q52" s="13"/>
      <c r="R52" s="13"/>
      <c r="S52" s="13" t="s">
        <v>2683</v>
      </c>
      <c r="T52" s="12" t="s">
        <v>94</v>
      </c>
      <c r="U52" s="12" t="s">
        <v>214</v>
      </c>
    </row>
    <row r="53" customFormat="false" ht="31.5" hidden="false" customHeight="true" outlineLevel="0" collapsed="false">
      <c r="A53" s="12" t="n">
        <v>39</v>
      </c>
      <c r="B53" s="12" t="s">
        <v>2684</v>
      </c>
      <c r="C53" s="12" t="s">
        <v>2506</v>
      </c>
      <c r="D53" s="12"/>
      <c r="E53" s="12"/>
      <c r="F53" s="12"/>
      <c r="G53" s="12"/>
      <c r="H53" s="12"/>
      <c r="I53" s="12"/>
      <c r="J53" s="12"/>
      <c r="K53" s="12"/>
      <c r="L53" s="12"/>
      <c r="M53" s="12"/>
      <c r="N53" s="12"/>
      <c r="O53" s="13" t="s">
        <v>2685</v>
      </c>
      <c r="P53" s="13" t="s">
        <v>2686</v>
      </c>
      <c r="Q53" s="13"/>
      <c r="R53" s="13"/>
      <c r="S53" s="13" t="s">
        <v>2687</v>
      </c>
      <c r="T53" s="12" t="s">
        <v>94</v>
      </c>
      <c r="U53" s="12" t="s">
        <v>2688</v>
      </c>
    </row>
    <row r="54" customFormat="false" ht="31.5" hidden="false" customHeight="true" outlineLevel="0" collapsed="false">
      <c r="A54" s="12" t="n">
        <v>39</v>
      </c>
      <c r="B54" s="12" t="s">
        <v>2684</v>
      </c>
      <c r="C54" s="12" t="s">
        <v>2588</v>
      </c>
      <c r="D54" s="12" t="s">
        <v>182</v>
      </c>
      <c r="E54" s="12" t="s">
        <v>83</v>
      </c>
      <c r="F54" s="12"/>
      <c r="G54" s="12"/>
      <c r="H54" s="12"/>
      <c r="I54" s="12"/>
      <c r="J54" s="12"/>
      <c r="K54" s="12"/>
      <c r="L54" s="12"/>
      <c r="M54" s="12"/>
      <c r="N54" s="12"/>
      <c r="O54" s="13"/>
      <c r="P54" s="13" t="s">
        <v>2689</v>
      </c>
      <c r="Q54" s="13"/>
      <c r="R54" s="13"/>
      <c r="S54" s="13" t="s">
        <v>2687</v>
      </c>
      <c r="T54" s="12" t="s">
        <v>312</v>
      </c>
      <c r="U54" s="12" t="s">
        <v>2688</v>
      </c>
    </row>
    <row r="55" customFormat="false" ht="31.5" hidden="false" customHeight="true" outlineLevel="0" collapsed="false">
      <c r="A55" s="12" t="n">
        <v>40</v>
      </c>
      <c r="B55" s="12" t="s">
        <v>160</v>
      </c>
      <c r="C55" s="12" t="s">
        <v>2630</v>
      </c>
      <c r="D55" s="12" t="s">
        <v>113</v>
      </c>
      <c r="E55" s="12" t="s">
        <v>83</v>
      </c>
      <c r="F55" s="12" t="n">
        <v>79764.4</v>
      </c>
      <c r="G55" s="12"/>
      <c r="H55" s="12"/>
      <c r="I55" s="12"/>
      <c r="J55" s="12" t="n">
        <v>100</v>
      </c>
      <c r="K55" s="12" t="n">
        <v>100</v>
      </c>
      <c r="L55" s="12"/>
      <c r="M55" s="12" t="n">
        <v>72.31</v>
      </c>
      <c r="N55" s="12" t="n">
        <v>80400</v>
      </c>
      <c r="O55" s="13"/>
      <c r="P55" s="13" t="s">
        <v>2690</v>
      </c>
      <c r="Q55" s="13"/>
      <c r="R55" s="13"/>
      <c r="S55" s="13" t="s">
        <v>2691</v>
      </c>
      <c r="T55" s="12" t="s">
        <v>94</v>
      </c>
      <c r="U55" s="12" t="s">
        <v>2692</v>
      </c>
    </row>
    <row r="56" customFormat="false" ht="31.5" hidden="false" customHeight="true" outlineLevel="0" collapsed="false">
      <c r="A56" s="12" t="n">
        <v>41</v>
      </c>
      <c r="B56" s="12" t="s">
        <v>2693</v>
      </c>
      <c r="C56" s="12" t="s">
        <v>2557</v>
      </c>
      <c r="D56" s="12" t="s">
        <v>113</v>
      </c>
      <c r="E56" s="12" t="s">
        <v>83</v>
      </c>
      <c r="F56" s="12" t="n">
        <v>79500</v>
      </c>
      <c r="G56" s="12"/>
      <c r="H56" s="12"/>
      <c r="I56" s="12"/>
      <c r="J56" s="12"/>
      <c r="K56" s="12"/>
      <c r="L56" s="12"/>
      <c r="M56" s="12"/>
      <c r="N56" s="12"/>
      <c r="O56" s="13"/>
      <c r="P56" s="13" t="s">
        <v>2694</v>
      </c>
      <c r="Q56" s="13"/>
      <c r="R56" s="13"/>
      <c r="S56" s="13" t="s">
        <v>2695</v>
      </c>
      <c r="T56" s="12" t="s">
        <v>94</v>
      </c>
      <c r="U56" s="12" t="s">
        <v>2696</v>
      </c>
    </row>
    <row r="57" customFormat="false" ht="31.5" hidden="false" customHeight="true" outlineLevel="0" collapsed="false">
      <c r="A57" s="12" t="n">
        <v>42</v>
      </c>
      <c r="B57" s="12" t="s">
        <v>2697</v>
      </c>
      <c r="C57" s="12" t="s">
        <v>2516</v>
      </c>
      <c r="D57" s="12" t="s">
        <v>113</v>
      </c>
      <c r="E57" s="12" t="s">
        <v>83</v>
      </c>
      <c r="F57" s="12" t="n">
        <v>80300</v>
      </c>
      <c r="G57" s="12"/>
      <c r="H57" s="12"/>
      <c r="I57" s="12" t="n">
        <v>79000</v>
      </c>
      <c r="J57" s="12"/>
      <c r="K57" s="12"/>
      <c r="L57" s="12"/>
      <c r="M57" s="12"/>
      <c r="N57" s="12"/>
      <c r="O57" s="13"/>
      <c r="P57" s="13" t="s">
        <v>2698</v>
      </c>
      <c r="Q57" s="13" t="s">
        <v>2699</v>
      </c>
      <c r="R57" s="13"/>
      <c r="S57" s="13" t="s">
        <v>2700</v>
      </c>
      <c r="T57" s="12" t="s">
        <v>94</v>
      </c>
      <c r="U57" s="12" t="s">
        <v>2701</v>
      </c>
    </row>
    <row r="58" customFormat="false" ht="31.5" hidden="false" customHeight="true" outlineLevel="0" collapsed="false">
      <c r="A58" s="12" t="n">
        <v>43</v>
      </c>
      <c r="B58" s="12" t="s">
        <v>2702</v>
      </c>
      <c r="C58" s="12" t="s">
        <v>2516</v>
      </c>
      <c r="D58" s="12" t="s">
        <v>113</v>
      </c>
      <c r="E58" s="12" t="s">
        <v>83</v>
      </c>
      <c r="F58" s="12" t="n">
        <v>79000</v>
      </c>
      <c r="G58" s="12" t="n">
        <v>78000</v>
      </c>
      <c r="H58" s="12"/>
      <c r="I58" s="12" t="n">
        <v>77000</v>
      </c>
      <c r="J58" s="12"/>
      <c r="K58" s="12"/>
      <c r="L58" s="12"/>
      <c r="M58" s="12"/>
      <c r="N58" s="12"/>
      <c r="O58" s="13" t="s">
        <v>2703</v>
      </c>
      <c r="P58" s="13" t="s">
        <v>2704</v>
      </c>
      <c r="Q58" s="13" t="s">
        <v>2705</v>
      </c>
      <c r="R58" s="13" t="s">
        <v>2706</v>
      </c>
      <c r="S58" s="13" t="s">
        <v>2707</v>
      </c>
      <c r="T58" s="12" t="s">
        <v>108</v>
      </c>
      <c r="U58" s="12" t="s">
        <v>2708</v>
      </c>
    </row>
    <row r="59" customFormat="false" ht="31.5" hidden="false" customHeight="true" outlineLevel="0" collapsed="false">
      <c r="A59" s="12" t="n">
        <v>44</v>
      </c>
      <c r="B59" s="12" t="s">
        <v>215</v>
      </c>
      <c r="C59" s="12" t="s">
        <v>2521</v>
      </c>
      <c r="D59" s="12" t="s">
        <v>216</v>
      </c>
      <c r="E59" s="12" t="s">
        <v>83</v>
      </c>
      <c r="F59" s="12" t="n">
        <v>0.0346</v>
      </c>
      <c r="G59" s="12"/>
      <c r="H59" s="12" t="s">
        <v>218</v>
      </c>
      <c r="I59" s="12" t="n">
        <v>0.03</v>
      </c>
      <c r="J59" s="12"/>
      <c r="K59" s="12"/>
      <c r="L59" s="12"/>
      <c r="M59" s="12"/>
      <c r="N59" s="12" t="n">
        <v>0.0346</v>
      </c>
      <c r="O59" s="13"/>
      <c r="P59" s="13" t="s">
        <v>2709</v>
      </c>
      <c r="Q59" s="13"/>
      <c r="R59" s="13"/>
      <c r="S59" s="13" t="s">
        <v>2710</v>
      </c>
      <c r="T59" s="12" t="s">
        <v>94</v>
      </c>
      <c r="U59" s="12" t="s">
        <v>228</v>
      </c>
    </row>
    <row r="60" customFormat="false" ht="31.5" hidden="false" customHeight="true" outlineLevel="0" collapsed="false">
      <c r="A60" s="12" t="n">
        <v>45</v>
      </c>
      <c r="B60" s="12" t="s">
        <v>229</v>
      </c>
      <c r="C60" s="12" t="s">
        <v>2521</v>
      </c>
      <c r="D60" s="12" t="s">
        <v>99</v>
      </c>
      <c r="E60" s="12" t="s">
        <v>83</v>
      </c>
      <c r="F60" s="12" t="n">
        <v>2310</v>
      </c>
      <c r="G60" s="12" t="n">
        <v>2290</v>
      </c>
      <c r="H60" s="12"/>
      <c r="I60" s="12" t="n">
        <v>2260</v>
      </c>
      <c r="J60" s="12"/>
      <c r="K60" s="12"/>
      <c r="L60" s="12"/>
      <c r="M60" s="12"/>
      <c r="N60" s="12" t="n">
        <v>2310</v>
      </c>
      <c r="O60" s="13" t="s">
        <v>233</v>
      </c>
      <c r="P60" s="13" t="s">
        <v>2711</v>
      </c>
      <c r="Q60" s="13"/>
      <c r="R60" s="13"/>
      <c r="S60" s="13" t="s">
        <v>2712</v>
      </c>
      <c r="T60" s="12" t="s">
        <v>94</v>
      </c>
      <c r="U60" s="12" t="s">
        <v>240</v>
      </c>
    </row>
    <row r="61" customFormat="false" ht="31.5" hidden="false" customHeight="true" outlineLevel="0" collapsed="false">
      <c r="A61" s="12" t="n">
        <v>46</v>
      </c>
      <c r="B61" s="12" t="s">
        <v>2713</v>
      </c>
      <c r="C61" s="12" t="s">
        <v>2670</v>
      </c>
      <c r="D61" s="12" t="s">
        <v>99</v>
      </c>
      <c r="E61" s="12" t="s">
        <v>83</v>
      </c>
      <c r="F61" s="12"/>
      <c r="G61" s="12"/>
      <c r="H61" s="12" t="s">
        <v>232</v>
      </c>
      <c r="I61" s="12"/>
      <c r="J61" s="12"/>
      <c r="K61" s="12"/>
      <c r="L61" s="12"/>
      <c r="M61" s="12"/>
      <c r="N61" s="12"/>
      <c r="O61" s="13"/>
      <c r="P61" s="13" t="s">
        <v>2714</v>
      </c>
      <c r="Q61" s="13"/>
      <c r="R61" s="13"/>
      <c r="S61" s="13" t="s">
        <v>2715</v>
      </c>
      <c r="T61" s="12" t="s">
        <v>108</v>
      </c>
      <c r="U61" s="12" t="s">
        <v>2716</v>
      </c>
    </row>
    <row r="62" customFormat="false" ht="31.5" hidden="false" customHeight="true" outlineLevel="0" collapsed="false">
      <c r="A62" s="12" t="n">
        <v>47</v>
      </c>
      <c r="B62" s="12" t="s">
        <v>2717</v>
      </c>
      <c r="C62" s="12" t="s">
        <v>2557</v>
      </c>
      <c r="D62" s="12"/>
      <c r="E62" s="12"/>
      <c r="F62" s="12"/>
      <c r="G62" s="12"/>
      <c r="H62" s="12"/>
      <c r="I62" s="12"/>
      <c r="J62" s="12"/>
      <c r="K62" s="12"/>
      <c r="L62" s="12"/>
      <c r="M62" s="12"/>
      <c r="N62" s="12"/>
      <c r="O62" s="13"/>
      <c r="P62" s="13" t="s">
        <v>2718</v>
      </c>
      <c r="Q62" s="13"/>
      <c r="R62" s="13"/>
      <c r="S62" s="13" t="s">
        <v>2719</v>
      </c>
      <c r="T62" s="12" t="s">
        <v>94</v>
      </c>
      <c r="U62" s="12" t="s">
        <v>2720</v>
      </c>
    </row>
    <row r="63" customFormat="false" ht="31.5" hidden="false" customHeight="true" outlineLevel="0" collapsed="false">
      <c r="A63" s="12" t="n">
        <v>48</v>
      </c>
      <c r="B63" s="12" t="s">
        <v>241</v>
      </c>
      <c r="C63" s="12" t="s">
        <v>2527</v>
      </c>
      <c r="D63" s="12" t="s">
        <v>242</v>
      </c>
      <c r="E63" s="12" t="s">
        <v>83</v>
      </c>
      <c r="F63" s="12"/>
      <c r="G63" s="12"/>
      <c r="H63" s="12"/>
      <c r="I63" s="12"/>
      <c r="J63" s="12"/>
      <c r="K63" s="12"/>
      <c r="L63" s="12"/>
      <c r="M63" s="12"/>
      <c r="N63" s="12"/>
      <c r="O63" s="13" t="s">
        <v>2721</v>
      </c>
      <c r="P63" s="13" t="s">
        <v>2722</v>
      </c>
      <c r="Q63" s="13"/>
      <c r="R63" s="13"/>
      <c r="S63" s="13" t="s">
        <v>2723</v>
      </c>
      <c r="T63" s="12" t="s">
        <v>94</v>
      </c>
      <c r="U63" s="12" t="s">
        <v>248</v>
      </c>
    </row>
    <row r="64" customFormat="false" ht="31.5" hidden="false" customHeight="true" outlineLevel="0" collapsed="false">
      <c r="A64" s="12" t="n">
        <v>49</v>
      </c>
      <c r="B64" s="12" t="s">
        <v>234</v>
      </c>
      <c r="C64" s="12" t="s">
        <v>2630</v>
      </c>
      <c r="D64" s="12" t="s">
        <v>99</v>
      </c>
      <c r="E64" s="12" t="s">
        <v>83</v>
      </c>
      <c r="F64" s="12" t="n">
        <v>2311.73</v>
      </c>
      <c r="G64" s="12"/>
      <c r="H64" s="12"/>
      <c r="I64" s="12"/>
      <c r="J64" s="12" t="n">
        <v>100</v>
      </c>
      <c r="K64" s="12" t="n">
        <v>100</v>
      </c>
      <c r="L64" s="12"/>
      <c r="M64" s="12" t="n">
        <v>124.58</v>
      </c>
      <c r="N64" s="12" t="n">
        <v>2340.53</v>
      </c>
      <c r="O64" s="13"/>
      <c r="P64" s="13" t="s">
        <v>2724</v>
      </c>
      <c r="Q64" s="13"/>
      <c r="R64" s="13" t="s">
        <v>1649</v>
      </c>
      <c r="S64" s="13" t="s">
        <v>2725</v>
      </c>
      <c r="T64" s="12" t="s">
        <v>94</v>
      </c>
      <c r="U64" s="12" t="s">
        <v>2726</v>
      </c>
    </row>
    <row r="65" customFormat="false" ht="31.5" hidden="false" customHeight="true" outlineLevel="0" collapsed="false">
      <c r="A65" s="12" t="n">
        <v>50</v>
      </c>
      <c r="B65" s="12" t="s">
        <v>2727</v>
      </c>
      <c r="C65" s="12" t="s">
        <v>2666</v>
      </c>
      <c r="D65" s="12" t="s">
        <v>99</v>
      </c>
      <c r="E65" s="12" t="s">
        <v>83</v>
      </c>
      <c r="F65" s="12"/>
      <c r="G65" s="12"/>
      <c r="H65" s="12" t="s">
        <v>232</v>
      </c>
      <c r="I65" s="12"/>
      <c r="J65" s="12"/>
      <c r="K65" s="12"/>
      <c r="L65" s="12"/>
      <c r="M65" s="12"/>
      <c r="N65" s="12" t="n">
        <v>2350</v>
      </c>
      <c r="O65" s="13"/>
      <c r="P65" s="13" t="s">
        <v>2728</v>
      </c>
      <c r="Q65" s="13"/>
      <c r="R65" s="13"/>
      <c r="S65" s="13" t="s">
        <v>2729</v>
      </c>
      <c r="T65" s="12" t="s">
        <v>108</v>
      </c>
      <c r="U65" s="12" t="s">
        <v>2730</v>
      </c>
    </row>
    <row r="66" customFormat="false" ht="31.5" hidden="false" customHeight="true" outlineLevel="0" collapsed="false">
      <c r="A66" s="12" t="n">
        <v>51</v>
      </c>
      <c r="B66" s="12" t="s">
        <v>2731</v>
      </c>
      <c r="C66" s="12" t="s">
        <v>2557</v>
      </c>
      <c r="D66" s="12" t="s">
        <v>216</v>
      </c>
      <c r="E66" s="12" t="s">
        <v>83</v>
      </c>
      <c r="F66" s="12"/>
      <c r="G66" s="12"/>
      <c r="H66" s="12"/>
      <c r="I66" s="12"/>
      <c r="J66" s="12"/>
      <c r="K66" s="12"/>
      <c r="L66" s="12"/>
      <c r="M66" s="12"/>
      <c r="N66" s="12"/>
      <c r="O66" s="13"/>
      <c r="P66" s="13" t="s">
        <v>2732</v>
      </c>
      <c r="Q66" s="13"/>
      <c r="R66" s="13"/>
      <c r="S66" s="13" t="s">
        <v>2733</v>
      </c>
      <c r="T66" s="12" t="s">
        <v>94</v>
      </c>
      <c r="U66" s="12" t="s">
        <v>2734</v>
      </c>
    </row>
    <row r="67" customFormat="false" ht="31.5" hidden="false" customHeight="true" outlineLevel="0" collapsed="false">
      <c r="A67" s="12" t="n">
        <v>52</v>
      </c>
      <c r="B67" s="12" t="s">
        <v>2735</v>
      </c>
      <c r="C67" s="12" t="s">
        <v>2581</v>
      </c>
      <c r="D67" s="12" t="s">
        <v>169</v>
      </c>
      <c r="E67" s="12" t="s">
        <v>83</v>
      </c>
      <c r="F67" s="12" t="n">
        <v>0.15851</v>
      </c>
      <c r="G67" s="12"/>
      <c r="H67" s="12"/>
      <c r="I67" s="12"/>
      <c r="J67" s="12"/>
      <c r="K67" s="12" t="n">
        <v>50</v>
      </c>
      <c r="L67" s="12"/>
      <c r="M67" s="12" t="n">
        <v>246.69</v>
      </c>
      <c r="N67" s="12" t="n">
        <v>0.16709</v>
      </c>
      <c r="O67" s="13"/>
      <c r="P67" s="13" t="s">
        <v>2736</v>
      </c>
      <c r="Q67" s="13"/>
      <c r="R67" s="13"/>
      <c r="S67" s="13" t="s">
        <v>2737</v>
      </c>
      <c r="T67" s="12" t="s">
        <v>108</v>
      </c>
      <c r="U67" s="12" t="s">
        <v>2738</v>
      </c>
    </row>
    <row r="68" customFormat="false" ht="31.5" hidden="false" customHeight="true" outlineLevel="0" collapsed="false">
      <c r="A68" s="12" t="n">
        <v>52</v>
      </c>
      <c r="B68" s="12" t="s">
        <v>2735</v>
      </c>
      <c r="C68" s="12" t="s">
        <v>2618</v>
      </c>
      <c r="D68" s="12" t="s">
        <v>169</v>
      </c>
      <c r="E68" s="12" t="s">
        <v>83</v>
      </c>
      <c r="F68" s="12"/>
      <c r="G68" s="12"/>
      <c r="H68" s="12" t="s">
        <v>173</v>
      </c>
      <c r="I68" s="12"/>
      <c r="J68" s="12" t="n">
        <v>100</v>
      </c>
      <c r="K68" s="12"/>
      <c r="L68" s="12"/>
      <c r="M68" s="12"/>
      <c r="N68" s="12"/>
      <c r="O68" s="13"/>
      <c r="P68" s="13" t="s">
        <v>2739</v>
      </c>
      <c r="Q68" s="13"/>
      <c r="R68" s="13"/>
      <c r="S68" s="13" t="s">
        <v>2737</v>
      </c>
      <c r="T68" s="12" t="s">
        <v>94</v>
      </c>
      <c r="U68" s="12" t="s">
        <v>2738</v>
      </c>
    </row>
    <row r="69" customFormat="false" ht="31.5" hidden="false" customHeight="true" outlineLevel="0" collapsed="false">
      <c r="A69" s="12" t="n">
        <v>53</v>
      </c>
      <c r="B69" s="12" t="s">
        <v>2740</v>
      </c>
      <c r="C69" s="12" t="s">
        <v>2516</v>
      </c>
      <c r="D69" s="12" t="s">
        <v>196</v>
      </c>
      <c r="E69" s="12" t="s">
        <v>83</v>
      </c>
      <c r="F69" s="12"/>
      <c r="G69" s="12"/>
      <c r="H69" s="12"/>
      <c r="I69" s="12"/>
      <c r="J69" s="12"/>
      <c r="K69" s="12"/>
      <c r="L69" s="12"/>
      <c r="M69" s="12"/>
      <c r="N69" s="12"/>
      <c r="O69" s="13"/>
      <c r="P69" s="13" t="s">
        <v>2741</v>
      </c>
      <c r="Q69" s="13"/>
      <c r="R69" s="13"/>
      <c r="S69" s="13" t="s">
        <v>2742</v>
      </c>
      <c r="T69" s="12" t="s">
        <v>94</v>
      </c>
      <c r="U69" s="12" t="s">
        <v>2743</v>
      </c>
    </row>
    <row r="70" customFormat="false" ht="31.5" hidden="false" customHeight="true" outlineLevel="0" collapsed="false">
      <c r="A70" s="12" t="n">
        <v>53</v>
      </c>
      <c r="B70" s="12" t="s">
        <v>2740</v>
      </c>
      <c r="C70" s="12" t="s">
        <v>2557</v>
      </c>
      <c r="D70" s="12" t="s">
        <v>127</v>
      </c>
      <c r="E70" s="12" t="s">
        <v>83</v>
      </c>
      <c r="F70" s="12"/>
      <c r="G70" s="12"/>
      <c r="H70" s="12" t="s">
        <v>131</v>
      </c>
      <c r="I70" s="12"/>
      <c r="J70" s="12"/>
      <c r="K70" s="12"/>
      <c r="L70" s="12"/>
      <c r="M70" s="12"/>
      <c r="N70" s="12"/>
      <c r="O70" s="13"/>
      <c r="P70" s="13" t="s">
        <v>2744</v>
      </c>
      <c r="Q70" s="13"/>
      <c r="R70" s="13"/>
      <c r="S70" s="13" t="s">
        <v>2745</v>
      </c>
      <c r="T70" s="12" t="s">
        <v>94</v>
      </c>
      <c r="U70" s="12" t="s">
        <v>2743</v>
      </c>
    </row>
    <row r="71" customFormat="false" ht="31.5" hidden="false" customHeight="true" outlineLevel="0" collapsed="false">
      <c r="A71" s="12" t="n">
        <v>54</v>
      </c>
      <c r="B71" s="12" t="s">
        <v>2746</v>
      </c>
      <c r="C71" s="12" t="s">
        <v>2581</v>
      </c>
      <c r="D71" s="12" t="s">
        <v>127</v>
      </c>
      <c r="E71" s="12" t="s">
        <v>83</v>
      </c>
      <c r="F71" s="12" t="n">
        <v>1.4744</v>
      </c>
      <c r="G71" s="12"/>
      <c r="H71" s="12" t="s">
        <v>133</v>
      </c>
      <c r="I71" s="12"/>
      <c r="J71" s="12" t="n">
        <v>25</v>
      </c>
      <c r="K71" s="12" t="n">
        <v>50</v>
      </c>
      <c r="L71" s="12"/>
      <c r="M71" s="12" t="n">
        <v>178.94</v>
      </c>
      <c r="N71" s="12" t="n">
        <v>1.53</v>
      </c>
      <c r="O71" s="13"/>
      <c r="P71" s="13" t="s">
        <v>2747</v>
      </c>
      <c r="Q71" s="13"/>
      <c r="R71" s="13"/>
      <c r="S71" s="13" t="s">
        <v>2748</v>
      </c>
      <c r="T71" s="12" t="s">
        <v>94</v>
      </c>
      <c r="U71" s="12" t="s">
        <v>2749</v>
      </c>
    </row>
    <row r="72" customFormat="false" ht="31.5" hidden="false" customHeight="true" outlineLevel="0" collapsed="false">
      <c r="A72" s="12" t="n">
        <v>55</v>
      </c>
      <c r="B72" s="12" t="s">
        <v>2750</v>
      </c>
      <c r="C72" s="12" t="s">
        <v>2511</v>
      </c>
      <c r="D72" s="12"/>
      <c r="E72" s="12"/>
      <c r="F72" s="12"/>
      <c r="G72" s="12"/>
      <c r="H72" s="12"/>
      <c r="I72" s="12"/>
      <c r="J72" s="12"/>
      <c r="K72" s="12"/>
      <c r="L72" s="12"/>
      <c r="M72" s="12"/>
      <c r="N72" s="12"/>
      <c r="O72" s="13"/>
      <c r="P72" s="13" t="s">
        <v>2751</v>
      </c>
      <c r="Q72" s="13"/>
      <c r="R72" s="13"/>
      <c r="S72" s="13" t="s">
        <v>2752</v>
      </c>
      <c r="T72" s="12" t="s">
        <v>94</v>
      </c>
      <c r="U72" s="12" t="s">
        <v>2753</v>
      </c>
    </row>
    <row r="73" customFormat="false" ht="31.5" hidden="false" customHeight="true" outlineLevel="0" collapsed="false">
      <c r="A73" s="12" t="n">
        <v>56</v>
      </c>
      <c r="B73" s="12" t="s">
        <v>201</v>
      </c>
      <c r="C73" s="12" t="s">
        <v>2630</v>
      </c>
      <c r="D73" s="12" t="s">
        <v>196</v>
      </c>
      <c r="E73" s="12" t="s">
        <v>83</v>
      </c>
      <c r="F73" s="12" t="n">
        <v>0.3545</v>
      </c>
      <c r="G73" s="12"/>
      <c r="H73" s="12"/>
      <c r="I73" s="12"/>
      <c r="J73" s="12" t="n">
        <v>100</v>
      </c>
      <c r="K73" s="12" t="n">
        <v>25</v>
      </c>
      <c r="L73" s="12"/>
      <c r="M73" s="12" t="n">
        <v>55.8</v>
      </c>
      <c r="N73" s="12" t="n">
        <v>0.3626</v>
      </c>
      <c r="O73" s="13"/>
      <c r="P73" s="13" t="s">
        <v>2754</v>
      </c>
      <c r="Q73" s="13"/>
      <c r="R73" s="13" t="s">
        <v>2755</v>
      </c>
      <c r="S73" s="13" t="s">
        <v>2756</v>
      </c>
      <c r="T73" s="12" t="s">
        <v>94</v>
      </c>
      <c r="U73" s="12" t="s">
        <v>2757</v>
      </c>
    </row>
    <row r="74" customFormat="false" ht="31.5" hidden="false" customHeight="true" outlineLevel="0" collapsed="false">
      <c r="A74" s="12" t="n">
        <v>57</v>
      </c>
      <c r="B74" s="12" t="s">
        <v>135</v>
      </c>
      <c r="C74" s="12" t="s">
        <v>128</v>
      </c>
      <c r="D74" s="12" t="s">
        <v>127</v>
      </c>
      <c r="E74" s="12" t="s">
        <v>83</v>
      </c>
      <c r="F74" s="12"/>
      <c r="G74" s="12"/>
      <c r="H74" s="12"/>
      <c r="I74" s="12"/>
      <c r="J74" s="12"/>
      <c r="K74" s="12"/>
      <c r="L74" s="12"/>
      <c r="M74" s="12"/>
      <c r="N74" s="12"/>
      <c r="O74" s="13"/>
      <c r="P74" s="13" t="s">
        <v>2758</v>
      </c>
      <c r="Q74" s="13"/>
      <c r="R74" s="13"/>
      <c r="S74" s="13" t="s">
        <v>2759</v>
      </c>
      <c r="T74" s="12" t="s">
        <v>94</v>
      </c>
      <c r="U74" s="12" t="s">
        <v>257</v>
      </c>
    </row>
    <row r="75" customFormat="false" ht="31.5" hidden="false" customHeight="true" outlineLevel="0" collapsed="false">
      <c r="A75" s="12" t="n">
        <v>57</v>
      </c>
      <c r="B75" s="12" t="s">
        <v>135</v>
      </c>
      <c r="C75" s="12" t="s">
        <v>2521</v>
      </c>
      <c r="D75" s="12" t="s">
        <v>127</v>
      </c>
      <c r="E75" s="12" t="s">
        <v>83</v>
      </c>
      <c r="F75" s="12" t="n">
        <v>1.486</v>
      </c>
      <c r="G75" s="12" t="n">
        <v>1.42</v>
      </c>
      <c r="H75" s="12" t="s">
        <v>133</v>
      </c>
      <c r="I75" s="12" t="n">
        <v>1.37</v>
      </c>
      <c r="J75" s="12"/>
      <c r="K75" s="12"/>
      <c r="L75" s="12"/>
      <c r="M75" s="12"/>
      <c r="N75" s="12"/>
      <c r="O75" s="13"/>
      <c r="P75" s="13" t="s">
        <v>2760</v>
      </c>
      <c r="Q75" s="13"/>
      <c r="R75" s="13"/>
      <c r="S75" s="13" t="s">
        <v>2761</v>
      </c>
      <c r="T75" s="12" t="s">
        <v>94</v>
      </c>
      <c r="U75" s="12" t="s">
        <v>257</v>
      </c>
    </row>
    <row r="76" customFormat="false" ht="31.5" hidden="false" customHeight="true" outlineLevel="0" collapsed="false">
      <c r="A76" s="12" t="n">
        <v>58</v>
      </c>
      <c r="B76" s="12" t="s">
        <v>2762</v>
      </c>
      <c r="C76" s="12" t="s">
        <v>2527</v>
      </c>
      <c r="D76" s="12" t="s">
        <v>113</v>
      </c>
      <c r="E76" s="12" t="s">
        <v>83</v>
      </c>
      <c r="F76" s="12"/>
      <c r="G76" s="12"/>
      <c r="H76" s="12"/>
      <c r="I76" s="12"/>
      <c r="J76" s="12"/>
      <c r="K76" s="12"/>
      <c r="L76" s="12"/>
      <c r="M76" s="12"/>
      <c r="N76" s="12"/>
      <c r="O76" s="13"/>
      <c r="P76" s="13" t="s">
        <v>2763</v>
      </c>
      <c r="Q76" s="13"/>
      <c r="R76" s="13" t="s">
        <v>2764</v>
      </c>
      <c r="S76" s="13" t="s">
        <v>2765</v>
      </c>
      <c r="T76" s="12" t="s">
        <v>108</v>
      </c>
      <c r="U76" s="12" t="s">
        <v>2766</v>
      </c>
    </row>
    <row r="77" customFormat="false" ht="31.5" hidden="false" customHeight="true" outlineLevel="0" collapsed="false">
      <c r="A77" s="12" t="n">
        <v>59</v>
      </c>
      <c r="B77" s="12" t="s">
        <v>258</v>
      </c>
      <c r="C77" s="12" t="s">
        <v>2521</v>
      </c>
      <c r="D77" s="12" t="s">
        <v>113</v>
      </c>
      <c r="E77" s="12" t="s">
        <v>259</v>
      </c>
      <c r="F77" s="12" t="n">
        <v>82300</v>
      </c>
      <c r="G77" s="12" t="n">
        <v>83000</v>
      </c>
      <c r="H77" s="12"/>
      <c r="I77" s="12" t="n">
        <v>83650</v>
      </c>
      <c r="J77" s="12"/>
      <c r="K77" s="12"/>
      <c r="L77" s="12"/>
      <c r="M77" s="12"/>
      <c r="N77" s="12" t="n">
        <v>82300</v>
      </c>
      <c r="O77" s="13"/>
      <c r="P77" s="13" t="s">
        <v>2767</v>
      </c>
      <c r="Q77" s="13"/>
      <c r="R77" s="13"/>
      <c r="S77" s="13" t="s">
        <v>2768</v>
      </c>
      <c r="T77" s="12" t="s">
        <v>94</v>
      </c>
      <c r="U77" s="12" t="s">
        <v>269</v>
      </c>
    </row>
    <row r="78" customFormat="false" ht="31.5" hidden="false" customHeight="true" outlineLevel="0" collapsed="false">
      <c r="A78" s="12" t="n">
        <v>60</v>
      </c>
      <c r="B78" s="12" t="s">
        <v>2769</v>
      </c>
      <c r="C78" s="12" t="s">
        <v>2670</v>
      </c>
      <c r="D78" s="12" t="s">
        <v>113</v>
      </c>
      <c r="E78" s="12" t="s">
        <v>259</v>
      </c>
      <c r="F78" s="12"/>
      <c r="G78" s="12"/>
      <c r="H78" s="12" t="s">
        <v>262</v>
      </c>
      <c r="I78" s="12"/>
      <c r="J78" s="12"/>
      <c r="K78" s="12"/>
      <c r="L78" s="12"/>
      <c r="M78" s="12"/>
      <c r="N78" s="12"/>
      <c r="O78" s="13"/>
      <c r="P78" s="13" t="s">
        <v>2770</v>
      </c>
      <c r="Q78" s="13"/>
      <c r="R78" s="13"/>
      <c r="S78" s="13" t="s">
        <v>2771</v>
      </c>
      <c r="T78" s="12" t="s">
        <v>108</v>
      </c>
      <c r="U78" s="12" t="s">
        <v>2772</v>
      </c>
    </row>
    <row r="79" customFormat="false" ht="31.5" hidden="false" customHeight="true" outlineLevel="0" collapsed="false">
      <c r="A79" s="12" t="n">
        <v>61</v>
      </c>
      <c r="B79" s="12" t="s">
        <v>263</v>
      </c>
      <c r="C79" s="12" t="s">
        <v>2630</v>
      </c>
      <c r="D79" s="12" t="s">
        <v>113</v>
      </c>
      <c r="E79" s="12" t="s">
        <v>259</v>
      </c>
      <c r="F79" s="12" t="n">
        <v>82202.8</v>
      </c>
      <c r="G79" s="12"/>
      <c r="H79" s="12"/>
      <c r="I79" s="12"/>
      <c r="J79" s="12" t="n">
        <v>100</v>
      </c>
      <c r="K79" s="12" t="n">
        <v>100</v>
      </c>
      <c r="L79" s="12"/>
      <c r="M79" s="12" t="n">
        <v>109.47</v>
      </c>
      <c r="N79" s="12" t="n">
        <v>81302.9</v>
      </c>
      <c r="O79" s="13"/>
      <c r="P79" s="13" t="s">
        <v>2773</v>
      </c>
      <c r="Q79" s="13"/>
      <c r="R79" s="13"/>
      <c r="S79" s="13" t="s">
        <v>2774</v>
      </c>
      <c r="T79" s="12" t="s">
        <v>94</v>
      </c>
      <c r="U79" s="12" t="s">
        <v>2775</v>
      </c>
    </row>
    <row r="80" customFormat="false" ht="31.5" hidden="false" customHeight="true" outlineLevel="0" collapsed="false">
      <c r="A80" s="12" t="n">
        <v>62</v>
      </c>
      <c r="B80" s="12" t="s">
        <v>2776</v>
      </c>
      <c r="C80" s="12" t="s">
        <v>2516</v>
      </c>
      <c r="D80" s="12" t="s">
        <v>113</v>
      </c>
      <c r="E80" s="12" t="s">
        <v>83</v>
      </c>
      <c r="F80" s="12" t="n">
        <v>80000</v>
      </c>
      <c r="G80" s="12"/>
      <c r="H80" s="12"/>
      <c r="I80" s="12"/>
      <c r="J80" s="12"/>
      <c r="K80" s="12"/>
      <c r="L80" s="12"/>
      <c r="M80" s="12"/>
      <c r="N80" s="12"/>
      <c r="O80" s="13"/>
      <c r="P80" s="13" t="s">
        <v>2777</v>
      </c>
      <c r="Q80" s="13"/>
      <c r="R80" s="13"/>
      <c r="S80" s="13" t="s">
        <v>2778</v>
      </c>
      <c r="T80" s="12" t="s">
        <v>108</v>
      </c>
      <c r="U80" s="12" t="s">
        <v>281</v>
      </c>
    </row>
    <row r="81" customFormat="false" ht="31.5" hidden="false" customHeight="true" outlineLevel="0" collapsed="false">
      <c r="A81" s="12" t="n">
        <v>64</v>
      </c>
      <c r="B81" s="12" t="s">
        <v>2779</v>
      </c>
      <c r="C81" s="12" t="s">
        <v>2511</v>
      </c>
      <c r="D81" s="12"/>
      <c r="E81" s="12"/>
      <c r="F81" s="12"/>
      <c r="G81" s="12"/>
      <c r="H81" s="12"/>
      <c r="I81" s="12"/>
      <c r="J81" s="12"/>
      <c r="K81" s="12"/>
      <c r="L81" s="12"/>
      <c r="M81" s="12"/>
      <c r="N81" s="12"/>
      <c r="O81" s="13"/>
      <c r="P81" s="13" t="s">
        <v>2780</v>
      </c>
      <c r="Q81" s="13"/>
      <c r="R81" s="13"/>
      <c r="S81" s="13" t="s">
        <v>2781</v>
      </c>
      <c r="T81" s="12" t="s">
        <v>94</v>
      </c>
      <c r="U81" s="12" t="s">
        <v>2782</v>
      </c>
    </row>
    <row r="82" customFormat="false" ht="31.5" hidden="false" customHeight="true" outlineLevel="0" collapsed="false">
      <c r="A82" s="12" t="n">
        <v>65</v>
      </c>
      <c r="B82" s="12" t="s">
        <v>2783</v>
      </c>
      <c r="C82" s="12" t="s">
        <v>2511</v>
      </c>
      <c r="D82" s="12"/>
      <c r="E82" s="12"/>
      <c r="F82" s="12"/>
      <c r="G82" s="12"/>
      <c r="H82" s="12"/>
      <c r="I82" s="12"/>
      <c r="J82" s="12"/>
      <c r="K82" s="12"/>
      <c r="L82" s="12"/>
      <c r="M82" s="12"/>
      <c r="N82" s="12"/>
      <c r="O82" s="13"/>
      <c r="P82" s="13" t="s">
        <v>2784</v>
      </c>
      <c r="Q82" s="13"/>
      <c r="R82" s="13"/>
      <c r="S82" s="13" t="s">
        <v>2785</v>
      </c>
      <c r="T82" s="12" t="s">
        <v>94</v>
      </c>
      <c r="U82" s="12" t="s">
        <v>2786</v>
      </c>
    </row>
    <row r="83" customFormat="false" ht="31.5" hidden="false" customHeight="true" outlineLevel="0" collapsed="false">
      <c r="A83" s="12" t="n">
        <v>66</v>
      </c>
      <c r="B83" s="12" t="s">
        <v>2787</v>
      </c>
      <c r="C83" s="12" t="s">
        <v>2502</v>
      </c>
      <c r="D83" s="12"/>
      <c r="E83" s="12"/>
      <c r="F83" s="12"/>
      <c r="G83" s="12"/>
      <c r="H83" s="12"/>
      <c r="I83" s="12"/>
      <c r="J83" s="12"/>
      <c r="K83" s="12"/>
      <c r="L83" s="12"/>
      <c r="M83" s="12"/>
      <c r="N83" s="12"/>
      <c r="O83" s="13"/>
      <c r="P83" s="13" t="s">
        <v>2788</v>
      </c>
      <c r="Q83" s="13"/>
      <c r="R83" s="13"/>
      <c r="S83" s="13" t="s">
        <v>2789</v>
      </c>
      <c r="T83" s="12" t="s">
        <v>94</v>
      </c>
      <c r="U83" s="12" t="s">
        <v>2790</v>
      </c>
    </row>
    <row r="84" customFormat="false" ht="31.5" hidden="false" customHeight="true" outlineLevel="0" collapsed="false">
      <c r="A84" s="12" t="n">
        <v>67</v>
      </c>
      <c r="B84" s="12" t="s">
        <v>2791</v>
      </c>
      <c r="C84" s="12" t="s">
        <v>2581</v>
      </c>
      <c r="D84" s="12" t="s">
        <v>127</v>
      </c>
      <c r="E84" s="12" t="s">
        <v>83</v>
      </c>
      <c r="F84" s="12" t="n">
        <v>1.4772</v>
      </c>
      <c r="G84" s="12"/>
      <c r="H84" s="12"/>
      <c r="I84" s="12"/>
      <c r="J84" s="12" t="n">
        <v>20</v>
      </c>
      <c r="K84" s="12" t="n">
        <v>50</v>
      </c>
      <c r="L84" s="12"/>
      <c r="M84" s="12" t="n">
        <v>189.93</v>
      </c>
      <c r="N84" s="12" t="n">
        <v>1.5369</v>
      </c>
      <c r="O84" s="13"/>
      <c r="P84" s="13" t="s">
        <v>2792</v>
      </c>
      <c r="Q84" s="13"/>
      <c r="R84" s="13"/>
      <c r="S84" s="13" t="s">
        <v>2793</v>
      </c>
      <c r="T84" s="12" t="s">
        <v>94</v>
      </c>
      <c r="U84" s="12" t="s">
        <v>2794</v>
      </c>
    </row>
    <row r="85" customFormat="false" ht="31.5" hidden="false" customHeight="true" outlineLevel="0" collapsed="false">
      <c r="A85" s="12" t="n">
        <v>68</v>
      </c>
      <c r="B85" s="12" t="s">
        <v>270</v>
      </c>
      <c r="C85" s="12" t="s">
        <v>2549</v>
      </c>
      <c r="D85" s="12" t="s">
        <v>113</v>
      </c>
      <c r="E85" s="12" t="s">
        <v>83</v>
      </c>
      <c r="F85" s="12" t="n">
        <v>80600</v>
      </c>
      <c r="G85" s="12"/>
      <c r="H85" s="12"/>
      <c r="I85" s="12" t="n">
        <v>79500</v>
      </c>
      <c r="J85" s="12"/>
      <c r="K85" s="12" t="n">
        <v>150</v>
      </c>
      <c r="L85" s="12"/>
      <c r="M85" s="12" t="n">
        <v>51.78</v>
      </c>
      <c r="N85" s="12"/>
      <c r="O85" s="13"/>
      <c r="P85" s="13" t="s">
        <v>2795</v>
      </c>
      <c r="Q85" s="13"/>
      <c r="R85" s="13"/>
      <c r="S85" s="13" t="s">
        <v>2796</v>
      </c>
      <c r="T85" s="12" t="s">
        <v>94</v>
      </c>
      <c r="U85" s="12" t="s">
        <v>2797</v>
      </c>
    </row>
    <row r="86" customFormat="false" ht="31.5" hidden="false" customHeight="true" outlineLevel="0" collapsed="false">
      <c r="A86" s="12" t="n">
        <v>69</v>
      </c>
      <c r="B86" s="12" t="s">
        <v>2798</v>
      </c>
      <c r="C86" s="12" t="s">
        <v>2527</v>
      </c>
      <c r="D86" s="12" t="s">
        <v>113</v>
      </c>
      <c r="E86" s="12" t="s">
        <v>83</v>
      </c>
      <c r="F86" s="12"/>
      <c r="G86" s="12"/>
      <c r="H86" s="12"/>
      <c r="I86" s="12"/>
      <c r="J86" s="12"/>
      <c r="K86" s="12"/>
      <c r="L86" s="12"/>
      <c r="M86" s="12"/>
      <c r="N86" s="12"/>
      <c r="O86" s="13"/>
      <c r="P86" s="13" t="s">
        <v>2799</v>
      </c>
      <c r="Q86" s="13" t="s">
        <v>121</v>
      </c>
      <c r="R86" s="13" t="s">
        <v>2800</v>
      </c>
      <c r="S86" s="13" t="s">
        <v>2801</v>
      </c>
      <c r="T86" s="12" t="s">
        <v>108</v>
      </c>
      <c r="U86" s="12" t="s">
        <v>2802</v>
      </c>
    </row>
    <row r="87" customFormat="false" ht="31.5" hidden="false" customHeight="true" outlineLevel="0" collapsed="false">
      <c r="A87" s="12" t="n">
        <v>70</v>
      </c>
      <c r="B87" s="12" t="s">
        <v>2803</v>
      </c>
      <c r="C87" s="12" t="s">
        <v>2521</v>
      </c>
      <c r="D87" s="12" t="s">
        <v>113</v>
      </c>
      <c r="E87" s="12" t="s">
        <v>83</v>
      </c>
      <c r="F87" s="12" t="n">
        <v>80900</v>
      </c>
      <c r="G87" s="12"/>
      <c r="H87" s="12"/>
      <c r="I87" s="12" t="n">
        <v>79500</v>
      </c>
      <c r="J87" s="12"/>
      <c r="K87" s="12"/>
      <c r="L87" s="12"/>
      <c r="M87" s="12"/>
      <c r="N87" s="12" t="n">
        <v>80900</v>
      </c>
      <c r="O87" s="13" t="s">
        <v>2804</v>
      </c>
      <c r="P87" s="13" t="s">
        <v>2805</v>
      </c>
      <c r="Q87" s="13"/>
      <c r="R87" s="13"/>
      <c r="S87" s="13" t="s">
        <v>2806</v>
      </c>
      <c r="T87" s="12" t="s">
        <v>94</v>
      </c>
      <c r="U87" s="12" t="s">
        <v>2807</v>
      </c>
    </row>
    <row r="88" customFormat="false" ht="31.5" hidden="false" customHeight="true" outlineLevel="0" collapsed="false">
      <c r="A88" s="12" t="n">
        <v>71</v>
      </c>
      <c r="B88" s="12" t="s">
        <v>2808</v>
      </c>
      <c r="C88" s="12" t="s">
        <v>2809</v>
      </c>
      <c r="D88" s="12" t="s">
        <v>113</v>
      </c>
      <c r="E88" s="12" t="s">
        <v>83</v>
      </c>
      <c r="F88" s="12"/>
      <c r="G88" s="12"/>
      <c r="H88" s="12"/>
      <c r="I88" s="12" t="n">
        <v>79750</v>
      </c>
      <c r="J88" s="12"/>
      <c r="K88" s="12"/>
      <c r="L88" s="12"/>
      <c r="M88" s="12"/>
      <c r="N88" s="12"/>
      <c r="O88" s="13" t="s">
        <v>2810</v>
      </c>
      <c r="P88" s="13" t="s">
        <v>2811</v>
      </c>
      <c r="Q88" s="13"/>
      <c r="R88" s="13"/>
      <c r="S88" s="13" t="s">
        <v>2812</v>
      </c>
      <c r="T88" s="12" t="s">
        <v>94</v>
      </c>
      <c r="U88" s="12" t="s">
        <v>2813</v>
      </c>
    </row>
    <row r="89" customFormat="false" ht="31.5" hidden="false" customHeight="true" outlineLevel="0" collapsed="false">
      <c r="A89" s="12" t="n">
        <v>72</v>
      </c>
      <c r="B89" s="12" t="s">
        <v>252</v>
      </c>
      <c r="C89" s="12" t="s">
        <v>2666</v>
      </c>
      <c r="D89" s="12" t="s">
        <v>127</v>
      </c>
      <c r="E89" s="12" t="s">
        <v>83</v>
      </c>
      <c r="F89" s="12" t="n">
        <v>1.4772</v>
      </c>
      <c r="G89" s="12"/>
      <c r="H89" s="12" t="s">
        <v>133</v>
      </c>
      <c r="I89" s="12"/>
      <c r="J89" s="12"/>
      <c r="K89" s="12" t="n">
        <v>50</v>
      </c>
      <c r="L89" s="12"/>
      <c r="M89" s="12" t="n">
        <v>215.72</v>
      </c>
      <c r="N89" s="12" t="n">
        <v>1.5457</v>
      </c>
      <c r="O89" s="13"/>
      <c r="P89" s="13" t="s">
        <v>2814</v>
      </c>
      <c r="Q89" s="13"/>
      <c r="R89" s="13"/>
      <c r="S89" s="13" t="s">
        <v>2815</v>
      </c>
      <c r="T89" s="12" t="s">
        <v>94</v>
      </c>
      <c r="U89" s="12" t="s">
        <v>2816</v>
      </c>
    </row>
    <row r="90" customFormat="false" ht="31.5" hidden="false" customHeight="true" outlineLevel="0" collapsed="false">
      <c r="A90" s="12" t="n">
        <v>73</v>
      </c>
      <c r="B90" s="12" t="s">
        <v>2817</v>
      </c>
      <c r="C90" s="12" t="s">
        <v>2557</v>
      </c>
      <c r="D90" s="12" t="s">
        <v>127</v>
      </c>
      <c r="E90" s="12" t="s">
        <v>83</v>
      </c>
      <c r="F90" s="12"/>
      <c r="G90" s="12"/>
      <c r="H90" s="12"/>
      <c r="I90" s="12"/>
      <c r="J90" s="12"/>
      <c r="K90" s="12"/>
      <c r="L90" s="12"/>
      <c r="M90" s="12"/>
      <c r="N90" s="12"/>
      <c r="O90" s="13"/>
      <c r="P90" s="13" t="s">
        <v>2818</v>
      </c>
      <c r="Q90" s="13"/>
      <c r="R90" s="13"/>
      <c r="S90" s="13" t="s">
        <v>2819</v>
      </c>
      <c r="T90" s="12" t="s">
        <v>108</v>
      </c>
      <c r="U90" s="12" t="s">
        <v>2820</v>
      </c>
    </row>
    <row r="91" customFormat="false" ht="31.5" hidden="false" customHeight="true" outlineLevel="0" collapsed="false">
      <c r="A91" s="12" t="n">
        <v>74</v>
      </c>
      <c r="B91" s="12" t="s">
        <v>2821</v>
      </c>
      <c r="C91" s="12" t="s">
        <v>2670</v>
      </c>
      <c r="D91" s="12" t="s">
        <v>113</v>
      </c>
      <c r="E91" s="12" t="s">
        <v>83</v>
      </c>
      <c r="F91" s="12"/>
      <c r="G91" s="12"/>
      <c r="H91" s="12" t="s">
        <v>272</v>
      </c>
      <c r="I91" s="12"/>
      <c r="J91" s="12"/>
      <c r="K91" s="12"/>
      <c r="L91" s="12"/>
      <c r="M91" s="12"/>
      <c r="N91" s="12"/>
      <c r="O91" s="13"/>
      <c r="P91" s="13" t="s">
        <v>2822</v>
      </c>
      <c r="Q91" s="13"/>
      <c r="R91" s="13"/>
      <c r="S91" s="13" t="s">
        <v>2823</v>
      </c>
      <c r="T91" s="12" t="s">
        <v>94</v>
      </c>
      <c r="U91" s="12" t="s">
        <v>2824</v>
      </c>
    </row>
    <row r="92" customFormat="false" ht="31.5" hidden="false" customHeight="true" outlineLevel="0" collapsed="false">
      <c r="A92" s="12" t="n">
        <v>75</v>
      </c>
      <c r="B92" s="12" t="s">
        <v>275</v>
      </c>
      <c r="C92" s="12" t="s">
        <v>2630</v>
      </c>
      <c r="D92" s="12" t="s">
        <v>113</v>
      </c>
      <c r="E92" s="12" t="s">
        <v>83</v>
      </c>
      <c r="F92" s="12"/>
      <c r="G92" s="12"/>
      <c r="H92" s="12"/>
      <c r="I92" s="12"/>
      <c r="J92" s="12" t="n">
        <v>100</v>
      </c>
      <c r="K92" s="12"/>
      <c r="L92" s="12"/>
      <c r="M92" s="12"/>
      <c r="N92" s="12"/>
      <c r="O92" s="13"/>
      <c r="P92" s="13" t="s">
        <v>2825</v>
      </c>
      <c r="Q92" s="13"/>
      <c r="R92" s="13"/>
      <c r="S92" s="13" t="s">
        <v>2826</v>
      </c>
      <c r="T92" s="12" t="s">
        <v>94</v>
      </c>
      <c r="U92" s="12" t="s">
        <v>2827</v>
      </c>
    </row>
    <row r="93" customFormat="false" ht="31.5" hidden="false" customHeight="true" outlineLevel="0" collapsed="false">
      <c r="A93" s="12" t="n">
        <v>76</v>
      </c>
      <c r="B93" s="12" t="s">
        <v>2828</v>
      </c>
      <c r="C93" s="12" t="s">
        <v>2557</v>
      </c>
      <c r="D93" s="12" t="s">
        <v>113</v>
      </c>
      <c r="E93" s="12" t="s">
        <v>83</v>
      </c>
      <c r="F93" s="12" t="n">
        <v>80914.2</v>
      </c>
      <c r="G93" s="12"/>
      <c r="H93" s="12"/>
      <c r="I93" s="12"/>
      <c r="J93" s="12"/>
      <c r="K93" s="12" t="n">
        <v>100</v>
      </c>
      <c r="L93" s="12"/>
      <c r="M93" s="12" t="n">
        <v>109.31</v>
      </c>
      <c r="N93" s="12" t="n">
        <v>81798.7</v>
      </c>
      <c r="O93" s="13"/>
      <c r="P93" s="13" t="s">
        <v>2829</v>
      </c>
      <c r="Q93" s="13"/>
      <c r="R93" s="13"/>
      <c r="S93" s="13" t="s">
        <v>2830</v>
      </c>
      <c r="T93" s="12" t="s">
        <v>94</v>
      </c>
      <c r="U93" s="12" t="s">
        <v>2831</v>
      </c>
    </row>
    <row r="94" customFormat="false" ht="31.5" hidden="false" customHeight="true" outlineLevel="0" collapsed="false">
      <c r="A94" s="12" t="n">
        <v>77</v>
      </c>
      <c r="B94" s="12" t="s">
        <v>2832</v>
      </c>
      <c r="C94" s="12" t="s">
        <v>2511</v>
      </c>
      <c r="D94" s="12"/>
      <c r="E94" s="12"/>
      <c r="F94" s="12"/>
      <c r="G94" s="12"/>
      <c r="H94" s="12"/>
      <c r="I94" s="12"/>
      <c r="J94" s="12"/>
      <c r="K94" s="12"/>
      <c r="L94" s="12"/>
      <c r="M94" s="12"/>
      <c r="N94" s="12"/>
      <c r="O94" s="13"/>
      <c r="P94" s="13" t="s">
        <v>2833</v>
      </c>
      <c r="Q94" s="13"/>
      <c r="R94" s="13"/>
      <c r="S94" s="13" t="s">
        <v>2834</v>
      </c>
      <c r="T94" s="12" t="s">
        <v>94</v>
      </c>
      <c r="U94" s="12" t="s">
        <v>2835</v>
      </c>
    </row>
    <row r="95" customFormat="false" ht="31.5" hidden="false" customHeight="true" outlineLevel="0" collapsed="false">
      <c r="A95" s="12" t="n">
        <v>78</v>
      </c>
      <c r="B95" s="12" t="s">
        <v>2836</v>
      </c>
      <c r="C95" s="12" t="s">
        <v>2511</v>
      </c>
      <c r="D95" s="12"/>
      <c r="E95" s="12"/>
      <c r="F95" s="12"/>
      <c r="G95" s="12"/>
      <c r="H95" s="12"/>
      <c r="I95" s="12"/>
      <c r="J95" s="12"/>
      <c r="K95" s="12"/>
      <c r="L95" s="12"/>
      <c r="M95" s="12"/>
      <c r="N95" s="12"/>
      <c r="O95" s="13"/>
      <c r="P95" s="13" t="s">
        <v>2837</v>
      </c>
      <c r="Q95" s="13"/>
      <c r="R95" s="13"/>
      <c r="S95" s="13" t="s">
        <v>2838</v>
      </c>
      <c r="T95" s="12" t="s">
        <v>94</v>
      </c>
      <c r="U95" s="12" t="s">
        <v>2839</v>
      </c>
    </row>
    <row r="96" customFormat="false" ht="31.5" hidden="false" customHeight="true" outlineLevel="0" collapsed="false">
      <c r="A96" s="12" t="n">
        <v>79</v>
      </c>
      <c r="B96" s="12" t="s">
        <v>282</v>
      </c>
      <c r="C96" s="12" t="s">
        <v>2521</v>
      </c>
      <c r="D96" s="12" t="s">
        <v>113</v>
      </c>
      <c r="E96" s="12" t="s">
        <v>83</v>
      </c>
      <c r="F96" s="12" t="n">
        <v>81300</v>
      </c>
      <c r="G96" s="12" t="n">
        <v>80700</v>
      </c>
      <c r="H96" s="12"/>
      <c r="I96" s="12" t="n">
        <v>79500</v>
      </c>
      <c r="J96" s="12"/>
      <c r="K96" s="12"/>
      <c r="L96" s="12"/>
      <c r="M96" s="12"/>
      <c r="N96" s="12"/>
      <c r="O96" s="13" t="s">
        <v>2840</v>
      </c>
      <c r="P96" s="13" t="s">
        <v>2841</v>
      </c>
      <c r="Q96" s="13"/>
      <c r="R96" s="13"/>
      <c r="S96" s="13" t="s">
        <v>2842</v>
      </c>
      <c r="T96" s="12" t="s">
        <v>94</v>
      </c>
      <c r="U96" s="12" t="s">
        <v>294</v>
      </c>
    </row>
    <row r="97" customFormat="false" ht="31.5" hidden="false" customHeight="true" outlineLevel="0" collapsed="false">
      <c r="A97" s="12" t="n">
        <v>80</v>
      </c>
      <c r="B97" s="12" t="s">
        <v>2843</v>
      </c>
      <c r="C97" s="12" t="s">
        <v>2537</v>
      </c>
      <c r="D97" s="12" t="s">
        <v>113</v>
      </c>
      <c r="E97" s="12" t="s">
        <v>83</v>
      </c>
      <c r="F97" s="12" t="n">
        <v>81000</v>
      </c>
      <c r="G97" s="12" t="n">
        <v>80700</v>
      </c>
      <c r="H97" s="12"/>
      <c r="I97" s="12"/>
      <c r="J97" s="12"/>
      <c r="K97" s="12"/>
      <c r="L97" s="12"/>
      <c r="M97" s="12"/>
      <c r="N97" s="12"/>
      <c r="O97" s="13"/>
      <c r="P97" s="13" t="s">
        <v>2844</v>
      </c>
      <c r="Q97" s="13"/>
      <c r="R97" s="13"/>
      <c r="S97" s="13" t="s">
        <v>2845</v>
      </c>
      <c r="T97" s="12" t="s">
        <v>94</v>
      </c>
      <c r="U97" s="12" t="s">
        <v>2846</v>
      </c>
    </row>
    <row r="98" customFormat="false" ht="31.5" hidden="false" customHeight="true" outlineLevel="0" collapsed="false">
      <c r="A98" s="12" t="n">
        <v>81</v>
      </c>
      <c r="B98" s="12" t="s">
        <v>2847</v>
      </c>
      <c r="C98" s="12" t="s">
        <v>2557</v>
      </c>
      <c r="D98" s="12" t="s">
        <v>113</v>
      </c>
      <c r="E98" s="12" t="s">
        <v>83</v>
      </c>
      <c r="F98" s="12"/>
      <c r="G98" s="12"/>
      <c r="H98" s="12"/>
      <c r="I98" s="12"/>
      <c r="J98" s="12"/>
      <c r="K98" s="12"/>
      <c r="L98" s="12"/>
      <c r="M98" s="12"/>
      <c r="N98" s="12"/>
      <c r="O98" s="13"/>
      <c r="P98" s="13" t="s">
        <v>2848</v>
      </c>
      <c r="Q98" s="13"/>
      <c r="R98" s="13"/>
      <c r="S98" s="13" t="s">
        <v>2849</v>
      </c>
      <c r="T98" s="12" t="s">
        <v>108</v>
      </c>
      <c r="U98" s="12" t="s">
        <v>2850</v>
      </c>
    </row>
    <row r="99" customFormat="false" ht="31.5" hidden="false" customHeight="true" outlineLevel="0" collapsed="false">
      <c r="A99" s="12" t="n">
        <v>82</v>
      </c>
      <c r="B99" s="12" t="s">
        <v>2851</v>
      </c>
      <c r="C99" s="12" t="s">
        <v>2670</v>
      </c>
      <c r="D99" s="12" t="s">
        <v>216</v>
      </c>
      <c r="E99" s="12" t="s">
        <v>83</v>
      </c>
      <c r="F99" s="12" t="n">
        <v>0.03459</v>
      </c>
      <c r="G99" s="12"/>
      <c r="H99" s="12" t="s">
        <v>219</v>
      </c>
      <c r="I99" s="12"/>
      <c r="J99" s="12"/>
      <c r="K99" s="12" t="n">
        <v>25</v>
      </c>
      <c r="L99" s="12"/>
      <c r="M99" s="12" t="n">
        <v>144.12</v>
      </c>
      <c r="N99" s="12" t="n">
        <v>0.036652</v>
      </c>
      <c r="O99" s="13"/>
      <c r="P99" s="13" t="s">
        <v>2852</v>
      </c>
      <c r="Q99" s="13"/>
      <c r="R99" s="13"/>
      <c r="S99" s="13" t="s">
        <v>2853</v>
      </c>
      <c r="T99" s="12" t="s">
        <v>94</v>
      </c>
      <c r="U99" s="12" t="s">
        <v>2854</v>
      </c>
    </row>
    <row r="100" customFormat="false" ht="31.5" hidden="false" customHeight="true" outlineLevel="0" collapsed="false">
      <c r="A100" s="12" t="n">
        <v>83</v>
      </c>
      <c r="B100" s="12" t="s">
        <v>2855</v>
      </c>
      <c r="C100" s="12" t="s">
        <v>2630</v>
      </c>
      <c r="D100" s="12" t="s">
        <v>216</v>
      </c>
      <c r="E100" s="12" t="s">
        <v>83</v>
      </c>
      <c r="F100" s="12" t="n">
        <v>0.03459</v>
      </c>
      <c r="G100" s="12"/>
      <c r="H100" s="12"/>
      <c r="I100" s="12"/>
      <c r="J100" s="12" t="n">
        <v>100</v>
      </c>
      <c r="K100" s="12" t="n">
        <v>25</v>
      </c>
      <c r="L100" s="12"/>
      <c r="M100" s="12" t="n">
        <v>200.92</v>
      </c>
      <c r="N100" s="12" t="n">
        <v>0.03737</v>
      </c>
      <c r="O100" s="13"/>
      <c r="P100" s="13" t="s">
        <v>2856</v>
      </c>
      <c r="Q100" s="13"/>
      <c r="R100" s="13"/>
      <c r="S100" s="13" t="s">
        <v>2857</v>
      </c>
      <c r="T100" s="12" t="s">
        <v>94</v>
      </c>
      <c r="U100" s="12" t="s">
        <v>2858</v>
      </c>
    </row>
    <row r="101" customFormat="false" ht="31.5" hidden="false" customHeight="true" outlineLevel="0" collapsed="false">
      <c r="A101" s="12" t="n">
        <v>83</v>
      </c>
      <c r="B101" s="12" t="s">
        <v>2855</v>
      </c>
      <c r="C101" s="12" t="s">
        <v>2670</v>
      </c>
      <c r="D101" s="12" t="s">
        <v>216</v>
      </c>
      <c r="E101" s="12" t="s">
        <v>83</v>
      </c>
      <c r="F101" s="12"/>
      <c r="G101" s="12"/>
      <c r="H101" s="12" t="s">
        <v>218</v>
      </c>
      <c r="I101" s="12"/>
      <c r="J101" s="12" t="n">
        <v>50</v>
      </c>
      <c r="K101" s="12"/>
      <c r="L101" s="12"/>
      <c r="M101" s="12"/>
      <c r="N101" s="12"/>
      <c r="O101" s="13"/>
      <c r="P101" s="13" t="s">
        <v>2859</v>
      </c>
      <c r="Q101" s="13" t="s">
        <v>224</v>
      </c>
      <c r="R101" s="13"/>
      <c r="S101" s="13" t="s">
        <v>2860</v>
      </c>
      <c r="T101" s="12" t="s">
        <v>94</v>
      </c>
      <c r="U101" s="12" t="s">
        <v>2858</v>
      </c>
    </row>
    <row r="102" customFormat="false" ht="31.5" hidden="false" customHeight="true" outlineLevel="0" collapsed="false">
      <c r="A102" s="12" t="n">
        <v>84</v>
      </c>
      <c r="B102" s="12" t="s">
        <v>2861</v>
      </c>
      <c r="C102" s="12" t="s">
        <v>2557</v>
      </c>
      <c r="D102" s="12" t="s">
        <v>216</v>
      </c>
      <c r="E102" s="12" t="s">
        <v>83</v>
      </c>
      <c r="F102" s="12"/>
      <c r="G102" s="12"/>
      <c r="H102" s="12"/>
      <c r="I102" s="12"/>
      <c r="J102" s="12"/>
      <c r="K102" s="12"/>
      <c r="L102" s="12"/>
      <c r="M102" s="12"/>
      <c r="N102" s="12" t="n">
        <v>0.037953</v>
      </c>
      <c r="O102" s="13"/>
      <c r="P102" s="13" t="s">
        <v>2862</v>
      </c>
      <c r="Q102" s="13"/>
      <c r="R102" s="13"/>
      <c r="S102" s="13" t="s">
        <v>2863</v>
      </c>
      <c r="T102" s="12" t="s">
        <v>94</v>
      </c>
      <c r="U102" s="12" t="s">
        <v>2864</v>
      </c>
    </row>
    <row r="103" customFormat="false" ht="31.5" hidden="false" customHeight="true" outlineLevel="0" collapsed="false">
      <c r="A103" s="12" t="n">
        <v>85</v>
      </c>
      <c r="B103" s="12" t="s">
        <v>295</v>
      </c>
      <c r="C103" s="12" t="s">
        <v>2521</v>
      </c>
      <c r="D103" s="12" t="s">
        <v>296</v>
      </c>
      <c r="E103" s="12" t="s">
        <v>83</v>
      </c>
      <c r="F103" s="12" t="n">
        <v>1.448</v>
      </c>
      <c r="G103" s="12"/>
      <c r="H103" s="12" t="s">
        <v>298</v>
      </c>
      <c r="I103" s="12" t="n">
        <v>1.4</v>
      </c>
      <c r="J103" s="12"/>
      <c r="K103" s="12"/>
      <c r="L103" s="12"/>
      <c r="M103" s="12"/>
      <c r="N103" s="12"/>
      <c r="O103" s="13"/>
      <c r="P103" s="13" t="s">
        <v>2865</v>
      </c>
      <c r="Q103" s="13"/>
      <c r="R103" s="13"/>
      <c r="S103" s="13" t="s">
        <v>2866</v>
      </c>
      <c r="T103" s="12" t="s">
        <v>94</v>
      </c>
      <c r="U103" s="12" t="s">
        <v>305</v>
      </c>
    </row>
    <row r="104" customFormat="false" ht="31.5" hidden="false" customHeight="true" outlineLevel="0" collapsed="false">
      <c r="A104" s="12" t="n">
        <v>86</v>
      </c>
      <c r="B104" s="12" t="s">
        <v>2867</v>
      </c>
      <c r="C104" s="12" t="s">
        <v>2502</v>
      </c>
      <c r="D104" s="12"/>
      <c r="E104" s="12"/>
      <c r="F104" s="12"/>
      <c r="G104" s="12"/>
      <c r="H104" s="12"/>
      <c r="I104" s="12"/>
      <c r="J104" s="12"/>
      <c r="K104" s="12"/>
      <c r="L104" s="12"/>
      <c r="M104" s="12"/>
      <c r="N104" s="12"/>
      <c r="O104" s="13"/>
      <c r="P104" s="13" t="s">
        <v>2868</v>
      </c>
      <c r="Q104" s="13"/>
      <c r="R104" s="13"/>
      <c r="S104" s="13" t="s">
        <v>2869</v>
      </c>
      <c r="T104" s="12" t="s">
        <v>94</v>
      </c>
      <c r="U104" s="12" t="s">
        <v>2870</v>
      </c>
    </row>
    <row r="105" customFormat="false" ht="31.5" hidden="false" customHeight="true" outlineLevel="0" collapsed="false">
      <c r="A105" s="12" t="n">
        <v>86</v>
      </c>
      <c r="B105" s="12" t="s">
        <v>2867</v>
      </c>
      <c r="C105" s="12" t="s">
        <v>2557</v>
      </c>
      <c r="D105" s="12" t="s">
        <v>216</v>
      </c>
      <c r="E105" s="12" t="s">
        <v>83</v>
      </c>
      <c r="F105" s="12" t="n">
        <v>0.03453</v>
      </c>
      <c r="G105" s="12"/>
      <c r="H105" s="12"/>
      <c r="I105" s="12"/>
      <c r="J105" s="12"/>
      <c r="K105" s="12" t="n">
        <v>20</v>
      </c>
      <c r="L105" s="12"/>
      <c r="M105" s="12" t="n">
        <v>248.34</v>
      </c>
      <c r="N105" s="12" t="n">
        <v>0.03886</v>
      </c>
      <c r="O105" s="13"/>
      <c r="P105" s="13" t="s">
        <v>2871</v>
      </c>
      <c r="Q105" s="13"/>
      <c r="R105" s="13"/>
      <c r="S105" s="13" t="s">
        <v>2872</v>
      </c>
      <c r="T105" s="12" t="s">
        <v>108</v>
      </c>
      <c r="U105" s="12" t="s">
        <v>2870</v>
      </c>
    </row>
    <row r="106" customFormat="false" ht="31.5" hidden="false" customHeight="true" outlineLevel="0" collapsed="false">
      <c r="A106" s="12" t="n">
        <v>87</v>
      </c>
      <c r="B106" s="12" t="s">
        <v>2873</v>
      </c>
      <c r="C106" s="12" t="s">
        <v>2511</v>
      </c>
      <c r="D106" s="12"/>
      <c r="E106" s="12"/>
      <c r="F106" s="12"/>
      <c r="G106" s="12"/>
      <c r="H106" s="12"/>
      <c r="I106" s="12"/>
      <c r="J106" s="12"/>
      <c r="K106" s="12"/>
      <c r="L106" s="12"/>
      <c r="M106" s="12"/>
      <c r="N106" s="12"/>
      <c r="O106" s="13"/>
      <c r="P106" s="13" t="s">
        <v>2874</v>
      </c>
      <c r="Q106" s="13"/>
      <c r="R106" s="13"/>
      <c r="S106" s="13" t="s">
        <v>2875</v>
      </c>
      <c r="T106" s="12" t="s">
        <v>94</v>
      </c>
      <c r="U106" s="12" t="s">
        <v>2876</v>
      </c>
    </row>
    <row r="107" customFormat="false" ht="31.5" hidden="false" customHeight="true" outlineLevel="0" collapsed="false">
      <c r="A107" s="12" t="n">
        <v>89</v>
      </c>
      <c r="B107" s="12" t="s">
        <v>221</v>
      </c>
      <c r="C107" s="12" t="s">
        <v>2666</v>
      </c>
      <c r="D107" s="12" t="s">
        <v>216</v>
      </c>
      <c r="E107" s="12" t="s">
        <v>83</v>
      </c>
      <c r="F107" s="12"/>
      <c r="G107" s="12"/>
      <c r="H107" s="12" t="s">
        <v>218</v>
      </c>
      <c r="I107" s="12"/>
      <c r="J107" s="12" t="n">
        <v>100</v>
      </c>
      <c r="K107" s="12" t="n">
        <v>20</v>
      </c>
      <c r="L107" s="12"/>
      <c r="M107" s="12" t="n">
        <v>231.02</v>
      </c>
      <c r="N107" s="12"/>
      <c r="O107" s="13"/>
      <c r="P107" s="13" t="s">
        <v>2877</v>
      </c>
      <c r="Q107" s="13"/>
      <c r="R107" s="13"/>
      <c r="S107" s="13" t="s">
        <v>2878</v>
      </c>
      <c r="T107" s="12" t="s">
        <v>94</v>
      </c>
      <c r="U107" s="12" t="s">
        <v>2879</v>
      </c>
    </row>
    <row r="108" customFormat="false" ht="31.5" hidden="false" customHeight="true" outlineLevel="0" collapsed="false">
      <c r="A108" s="12" t="n">
        <v>90</v>
      </c>
      <c r="B108" s="12" t="s">
        <v>2880</v>
      </c>
      <c r="C108" s="12" t="s">
        <v>2557</v>
      </c>
      <c r="D108" s="12" t="s">
        <v>113</v>
      </c>
      <c r="E108" s="12" t="s">
        <v>83</v>
      </c>
      <c r="F108" s="12"/>
      <c r="G108" s="12"/>
      <c r="H108" s="12"/>
      <c r="I108" s="12"/>
      <c r="J108" s="12"/>
      <c r="K108" s="12"/>
      <c r="L108" s="12"/>
      <c r="M108" s="12"/>
      <c r="N108" s="12"/>
      <c r="O108" s="13"/>
      <c r="P108" s="13" t="s">
        <v>2881</v>
      </c>
      <c r="Q108" s="13"/>
      <c r="R108" s="13"/>
      <c r="S108" s="13" t="s">
        <v>2882</v>
      </c>
      <c r="T108" s="12" t="s">
        <v>94</v>
      </c>
      <c r="U108" s="12" t="s">
        <v>2883</v>
      </c>
    </row>
    <row r="109" customFormat="false" ht="31.5" hidden="false" customHeight="true" outlineLevel="0" collapsed="false">
      <c r="A109" s="12" t="n">
        <v>90</v>
      </c>
      <c r="B109" s="12" t="s">
        <v>2880</v>
      </c>
      <c r="C109" s="12" t="s">
        <v>2516</v>
      </c>
      <c r="D109" s="12" t="s">
        <v>113</v>
      </c>
      <c r="E109" s="12" t="s">
        <v>83</v>
      </c>
      <c r="F109" s="12"/>
      <c r="G109" s="12"/>
      <c r="H109" s="12" t="s">
        <v>330</v>
      </c>
      <c r="I109" s="12"/>
      <c r="J109" s="12"/>
      <c r="K109" s="12"/>
      <c r="L109" s="12"/>
      <c r="M109" s="12"/>
      <c r="N109" s="12" t="n">
        <v>81100</v>
      </c>
      <c r="O109" s="13"/>
      <c r="P109" s="13" t="s">
        <v>2884</v>
      </c>
      <c r="Q109" s="13" t="s">
        <v>191</v>
      </c>
      <c r="R109" s="13"/>
      <c r="S109" s="13" t="s">
        <v>2885</v>
      </c>
      <c r="T109" s="12" t="s">
        <v>94</v>
      </c>
      <c r="U109" s="12" t="s">
        <v>2883</v>
      </c>
    </row>
    <row r="110" customFormat="false" ht="31.5" hidden="false" customHeight="true" outlineLevel="0" collapsed="false">
      <c r="A110" s="12" t="n">
        <v>90</v>
      </c>
      <c r="B110" s="12" t="s">
        <v>2880</v>
      </c>
      <c r="C110" s="12" t="s">
        <v>2557</v>
      </c>
      <c r="D110" s="12" t="s">
        <v>296</v>
      </c>
      <c r="E110" s="12" t="s">
        <v>83</v>
      </c>
      <c r="F110" s="12"/>
      <c r="G110" s="12"/>
      <c r="H110" s="12"/>
      <c r="I110" s="12"/>
      <c r="J110" s="12"/>
      <c r="K110" s="12"/>
      <c r="L110" s="12"/>
      <c r="M110" s="12"/>
      <c r="N110" s="12"/>
      <c r="O110" s="13"/>
      <c r="P110" s="13" t="s">
        <v>2886</v>
      </c>
      <c r="Q110" s="13"/>
      <c r="R110" s="13"/>
      <c r="S110" s="13" t="s">
        <v>2882</v>
      </c>
      <c r="T110" s="12" t="s">
        <v>94</v>
      </c>
      <c r="U110" s="12" t="s">
        <v>2883</v>
      </c>
    </row>
    <row r="111" customFormat="false" ht="31.5" hidden="false" customHeight="true" outlineLevel="0" collapsed="false">
      <c r="A111" s="12" t="n">
        <v>91</v>
      </c>
      <c r="B111" s="12" t="s">
        <v>306</v>
      </c>
      <c r="C111" s="12" t="s">
        <v>2521</v>
      </c>
      <c r="D111" s="12" t="s">
        <v>99</v>
      </c>
      <c r="E111" s="12" t="s">
        <v>83</v>
      </c>
      <c r="F111" s="12" t="n">
        <v>2293</v>
      </c>
      <c r="G111" s="12"/>
      <c r="H111" s="12"/>
      <c r="I111" s="12" t="n">
        <v>2245</v>
      </c>
      <c r="J111" s="12"/>
      <c r="K111" s="12"/>
      <c r="L111" s="12"/>
      <c r="M111" s="12"/>
      <c r="N111" s="12"/>
      <c r="O111" s="13" t="s">
        <v>309</v>
      </c>
      <c r="P111" s="13" t="s">
        <v>2887</v>
      </c>
      <c r="Q111" s="13"/>
      <c r="R111" s="13"/>
      <c r="S111" s="13" t="s">
        <v>2888</v>
      </c>
      <c r="T111" s="12" t="s">
        <v>94</v>
      </c>
      <c r="U111" s="12" t="s">
        <v>315</v>
      </c>
    </row>
    <row r="112" customFormat="false" ht="31.5" hidden="false" customHeight="true" outlineLevel="0" collapsed="false">
      <c r="A112" s="12" t="n">
        <v>92</v>
      </c>
      <c r="B112" s="12" t="s">
        <v>2889</v>
      </c>
      <c r="C112" s="12" t="s">
        <v>2557</v>
      </c>
      <c r="D112" s="12" t="s">
        <v>99</v>
      </c>
      <c r="E112" s="12" t="s">
        <v>83</v>
      </c>
      <c r="F112" s="12"/>
      <c r="G112" s="12"/>
      <c r="H112" s="12"/>
      <c r="I112" s="12"/>
      <c r="J112" s="12"/>
      <c r="K112" s="12"/>
      <c r="L112" s="12"/>
      <c r="M112" s="12"/>
      <c r="N112" s="12" t="n">
        <v>2298</v>
      </c>
      <c r="O112" s="13"/>
      <c r="P112" s="13" t="s">
        <v>2890</v>
      </c>
      <c r="Q112" s="13"/>
      <c r="R112" s="13"/>
      <c r="S112" s="13" t="s">
        <v>2891</v>
      </c>
      <c r="T112" s="12" t="s">
        <v>94</v>
      </c>
      <c r="U112" s="12" t="s">
        <v>2892</v>
      </c>
    </row>
    <row r="113" customFormat="false" ht="31.5" hidden="false" customHeight="true" outlineLevel="0" collapsed="false">
      <c r="A113" s="12" t="n">
        <v>93</v>
      </c>
      <c r="B113" s="12" t="s">
        <v>316</v>
      </c>
      <c r="C113" s="12" t="s">
        <v>2527</v>
      </c>
      <c r="D113" s="12" t="s">
        <v>317</v>
      </c>
      <c r="E113" s="12" t="s">
        <v>83</v>
      </c>
      <c r="F113" s="12"/>
      <c r="G113" s="12"/>
      <c r="H113" s="12"/>
      <c r="I113" s="12"/>
      <c r="J113" s="12"/>
      <c r="K113" s="12"/>
      <c r="L113" s="12"/>
      <c r="M113" s="12"/>
      <c r="N113" s="12"/>
      <c r="O113" s="13"/>
      <c r="P113" s="13" t="s">
        <v>2893</v>
      </c>
      <c r="Q113" s="13"/>
      <c r="R113" s="13"/>
      <c r="S113" s="13" t="s">
        <v>2894</v>
      </c>
      <c r="T113" s="12" t="s">
        <v>94</v>
      </c>
      <c r="U113" s="12" t="s">
        <v>326</v>
      </c>
    </row>
    <row r="114" customFormat="false" ht="31.5" hidden="false" customHeight="true" outlineLevel="0" collapsed="false">
      <c r="A114" s="12" t="n">
        <v>94</v>
      </c>
      <c r="B114" s="12" t="s">
        <v>320</v>
      </c>
      <c r="C114" s="12" t="s">
        <v>2521</v>
      </c>
      <c r="D114" s="12" t="s">
        <v>317</v>
      </c>
      <c r="E114" s="12" t="s">
        <v>83</v>
      </c>
      <c r="F114" s="12" t="n">
        <v>95.5</v>
      </c>
      <c r="G114" s="12"/>
      <c r="H114" s="12" t="s">
        <v>319</v>
      </c>
      <c r="I114" s="12" t="n">
        <v>93.5</v>
      </c>
      <c r="J114" s="12"/>
      <c r="K114" s="12"/>
      <c r="L114" s="12"/>
      <c r="M114" s="12"/>
      <c r="N114" s="12"/>
      <c r="O114" s="13"/>
      <c r="P114" s="13" t="s">
        <v>2895</v>
      </c>
      <c r="Q114" s="13"/>
      <c r="R114" s="13"/>
      <c r="S114" s="13" t="s">
        <v>2896</v>
      </c>
      <c r="T114" s="12" t="s">
        <v>94</v>
      </c>
      <c r="U114" s="12" t="s">
        <v>2897</v>
      </c>
    </row>
    <row r="115" customFormat="false" ht="31.5" hidden="false" customHeight="true" outlineLevel="0" collapsed="false">
      <c r="A115" s="12" t="n">
        <v>95</v>
      </c>
      <c r="B115" s="12" t="s">
        <v>2898</v>
      </c>
      <c r="C115" s="12" t="s">
        <v>2670</v>
      </c>
      <c r="D115" s="12" t="s">
        <v>99</v>
      </c>
      <c r="E115" s="12" t="s">
        <v>83</v>
      </c>
      <c r="F115" s="12"/>
      <c r="G115" s="12"/>
      <c r="H115" s="12" t="s">
        <v>308</v>
      </c>
      <c r="I115" s="12"/>
      <c r="J115" s="12"/>
      <c r="K115" s="12"/>
      <c r="L115" s="12"/>
      <c r="M115" s="12"/>
      <c r="N115" s="12"/>
      <c r="O115" s="13"/>
      <c r="P115" s="13" t="s">
        <v>2899</v>
      </c>
      <c r="Q115" s="13"/>
      <c r="R115" s="13"/>
      <c r="S115" s="13" t="s">
        <v>2900</v>
      </c>
      <c r="T115" s="12" t="s">
        <v>94</v>
      </c>
      <c r="U115" s="12" t="s">
        <v>2901</v>
      </c>
    </row>
    <row r="116" customFormat="false" ht="31.5" hidden="false" customHeight="true" outlineLevel="0" collapsed="false">
      <c r="A116" s="12" t="n">
        <v>96</v>
      </c>
      <c r="B116" s="12" t="s">
        <v>321</v>
      </c>
      <c r="C116" s="12" t="s">
        <v>2630</v>
      </c>
      <c r="D116" s="12" t="s">
        <v>317</v>
      </c>
      <c r="E116" s="12" t="s">
        <v>83</v>
      </c>
      <c r="F116" s="12" t="n">
        <v>95.53</v>
      </c>
      <c r="G116" s="12"/>
      <c r="H116" s="12"/>
      <c r="I116" s="12"/>
      <c r="J116" s="12" t="n">
        <v>100</v>
      </c>
      <c r="K116" s="12" t="n">
        <v>100</v>
      </c>
      <c r="L116" s="12"/>
      <c r="M116" s="12" t="n">
        <v>17.79</v>
      </c>
      <c r="N116" s="12" t="n">
        <v>95.7</v>
      </c>
      <c r="O116" s="13"/>
      <c r="P116" s="13" t="s">
        <v>2902</v>
      </c>
      <c r="Q116" s="13"/>
      <c r="R116" s="13"/>
      <c r="S116" s="13" t="s">
        <v>2903</v>
      </c>
      <c r="T116" s="12" t="s">
        <v>94</v>
      </c>
      <c r="U116" s="12" t="s">
        <v>2904</v>
      </c>
    </row>
    <row r="117" customFormat="false" ht="31.5" hidden="false" customHeight="true" outlineLevel="0" collapsed="false">
      <c r="A117" s="12" t="n">
        <v>97</v>
      </c>
      <c r="B117" s="12" t="s">
        <v>2905</v>
      </c>
      <c r="C117" s="12" t="s">
        <v>2557</v>
      </c>
      <c r="D117" s="12" t="s">
        <v>317</v>
      </c>
      <c r="E117" s="12" t="s">
        <v>83</v>
      </c>
      <c r="F117" s="12"/>
      <c r="G117" s="12"/>
      <c r="H117" s="12"/>
      <c r="I117" s="12"/>
      <c r="J117" s="12"/>
      <c r="K117" s="12"/>
      <c r="L117" s="12"/>
      <c r="M117" s="12"/>
      <c r="N117" s="12"/>
      <c r="O117" s="13" t="s">
        <v>2906</v>
      </c>
      <c r="P117" s="13" t="s">
        <v>2907</v>
      </c>
      <c r="Q117" s="13"/>
      <c r="R117" s="13"/>
      <c r="S117" s="13" t="s">
        <v>2908</v>
      </c>
      <c r="T117" s="12" t="s">
        <v>108</v>
      </c>
      <c r="U117" s="12" t="s">
        <v>2909</v>
      </c>
    </row>
    <row r="118" customFormat="false" ht="31.5" hidden="false" customHeight="true" outlineLevel="0" collapsed="false">
      <c r="A118" s="12" t="n">
        <v>98</v>
      </c>
      <c r="B118" s="12" t="s">
        <v>2910</v>
      </c>
      <c r="C118" s="12" t="s">
        <v>2670</v>
      </c>
      <c r="D118" s="12" t="s">
        <v>113</v>
      </c>
      <c r="E118" s="12" t="s">
        <v>83</v>
      </c>
      <c r="F118" s="12"/>
      <c r="G118" s="12"/>
      <c r="H118" s="12" t="s">
        <v>330</v>
      </c>
      <c r="I118" s="12"/>
      <c r="J118" s="12"/>
      <c r="K118" s="12"/>
      <c r="L118" s="12"/>
      <c r="M118" s="12"/>
      <c r="N118" s="12"/>
      <c r="O118" s="13"/>
      <c r="P118" s="13" t="s">
        <v>2911</v>
      </c>
      <c r="Q118" s="13"/>
      <c r="R118" s="13"/>
      <c r="S118" s="13" t="s">
        <v>2912</v>
      </c>
      <c r="T118" s="12" t="s">
        <v>94</v>
      </c>
      <c r="U118" s="12" t="s">
        <v>2913</v>
      </c>
    </row>
    <row r="119" customFormat="false" ht="31.5" hidden="false" customHeight="true" outlineLevel="0" collapsed="false">
      <c r="A119" s="12" t="n">
        <v>98</v>
      </c>
      <c r="B119" s="12" t="s">
        <v>2910</v>
      </c>
      <c r="C119" s="12" t="s">
        <v>2516</v>
      </c>
      <c r="D119" s="12" t="s">
        <v>113</v>
      </c>
      <c r="E119" s="12" t="s">
        <v>83</v>
      </c>
      <c r="F119" s="12"/>
      <c r="G119" s="12"/>
      <c r="H119" s="12" t="s">
        <v>272</v>
      </c>
      <c r="I119" s="12"/>
      <c r="J119" s="12"/>
      <c r="K119" s="12"/>
      <c r="L119" s="12"/>
      <c r="M119" s="12"/>
      <c r="N119" s="12"/>
      <c r="O119" s="13"/>
      <c r="P119" s="13" t="s">
        <v>2914</v>
      </c>
      <c r="Q119" s="13"/>
      <c r="R119" s="13"/>
      <c r="S119" s="13" t="s">
        <v>2915</v>
      </c>
      <c r="T119" s="12" t="s">
        <v>94</v>
      </c>
      <c r="U119" s="12" t="s">
        <v>2913</v>
      </c>
    </row>
    <row r="120" customFormat="false" ht="31.5" hidden="false" customHeight="true" outlineLevel="0" collapsed="false">
      <c r="A120" s="12" t="n">
        <v>99</v>
      </c>
      <c r="B120" s="12" t="s">
        <v>288</v>
      </c>
      <c r="C120" s="12" t="s">
        <v>2564</v>
      </c>
      <c r="D120" s="12" t="s">
        <v>113</v>
      </c>
      <c r="E120" s="12" t="s">
        <v>83</v>
      </c>
      <c r="F120" s="12"/>
      <c r="G120" s="12"/>
      <c r="H120" s="12"/>
      <c r="I120" s="12"/>
      <c r="J120" s="12"/>
      <c r="K120" s="12"/>
      <c r="L120" s="12"/>
      <c r="M120" s="12"/>
      <c r="N120" s="12"/>
      <c r="O120" s="13"/>
      <c r="P120" s="13" t="s">
        <v>2916</v>
      </c>
      <c r="Q120" s="13"/>
      <c r="R120" s="13"/>
      <c r="S120" s="13" t="s">
        <v>2917</v>
      </c>
      <c r="T120" s="12" t="s">
        <v>94</v>
      </c>
      <c r="U120" s="12" t="s">
        <v>2918</v>
      </c>
    </row>
    <row r="121" customFormat="false" ht="31.5" hidden="false" customHeight="true" outlineLevel="0" collapsed="false">
      <c r="A121" s="12" t="n">
        <v>100</v>
      </c>
      <c r="B121" s="12" t="s">
        <v>327</v>
      </c>
      <c r="C121" s="12" t="s">
        <v>2521</v>
      </c>
      <c r="D121" s="12" t="s">
        <v>113</v>
      </c>
      <c r="E121" s="12" t="s">
        <v>83</v>
      </c>
      <c r="F121" s="12" t="n">
        <v>79400</v>
      </c>
      <c r="G121" s="12"/>
      <c r="H121" s="12" t="s">
        <v>330</v>
      </c>
      <c r="I121" s="12" t="n">
        <v>77900</v>
      </c>
      <c r="J121" s="12"/>
      <c r="K121" s="12"/>
      <c r="L121" s="12"/>
      <c r="M121" s="12"/>
      <c r="N121" s="12"/>
      <c r="O121" s="13" t="s">
        <v>2919</v>
      </c>
      <c r="P121" s="13" t="s">
        <v>2920</v>
      </c>
      <c r="Q121" s="13"/>
      <c r="R121" s="13"/>
      <c r="S121" s="13" t="s">
        <v>2921</v>
      </c>
      <c r="T121" s="12" t="s">
        <v>94</v>
      </c>
      <c r="U121" s="12" t="s">
        <v>340</v>
      </c>
    </row>
    <row r="122" customFormat="false" ht="31.5" hidden="false" customHeight="true" outlineLevel="0" collapsed="false">
      <c r="A122" s="12" t="n">
        <v>101</v>
      </c>
      <c r="B122" s="12" t="s">
        <v>2922</v>
      </c>
      <c r="C122" s="12" t="s">
        <v>2557</v>
      </c>
      <c r="D122" s="12" t="s">
        <v>113</v>
      </c>
      <c r="E122" s="12" t="s">
        <v>83</v>
      </c>
      <c r="F122" s="12"/>
      <c r="G122" s="12"/>
      <c r="H122" s="12"/>
      <c r="I122" s="12"/>
      <c r="J122" s="12"/>
      <c r="K122" s="12"/>
      <c r="L122" s="12"/>
      <c r="M122" s="12"/>
      <c r="N122" s="12"/>
      <c r="O122" s="13"/>
      <c r="P122" s="13" t="s">
        <v>2923</v>
      </c>
      <c r="Q122" s="13"/>
      <c r="R122" s="13"/>
      <c r="S122" s="13" t="s">
        <v>2924</v>
      </c>
      <c r="T122" s="12" t="s">
        <v>94</v>
      </c>
      <c r="U122" s="12" t="s">
        <v>2925</v>
      </c>
    </row>
    <row r="123" customFormat="false" ht="31.5" hidden="false" customHeight="true" outlineLevel="0" collapsed="false">
      <c r="A123" s="12" t="n">
        <v>102</v>
      </c>
      <c r="B123" s="12" t="s">
        <v>2926</v>
      </c>
      <c r="C123" s="12" t="s">
        <v>2537</v>
      </c>
      <c r="D123" s="12" t="s">
        <v>113</v>
      </c>
      <c r="E123" s="12" t="s">
        <v>83</v>
      </c>
      <c r="F123" s="12"/>
      <c r="G123" s="12" t="n">
        <v>79000</v>
      </c>
      <c r="H123" s="12"/>
      <c r="I123" s="12"/>
      <c r="J123" s="12" t="n">
        <v>25</v>
      </c>
      <c r="K123" s="12"/>
      <c r="L123" s="12"/>
      <c r="M123" s="12"/>
      <c r="N123" s="12"/>
      <c r="O123" s="13"/>
      <c r="P123" s="13" t="s">
        <v>2927</v>
      </c>
      <c r="Q123" s="13"/>
      <c r="R123" s="13"/>
      <c r="S123" s="13" t="s">
        <v>2928</v>
      </c>
      <c r="T123" s="12" t="s">
        <v>94</v>
      </c>
      <c r="U123" s="12" t="s">
        <v>2929</v>
      </c>
    </row>
    <row r="124" customFormat="false" ht="31.5" hidden="false" customHeight="true" outlineLevel="0" collapsed="false">
      <c r="A124" s="12" t="n">
        <v>103</v>
      </c>
      <c r="B124" s="12" t="s">
        <v>341</v>
      </c>
      <c r="C124" s="12" t="s">
        <v>2521</v>
      </c>
      <c r="D124" s="12" t="s">
        <v>317</v>
      </c>
      <c r="E124" s="12" t="s">
        <v>83</v>
      </c>
      <c r="F124" s="12" t="n">
        <v>91.25</v>
      </c>
      <c r="G124" s="12"/>
      <c r="H124" s="12"/>
      <c r="I124" s="12" t="n">
        <v>87.5</v>
      </c>
      <c r="J124" s="12"/>
      <c r="K124" s="12"/>
      <c r="L124" s="12"/>
      <c r="M124" s="12"/>
      <c r="N124" s="12"/>
      <c r="O124" s="13"/>
      <c r="P124" s="13" t="s">
        <v>2930</v>
      </c>
      <c r="Q124" s="13" t="s">
        <v>191</v>
      </c>
      <c r="R124" s="13"/>
      <c r="S124" s="13" t="s">
        <v>2931</v>
      </c>
      <c r="T124" s="12" t="s">
        <v>94</v>
      </c>
      <c r="U124" s="12" t="s">
        <v>349</v>
      </c>
    </row>
    <row r="125" customFormat="false" ht="31.5" hidden="false" customHeight="true" outlineLevel="0" collapsed="false">
      <c r="A125" s="12" t="n">
        <v>104</v>
      </c>
      <c r="B125" s="12" t="s">
        <v>350</v>
      </c>
      <c r="C125" s="12" t="s">
        <v>2521</v>
      </c>
      <c r="D125" s="12" t="s">
        <v>351</v>
      </c>
      <c r="E125" s="12" t="s">
        <v>83</v>
      </c>
      <c r="F125" s="12" t="n">
        <v>0.03535</v>
      </c>
      <c r="G125" s="12"/>
      <c r="H125" s="12" t="s">
        <v>353</v>
      </c>
      <c r="I125" s="12" t="n">
        <v>0.3</v>
      </c>
      <c r="J125" s="12"/>
      <c r="K125" s="12"/>
      <c r="L125" s="12"/>
      <c r="M125" s="12"/>
      <c r="N125" s="12"/>
      <c r="O125" s="13" t="s">
        <v>2932</v>
      </c>
      <c r="P125" s="13" t="s">
        <v>2933</v>
      </c>
      <c r="Q125" s="13"/>
      <c r="R125" s="13"/>
      <c r="S125" s="13" t="s">
        <v>2934</v>
      </c>
      <c r="T125" s="12" t="s">
        <v>108</v>
      </c>
      <c r="U125" s="12" t="s">
        <v>361</v>
      </c>
    </row>
    <row r="126" customFormat="false" ht="31.5" hidden="false" customHeight="true" outlineLevel="0" collapsed="false">
      <c r="A126" s="12" t="n">
        <v>105</v>
      </c>
      <c r="B126" s="12" t="s">
        <v>2935</v>
      </c>
      <c r="C126" s="12" t="s">
        <v>2618</v>
      </c>
      <c r="D126" s="12" t="s">
        <v>351</v>
      </c>
      <c r="E126" s="12" t="s">
        <v>83</v>
      </c>
      <c r="F126" s="12"/>
      <c r="G126" s="12"/>
      <c r="H126" s="12" t="s">
        <v>355</v>
      </c>
      <c r="I126" s="12"/>
      <c r="J126" s="12"/>
      <c r="K126" s="12"/>
      <c r="L126" s="12"/>
      <c r="M126" s="12"/>
      <c r="N126" s="12"/>
      <c r="O126" s="13"/>
      <c r="P126" s="13" t="s">
        <v>2936</v>
      </c>
      <c r="Q126" s="13"/>
      <c r="R126" s="13"/>
      <c r="S126" s="13" t="s">
        <v>2937</v>
      </c>
      <c r="T126" s="12" t="s">
        <v>108</v>
      </c>
      <c r="U126" s="12" t="s">
        <v>2938</v>
      </c>
    </row>
    <row r="127" customFormat="false" ht="31.5" hidden="false" customHeight="true" outlineLevel="0" collapsed="false">
      <c r="A127" s="12" t="n">
        <v>106</v>
      </c>
      <c r="B127" s="12" t="s">
        <v>2939</v>
      </c>
      <c r="C127" s="12" t="s">
        <v>2588</v>
      </c>
      <c r="D127" s="12" t="s">
        <v>317</v>
      </c>
      <c r="E127" s="12" t="s">
        <v>83</v>
      </c>
      <c r="F127" s="12"/>
      <c r="G127" s="12"/>
      <c r="H127" s="12"/>
      <c r="I127" s="12"/>
      <c r="J127" s="12"/>
      <c r="K127" s="12"/>
      <c r="L127" s="12"/>
      <c r="M127" s="12"/>
      <c r="N127" s="12"/>
      <c r="O127" s="13"/>
      <c r="P127" s="13" t="s">
        <v>2940</v>
      </c>
      <c r="Q127" s="13"/>
      <c r="R127" s="13"/>
      <c r="S127" s="13" t="s">
        <v>2941</v>
      </c>
      <c r="T127" s="12" t="s">
        <v>94</v>
      </c>
      <c r="U127" s="12" t="s">
        <v>2942</v>
      </c>
    </row>
    <row r="128" customFormat="false" ht="31.5" hidden="false" customHeight="true" outlineLevel="0" collapsed="false">
      <c r="A128" s="12" t="n">
        <v>107</v>
      </c>
      <c r="B128" s="12" t="s">
        <v>362</v>
      </c>
      <c r="C128" s="12" t="s">
        <v>2521</v>
      </c>
      <c r="D128" s="12" t="s">
        <v>363</v>
      </c>
      <c r="E128" s="12" t="s">
        <v>83</v>
      </c>
      <c r="F128" s="12" t="n">
        <v>6.89</v>
      </c>
      <c r="G128" s="12"/>
      <c r="H128" s="12" t="s">
        <v>365</v>
      </c>
      <c r="I128" s="12" t="n">
        <v>6.3</v>
      </c>
      <c r="J128" s="12"/>
      <c r="K128" s="12"/>
      <c r="L128" s="12"/>
      <c r="M128" s="12"/>
      <c r="N128" s="12"/>
      <c r="O128" s="13"/>
      <c r="P128" s="13" t="s">
        <v>2943</v>
      </c>
      <c r="Q128" s="13" t="s">
        <v>370</v>
      </c>
      <c r="R128" s="13"/>
      <c r="S128" s="13" t="s">
        <v>2944</v>
      </c>
      <c r="T128" s="12" t="s">
        <v>94</v>
      </c>
      <c r="U128" s="12" t="s">
        <v>373</v>
      </c>
    </row>
    <row r="129" customFormat="false" ht="31.5" hidden="false" customHeight="true" outlineLevel="0" collapsed="false">
      <c r="A129" s="12" t="n">
        <v>108</v>
      </c>
      <c r="B129" s="12" t="s">
        <v>299</v>
      </c>
      <c r="C129" s="12" t="s">
        <v>2557</v>
      </c>
      <c r="D129" s="12" t="s">
        <v>113</v>
      </c>
      <c r="E129" s="12" t="s">
        <v>83</v>
      </c>
      <c r="F129" s="12" t="n">
        <v>79200</v>
      </c>
      <c r="G129" s="12"/>
      <c r="H129" s="12"/>
      <c r="I129" s="12"/>
      <c r="J129" s="12"/>
      <c r="K129" s="12"/>
      <c r="L129" s="12"/>
      <c r="M129" s="12"/>
      <c r="N129" s="12"/>
      <c r="O129" s="13"/>
      <c r="P129" s="13" t="s">
        <v>2945</v>
      </c>
      <c r="Q129" s="13"/>
      <c r="R129" s="13"/>
      <c r="S129" s="13" t="s">
        <v>2946</v>
      </c>
      <c r="T129" s="12" t="s">
        <v>94</v>
      </c>
      <c r="U129" s="12" t="s">
        <v>2947</v>
      </c>
    </row>
    <row r="130" customFormat="false" ht="31.5" hidden="false" customHeight="true" outlineLevel="0" collapsed="false">
      <c r="A130" s="12" t="n">
        <v>108</v>
      </c>
      <c r="B130" s="12" t="s">
        <v>299</v>
      </c>
      <c r="C130" s="12" t="s">
        <v>2630</v>
      </c>
      <c r="D130" s="12" t="s">
        <v>317</v>
      </c>
      <c r="E130" s="12" t="s">
        <v>83</v>
      </c>
      <c r="F130" s="12" t="n">
        <v>91.05</v>
      </c>
      <c r="G130" s="12"/>
      <c r="H130" s="12"/>
      <c r="I130" s="12"/>
      <c r="J130" s="12" t="n">
        <v>100</v>
      </c>
      <c r="K130" s="12" t="n">
        <v>100</v>
      </c>
      <c r="L130" s="12"/>
      <c r="M130" s="12" t="n">
        <v>45.03</v>
      </c>
      <c r="N130" s="12" t="n">
        <v>91.46</v>
      </c>
      <c r="O130" s="13"/>
      <c r="P130" s="13" t="s">
        <v>2948</v>
      </c>
      <c r="Q130" s="13"/>
      <c r="R130" s="13"/>
      <c r="S130" s="13" t="s">
        <v>2949</v>
      </c>
      <c r="T130" s="12" t="s">
        <v>94</v>
      </c>
      <c r="U130" s="12" t="s">
        <v>2947</v>
      </c>
    </row>
    <row r="131" customFormat="false" ht="31.5" hidden="false" customHeight="true" outlineLevel="0" collapsed="false">
      <c r="A131" s="12" t="n">
        <v>108</v>
      </c>
      <c r="B131" s="12" t="s">
        <v>299</v>
      </c>
      <c r="C131" s="12" t="s">
        <v>2630</v>
      </c>
      <c r="D131" s="12" t="s">
        <v>296</v>
      </c>
      <c r="E131" s="12" t="s">
        <v>83</v>
      </c>
      <c r="F131" s="12" t="n">
        <v>1.4497</v>
      </c>
      <c r="G131" s="12"/>
      <c r="H131" s="12"/>
      <c r="I131" s="12"/>
      <c r="J131" s="12" t="n">
        <v>100</v>
      </c>
      <c r="K131" s="12" t="n">
        <v>100</v>
      </c>
      <c r="L131" s="12"/>
      <c r="M131" s="12" t="n">
        <v>23.45</v>
      </c>
      <c r="N131" s="12" t="n">
        <v>1.4531</v>
      </c>
      <c r="O131" s="13"/>
      <c r="P131" s="13" t="s">
        <v>2950</v>
      </c>
      <c r="Q131" s="13"/>
      <c r="R131" s="13"/>
      <c r="S131" s="13" t="s">
        <v>2949</v>
      </c>
      <c r="T131" s="12" t="s">
        <v>94</v>
      </c>
      <c r="U131" s="12" t="s">
        <v>2947</v>
      </c>
    </row>
    <row r="132" customFormat="false" ht="31.5" hidden="false" customHeight="true" outlineLevel="0" collapsed="false">
      <c r="A132" s="12" t="n">
        <v>109</v>
      </c>
      <c r="B132" s="12" t="s">
        <v>2951</v>
      </c>
      <c r="C132" s="12" t="s">
        <v>2557</v>
      </c>
      <c r="D132" s="12" t="s">
        <v>113</v>
      </c>
      <c r="E132" s="12" t="s">
        <v>83</v>
      </c>
      <c r="F132" s="12" t="n">
        <v>79284.35</v>
      </c>
      <c r="G132" s="12"/>
      <c r="H132" s="12"/>
      <c r="I132" s="12"/>
      <c r="J132" s="12"/>
      <c r="K132" s="12" t="n">
        <v>100</v>
      </c>
      <c r="L132" s="12"/>
      <c r="M132" s="12" t="n">
        <v>108.28</v>
      </c>
      <c r="N132" s="12" t="n">
        <v>80199.5</v>
      </c>
      <c r="O132" s="13"/>
      <c r="P132" s="13" t="s">
        <v>2952</v>
      </c>
      <c r="Q132" s="13"/>
      <c r="R132" s="13"/>
      <c r="S132" s="13" t="s">
        <v>2953</v>
      </c>
      <c r="T132" s="12" t="s">
        <v>94</v>
      </c>
      <c r="U132" s="12" t="s">
        <v>2954</v>
      </c>
    </row>
    <row r="133" customFormat="false" ht="31.5" hidden="false" customHeight="true" outlineLevel="0" collapsed="false">
      <c r="A133" s="12" t="n">
        <v>109</v>
      </c>
      <c r="B133" s="12" t="s">
        <v>2951</v>
      </c>
      <c r="C133" s="12" t="s">
        <v>2557</v>
      </c>
      <c r="D133" s="12" t="s">
        <v>363</v>
      </c>
      <c r="E133" s="12" t="s">
        <v>83</v>
      </c>
      <c r="F133" s="12" t="n">
        <v>6.9</v>
      </c>
      <c r="G133" s="12"/>
      <c r="H133" s="12"/>
      <c r="I133" s="12"/>
      <c r="J133" s="12"/>
      <c r="K133" s="12" t="n">
        <v>50</v>
      </c>
      <c r="L133" s="12"/>
      <c r="M133" s="12" t="n">
        <v>141.91</v>
      </c>
      <c r="N133" s="12" t="n">
        <v>7.107</v>
      </c>
      <c r="O133" s="13"/>
      <c r="P133" s="13" t="s">
        <v>2955</v>
      </c>
      <c r="Q133" s="13"/>
      <c r="R133" s="13"/>
      <c r="S133" s="13" t="s">
        <v>2953</v>
      </c>
      <c r="T133" s="12" t="s">
        <v>94</v>
      </c>
      <c r="U133" s="12" t="s">
        <v>2954</v>
      </c>
    </row>
    <row r="134" customFormat="false" ht="31.5" hidden="false" customHeight="true" outlineLevel="0" collapsed="false">
      <c r="A134" s="12" t="n">
        <v>110</v>
      </c>
      <c r="B134" s="12" t="s">
        <v>2956</v>
      </c>
      <c r="C134" s="12" t="s">
        <v>2557</v>
      </c>
      <c r="D134" s="12" t="s">
        <v>296</v>
      </c>
      <c r="E134" s="12" t="s">
        <v>83</v>
      </c>
      <c r="F134" s="12"/>
      <c r="G134" s="12"/>
      <c r="H134" s="12"/>
      <c r="I134" s="12"/>
      <c r="J134" s="12"/>
      <c r="K134" s="12"/>
      <c r="L134" s="12"/>
      <c r="M134" s="12"/>
      <c r="N134" s="12" t="n">
        <v>1.4654</v>
      </c>
      <c r="O134" s="13"/>
      <c r="P134" s="13" t="s">
        <v>2957</v>
      </c>
      <c r="Q134" s="13"/>
      <c r="R134" s="13"/>
      <c r="S134" s="13" t="s">
        <v>2958</v>
      </c>
      <c r="T134" s="12" t="s">
        <v>94</v>
      </c>
      <c r="U134" s="12" t="s">
        <v>2959</v>
      </c>
    </row>
    <row r="135" customFormat="false" ht="31.5" hidden="false" customHeight="true" outlineLevel="0" collapsed="false">
      <c r="A135" s="12" t="n">
        <v>111</v>
      </c>
      <c r="B135" s="12" t="s">
        <v>2960</v>
      </c>
      <c r="C135" s="12" t="s">
        <v>2527</v>
      </c>
      <c r="D135" s="12" t="s">
        <v>113</v>
      </c>
      <c r="E135" s="12"/>
      <c r="F135" s="12"/>
      <c r="G135" s="12"/>
      <c r="H135" s="12"/>
      <c r="I135" s="12"/>
      <c r="J135" s="12"/>
      <c r="K135" s="12"/>
      <c r="L135" s="12"/>
      <c r="M135" s="12"/>
      <c r="N135" s="12"/>
      <c r="O135" s="13"/>
      <c r="P135" s="13" t="s">
        <v>2961</v>
      </c>
      <c r="Q135" s="13" t="s">
        <v>336</v>
      </c>
      <c r="R135" s="13" t="s">
        <v>2962</v>
      </c>
      <c r="S135" s="13" t="s">
        <v>2963</v>
      </c>
      <c r="T135" s="12" t="s">
        <v>94</v>
      </c>
      <c r="U135" s="12" t="s">
        <v>2964</v>
      </c>
    </row>
    <row r="136" customFormat="false" ht="31.5" hidden="false" customHeight="true" outlineLevel="0" collapsed="false">
      <c r="A136" s="12" t="n">
        <v>112</v>
      </c>
      <c r="B136" s="12" t="s">
        <v>333</v>
      </c>
      <c r="C136" s="12" t="s">
        <v>2630</v>
      </c>
      <c r="D136" s="12" t="s">
        <v>113</v>
      </c>
      <c r="E136" s="12" t="s">
        <v>83</v>
      </c>
      <c r="F136" s="12" t="n">
        <v>79284.35</v>
      </c>
      <c r="G136" s="12"/>
      <c r="H136" s="12"/>
      <c r="I136" s="12"/>
      <c r="J136" s="12" t="n">
        <v>100</v>
      </c>
      <c r="K136" s="12" t="n">
        <v>100</v>
      </c>
      <c r="L136" s="12"/>
      <c r="M136" s="12" t="n">
        <v>202.99</v>
      </c>
      <c r="N136" s="12" t="n">
        <v>80893.8</v>
      </c>
      <c r="O136" s="13"/>
      <c r="P136" s="13" t="s">
        <v>2965</v>
      </c>
      <c r="Q136" s="13"/>
      <c r="R136" s="13"/>
      <c r="S136" s="13" t="s">
        <v>2966</v>
      </c>
      <c r="T136" s="12" t="s">
        <v>94</v>
      </c>
      <c r="U136" s="12" t="s">
        <v>2967</v>
      </c>
    </row>
    <row r="137" customFormat="false" ht="31.5" hidden="false" customHeight="true" outlineLevel="0" collapsed="false">
      <c r="A137" s="12" t="n">
        <v>113</v>
      </c>
      <c r="B137" s="12" t="s">
        <v>2968</v>
      </c>
      <c r="C137" s="12" t="s">
        <v>2581</v>
      </c>
      <c r="D137" s="12" t="s">
        <v>363</v>
      </c>
      <c r="E137" s="12" t="s">
        <v>83</v>
      </c>
      <c r="F137" s="12" t="n">
        <v>6.9</v>
      </c>
      <c r="G137" s="12"/>
      <c r="H137" s="12"/>
      <c r="I137" s="12"/>
      <c r="J137" s="12" t="n">
        <v>50</v>
      </c>
      <c r="K137" s="12" t="n">
        <v>50</v>
      </c>
      <c r="L137" s="12"/>
      <c r="M137" s="12" t="n">
        <v>190.71</v>
      </c>
      <c r="N137" s="12" t="n">
        <v>7.171</v>
      </c>
      <c r="O137" s="13"/>
      <c r="P137" s="13" t="s">
        <v>2969</v>
      </c>
      <c r="Q137" s="13"/>
      <c r="R137" s="13"/>
      <c r="S137" s="13" t="s">
        <v>2970</v>
      </c>
      <c r="T137" s="12" t="s">
        <v>94</v>
      </c>
      <c r="U137" s="12" t="s">
        <v>2971</v>
      </c>
    </row>
    <row r="138" customFormat="false" ht="31.5" hidden="false" customHeight="true" outlineLevel="0" collapsed="false">
      <c r="A138" s="12" t="n">
        <v>114</v>
      </c>
      <c r="B138" s="12" t="s">
        <v>2972</v>
      </c>
      <c r="C138" s="12" t="s">
        <v>2511</v>
      </c>
      <c r="D138" s="12"/>
      <c r="E138" s="12"/>
      <c r="F138" s="12"/>
      <c r="G138" s="12"/>
      <c r="H138" s="12"/>
      <c r="I138" s="12"/>
      <c r="J138" s="12"/>
      <c r="K138" s="12"/>
      <c r="L138" s="12"/>
      <c r="M138" s="12"/>
      <c r="N138" s="12"/>
      <c r="O138" s="13"/>
      <c r="P138" s="13" t="s">
        <v>2973</v>
      </c>
      <c r="Q138" s="13"/>
      <c r="R138" s="13"/>
      <c r="S138" s="13" t="s">
        <v>2974</v>
      </c>
      <c r="T138" s="12" t="s">
        <v>94</v>
      </c>
      <c r="U138" s="12" t="s">
        <v>2975</v>
      </c>
    </row>
    <row r="139" customFormat="false" ht="31.5" hidden="false" customHeight="true" outlineLevel="0" collapsed="false">
      <c r="A139" s="12" t="n">
        <v>115</v>
      </c>
      <c r="B139" s="12" t="s">
        <v>2976</v>
      </c>
      <c r="C139" s="12" t="s">
        <v>2557</v>
      </c>
      <c r="D139" s="12" t="s">
        <v>113</v>
      </c>
      <c r="E139" s="12" t="s">
        <v>83</v>
      </c>
      <c r="F139" s="12" t="n">
        <v>79313.4</v>
      </c>
      <c r="G139" s="12"/>
      <c r="H139" s="12"/>
      <c r="I139" s="12"/>
      <c r="J139" s="12"/>
      <c r="K139" s="12" t="n">
        <v>30</v>
      </c>
      <c r="L139" s="12"/>
      <c r="M139" s="12" t="n">
        <v>61</v>
      </c>
      <c r="N139" s="12" t="n">
        <v>80926.4</v>
      </c>
      <c r="O139" s="13"/>
      <c r="P139" s="13" t="s">
        <v>2977</v>
      </c>
      <c r="Q139" s="13"/>
      <c r="R139" s="13"/>
      <c r="S139" s="13" t="s">
        <v>2978</v>
      </c>
      <c r="T139" s="12" t="s">
        <v>94</v>
      </c>
      <c r="U139" s="12" t="s">
        <v>2979</v>
      </c>
    </row>
    <row r="140" customFormat="false" ht="31.5" hidden="false" customHeight="true" outlineLevel="0" collapsed="false">
      <c r="A140" s="12" t="n">
        <v>116</v>
      </c>
      <c r="B140" s="12" t="s">
        <v>2980</v>
      </c>
      <c r="C140" s="12" t="s">
        <v>2557</v>
      </c>
      <c r="D140" s="12" t="s">
        <v>113</v>
      </c>
      <c r="E140" s="12" t="s">
        <v>83</v>
      </c>
      <c r="F140" s="12"/>
      <c r="G140" s="12"/>
      <c r="H140" s="12"/>
      <c r="I140" s="12"/>
      <c r="J140" s="12"/>
      <c r="K140" s="12" t="n">
        <v>250</v>
      </c>
      <c r="L140" s="12"/>
      <c r="M140" s="12" t="n">
        <v>448.51</v>
      </c>
      <c r="N140" s="12"/>
      <c r="O140" s="13"/>
      <c r="P140" s="13" t="s">
        <v>2981</v>
      </c>
      <c r="Q140" s="13"/>
      <c r="R140" s="13"/>
      <c r="S140" s="13" t="s">
        <v>2982</v>
      </c>
      <c r="T140" s="12" t="s">
        <v>108</v>
      </c>
      <c r="U140" s="12" t="s">
        <v>2983</v>
      </c>
    </row>
    <row r="141" customFormat="false" ht="31.5" hidden="false" customHeight="true" outlineLevel="0" collapsed="false">
      <c r="A141" s="12" t="n">
        <v>117</v>
      </c>
      <c r="B141" s="12" t="s">
        <v>2984</v>
      </c>
      <c r="C141" s="12" t="s">
        <v>2502</v>
      </c>
      <c r="D141" s="12"/>
      <c r="E141" s="12"/>
      <c r="F141" s="12"/>
      <c r="G141" s="12"/>
      <c r="H141" s="12"/>
      <c r="I141" s="12"/>
      <c r="J141" s="12"/>
      <c r="K141" s="12"/>
      <c r="L141" s="12"/>
      <c r="M141" s="12"/>
      <c r="N141" s="12"/>
      <c r="O141" s="13"/>
      <c r="P141" s="13" t="s">
        <v>2985</v>
      </c>
      <c r="Q141" s="13"/>
      <c r="R141" s="13"/>
      <c r="S141" s="13" t="s">
        <v>2986</v>
      </c>
      <c r="T141" s="12" t="s">
        <v>94</v>
      </c>
      <c r="U141" s="12" t="s">
        <v>2987</v>
      </c>
    </row>
    <row r="142" customFormat="false" ht="31.5" hidden="false" customHeight="true" outlineLevel="0" collapsed="false">
      <c r="A142" s="12" t="n">
        <v>118</v>
      </c>
      <c r="B142" s="12" t="s">
        <v>2988</v>
      </c>
      <c r="C142" s="12" t="s">
        <v>2502</v>
      </c>
      <c r="D142" s="12"/>
      <c r="E142" s="12"/>
      <c r="F142" s="12"/>
      <c r="G142" s="12"/>
      <c r="H142" s="12"/>
      <c r="I142" s="12"/>
      <c r="J142" s="12"/>
      <c r="K142" s="12"/>
      <c r="L142" s="12"/>
      <c r="M142" s="12"/>
      <c r="N142" s="12"/>
      <c r="O142" s="13"/>
      <c r="P142" s="13" t="s">
        <v>2989</v>
      </c>
      <c r="Q142" s="13"/>
      <c r="R142" s="13"/>
      <c r="S142" s="13" t="s">
        <v>2990</v>
      </c>
      <c r="T142" s="12" t="s">
        <v>94</v>
      </c>
      <c r="U142" s="12" t="s">
        <v>2991</v>
      </c>
    </row>
    <row r="143" customFormat="false" ht="31.5" hidden="false" customHeight="true" outlineLevel="0" collapsed="false">
      <c r="A143" s="12" t="n">
        <v>119</v>
      </c>
      <c r="B143" s="12" t="s">
        <v>2992</v>
      </c>
      <c r="C143" s="12" t="s">
        <v>2511</v>
      </c>
      <c r="D143" s="12"/>
      <c r="E143" s="12"/>
      <c r="F143" s="12"/>
      <c r="G143" s="12"/>
      <c r="H143" s="12"/>
      <c r="I143" s="12"/>
      <c r="J143" s="12"/>
      <c r="K143" s="12"/>
      <c r="L143" s="12"/>
      <c r="M143" s="12"/>
      <c r="N143" s="12"/>
      <c r="O143" s="13"/>
      <c r="P143" s="13" t="s">
        <v>2993</v>
      </c>
      <c r="Q143" s="13"/>
      <c r="R143" s="13"/>
      <c r="S143" s="13" t="s">
        <v>2994</v>
      </c>
      <c r="T143" s="12" t="s">
        <v>94</v>
      </c>
      <c r="U143" s="12" t="s">
        <v>2995</v>
      </c>
    </row>
    <row r="144" customFormat="false" ht="31.5" hidden="false" customHeight="true" outlineLevel="0" collapsed="false">
      <c r="A144" s="12" t="n">
        <v>120</v>
      </c>
      <c r="B144" s="12" t="s">
        <v>367</v>
      </c>
      <c r="C144" s="12" t="s">
        <v>2630</v>
      </c>
      <c r="D144" s="12" t="s">
        <v>363</v>
      </c>
      <c r="E144" s="12" t="s">
        <v>83</v>
      </c>
      <c r="F144" s="12" t="n">
        <v>6.9</v>
      </c>
      <c r="G144" s="12"/>
      <c r="H144" s="12"/>
      <c r="I144" s="12"/>
      <c r="J144" s="12" t="n">
        <v>100</v>
      </c>
      <c r="K144" s="12" t="n">
        <v>50</v>
      </c>
      <c r="L144" s="12"/>
      <c r="M144" s="12" t="n">
        <v>161.15</v>
      </c>
      <c r="N144" s="12" t="n">
        <v>7.135</v>
      </c>
      <c r="O144" s="13"/>
      <c r="P144" s="13" t="s">
        <v>2996</v>
      </c>
      <c r="Q144" s="13"/>
      <c r="R144" s="13"/>
      <c r="S144" s="13" t="s">
        <v>2997</v>
      </c>
      <c r="T144" s="12" t="s">
        <v>94</v>
      </c>
      <c r="U144" s="12" t="s">
        <v>2998</v>
      </c>
    </row>
    <row r="145" customFormat="false" ht="31.5" hidden="false" customHeight="true" outlineLevel="0" collapsed="false">
      <c r="A145" s="12" t="n">
        <v>121</v>
      </c>
      <c r="B145" s="12" t="s">
        <v>2999</v>
      </c>
      <c r="C145" s="12" t="s">
        <v>2527</v>
      </c>
      <c r="D145" s="12" t="s">
        <v>113</v>
      </c>
      <c r="E145" s="12"/>
      <c r="F145" s="12"/>
      <c r="G145" s="12"/>
      <c r="H145" s="12"/>
      <c r="I145" s="12"/>
      <c r="J145" s="12"/>
      <c r="K145" s="12"/>
      <c r="L145" s="12"/>
      <c r="M145" s="12"/>
      <c r="N145" s="12" t="n">
        <v>82000</v>
      </c>
      <c r="O145" s="13"/>
      <c r="P145" s="13" t="s">
        <v>3000</v>
      </c>
      <c r="Q145" s="13" t="s">
        <v>336</v>
      </c>
      <c r="R145" s="13" t="s">
        <v>3001</v>
      </c>
      <c r="S145" s="13" t="s">
        <v>3002</v>
      </c>
      <c r="T145" s="12" t="s">
        <v>94</v>
      </c>
      <c r="U145" s="12" t="s">
        <v>3003</v>
      </c>
    </row>
    <row r="146" customFormat="false" ht="31.5" hidden="false" customHeight="true" outlineLevel="0" collapsed="false">
      <c r="A146" s="12" t="n">
        <v>122</v>
      </c>
      <c r="B146" s="12" t="s">
        <v>374</v>
      </c>
      <c r="C146" s="12" t="s">
        <v>2521</v>
      </c>
      <c r="D146" s="12" t="s">
        <v>113</v>
      </c>
      <c r="E146" s="12" t="s">
        <v>83</v>
      </c>
      <c r="F146" s="12" t="n">
        <v>81300</v>
      </c>
      <c r="G146" s="12" t="n">
        <v>80800</v>
      </c>
      <c r="H146" s="12" t="s">
        <v>376</v>
      </c>
      <c r="I146" s="12" t="n">
        <v>79500</v>
      </c>
      <c r="J146" s="12"/>
      <c r="K146" s="12"/>
      <c r="L146" s="12"/>
      <c r="M146" s="12"/>
      <c r="N146" s="12"/>
      <c r="O146" s="13" t="s">
        <v>3004</v>
      </c>
      <c r="P146" s="13" t="s">
        <v>3005</v>
      </c>
      <c r="Q146" s="13" t="s">
        <v>381</v>
      </c>
      <c r="R146" s="13"/>
      <c r="S146" s="13" t="s">
        <v>3006</v>
      </c>
      <c r="T146" s="12" t="s">
        <v>94</v>
      </c>
      <c r="U146" s="12" t="s">
        <v>385</v>
      </c>
    </row>
    <row r="147" customFormat="false" ht="31.5" hidden="false" customHeight="true" outlineLevel="0" collapsed="false">
      <c r="A147" s="12" t="n">
        <v>123</v>
      </c>
      <c r="B147" s="12" t="s">
        <v>3007</v>
      </c>
      <c r="C147" s="12" t="s">
        <v>2557</v>
      </c>
      <c r="D147" s="12" t="s">
        <v>113</v>
      </c>
      <c r="E147" s="12" t="s">
        <v>83</v>
      </c>
      <c r="F147" s="12"/>
      <c r="G147" s="12"/>
      <c r="H147" s="12"/>
      <c r="I147" s="12"/>
      <c r="J147" s="12"/>
      <c r="K147" s="12"/>
      <c r="L147" s="12"/>
      <c r="M147" s="12"/>
      <c r="N147" s="12"/>
      <c r="O147" s="13"/>
      <c r="P147" s="13" t="s">
        <v>3008</v>
      </c>
      <c r="Q147" s="13"/>
      <c r="R147" s="13"/>
      <c r="S147" s="13" t="s">
        <v>2628</v>
      </c>
      <c r="T147" s="12" t="s">
        <v>94</v>
      </c>
      <c r="U147" s="12" t="s">
        <v>3009</v>
      </c>
    </row>
    <row r="148" customFormat="false" ht="31.5" hidden="false" customHeight="true" outlineLevel="0" collapsed="false">
      <c r="A148" s="12" t="n">
        <v>124</v>
      </c>
      <c r="B148" s="12" t="s">
        <v>3010</v>
      </c>
      <c r="C148" s="12" t="s">
        <v>2666</v>
      </c>
      <c r="D148" s="12" t="s">
        <v>296</v>
      </c>
      <c r="E148" s="12" t="s">
        <v>83</v>
      </c>
      <c r="F148" s="12"/>
      <c r="G148" s="12"/>
      <c r="H148" s="12"/>
      <c r="I148" s="12"/>
      <c r="J148" s="12"/>
      <c r="K148" s="12"/>
      <c r="L148" s="12"/>
      <c r="M148" s="12"/>
      <c r="N148" s="12" t="n">
        <v>1.5431</v>
      </c>
      <c r="O148" s="13"/>
      <c r="P148" s="13" t="s">
        <v>3011</v>
      </c>
      <c r="Q148" s="13"/>
      <c r="R148" s="13"/>
      <c r="S148" s="13" t="s">
        <v>3012</v>
      </c>
      <c r="T148" s="12" t="s">
        <v>94</v>
      </c>
      <c r="U148" s="12" t="s">
        <v>3013</v>
      </c>
    </row>
    <row r="149" customFormat="false" ht="31.5" hidden="false" customHeight="true" outlineLevel="0" collapsed="false">
      <c r="A149" s="12" t="n">
        <v>125</v>
      </c>
      <c r="B149" s="12" t="s">
        <v>386</v>
      </c>
      <c r="C149" s="12" t="s">
        <v>2521</v>
      </c>
      <c r="D149" s="12" t="s">
        <v>387</v>
      </c>
      <c r="E149" s="12" t="s">
        <v>83</v>
      </c>
      <c r="F149" s="12" t="n">
        <v>0.0948</v>
      </c>
      <c r="G149" s="12"/>
      <c r="H149" s="12" t="s">
        <v>389</v>
      </c>
      <c r="I149" s="12" t="n">
        <v>0.089</v>
      </c>
      <c r="J149" s="12"/>
      <c r="K149" s="12"/>
      <c r="L149" s="12"/>
      <c r="M149" s="12"/>
      <c r="N149" s="12"/>
      <c r="O149" s="13"/>
      <c r="P149" s="13" t="s">
        <v>3014</v>
      </c>
      <c r="Q149" s="13"/>
      <c r="R149" s="13"/>
      <c r="S149" s="13" t="s">
        <v>3015</v>
      </c>
      <c r="T149" s="12" t="s">
        <v>94</v>
      </c>
      <c r="U149" s="12" t="s">
        <v>395</v>
      </c>
    </row>
    <row r="150" customFormat="false" ht="31.5" hidden="false" customHeight="true" outlineLevel="0" collapsed="false">
      <c r="A150" s="12" t="n">
        <v>126</v>
      </c>
      <c r="B150" s="12" t="s">
        <v>3016</v>
      </c>
      <c r="C150" s="12" t="s">
        <v>2527</v>
      </c>
      <c r="D150" s="12" t="s">
        <v>113</v>
      </c>
      <c r="E150" s="12"/>
      <c r="F150" s="12"/>
      <c r="G150" s="12"/>
      <c r="H150" s="12"/>
      <c r="I150" s="12"/>
      <c r="J150" s="12"/>
      <c r="K150" s="12"/>
      <c r="L150" s="12"/>
      <c r="M150" s="12"/>
      <c r="N150" s="12"/>
      <c r="O150" s="13" t="s">
        <v>3017</v>
      </c>
      <c r="P150" s="13" t="s">
        <v>3018</v>
      </c>
      <c r="Q150" s="13"/>
      <c r="R150" s="13" t="s">
        <v>3019</v>
      </c>
      <c r="S150" s="13" t="s">
        <v>3020</v>
      </c>
      <c r="T150" s="12" t="s">
        <v>108</v>
      </c>
      <c r="U150" s="12" t="s">
        <v>3021</v>
      </c>
    </row>
    <row r="151" customFormat="false" ht="31.5" hidden="false" customHeight="true" outlineLevel="0" collapsed="false">
      <c r="A151" s="12" t="n">
        <v>127</v>
      </c>
      <c r="B151" s="12" t="s">
        <v>356</v>
      </c>
      <c r="C151" s="12" t="s">
        <v>2630</v>
      </c>
      <c r="D151" s="12" t="s">
        <v>351</v>
      </c>
      <c r="E151" s="12" t="s">
        <v>83</v>
      </c>
      <c r="F151" s="12" t="n">
        <v>0.03538</v>
      </c>
      <c r="G151" s="12"/>
      <c r="H151" s="12"/>
      <c r="I151" s="12"/>
      <c r="J151" s="12" t="n">
        <v>100</v>
      </c>
      <c r="K151" s="12" t="n">
        <v>25</v>
      </c>
      <c r="L151" s="12"/>
      <c r="M151" s="12" t="n">
        <v>116.46</v>
      </c>
      <c r="N151" s="12" t="n">
        <v>0.0371</v>
      </c>
      <c r="O151" s="13"/>
      <c r="P151" s="13" t="s">
        <v>3022</v>
      </c>
      <c r="Q151" s="13"/>
      <c r="R151" s="13"/>
      <c r="S151" s="13" t="s">
        <v>3023</v>
      </c>
      <c r="T151" s="12" t="s">
        <v>94</v>
      </c>
      <c r="U151" s="12" t="s">
        <v>3024</v>
      </c>
    </row>
    <row r="152" customFormat="false" ht="31.5" hidden="false" customHeight="true" outlineLevel="0" collapsed="false">
      <c r="A152" s="12" t="n">
        <v>127</v>
      </c>
      <c r="B152" s="12" t="s">
        <v>356</v>
      </c>
      <c r="C152" s="12" t="s">
        <v>2557</v>
      </c>
      <c r="D152" s="12" t="s">
        <v>113</v>
      </c>
      <c r="E152" s="12" t="s">
        <v>83</v>
      </c>
      <c r="F152" s="12"/>
      <c r="G152" s="12"/>
      <c r="H152" s="12"/>
      <c r="I152" s="12"/>
      <c r="J152" s="12"/>
      <c r="K152" s="12"/>
      <c r="L152" s="12"/>
      <c r="M152" s="12"/>
      <c r="N152" s="12"/>
      <c r="O152" s="13"/>
      <c r="P152" s="13" t="s">
        <v>3025</v>
      </c>
      <c r="Q152" s="13"/>
      <c r="R152" s="13"/>
      <c r="S152" s="13" t="s">
        <v>3026</v>
      </c>
      <c r="T152" s="12" t="s">
        <v>94</v>
      </c>
      <c r="U152" s="12" t="s">
        <v>3024</v>
      </c>
    </row>
    <row r="153" customFormat="false" ht="31.5" hidden="false" customHeight="true" outlineLevel="0" collapsed="false">
      <c r="A153" s="12" t="n">
        <v>127</v>
      </c>
      <c r="B153" s="12" t="s">
        <v>356</v>
      </c>
      <c r="C153" s="12" t="s">
        <v>2557</v>
      </c>
      <c r="D153" s="12" t="s">
        <v>387</v>
      </c>
      <c r="E153" s="12" t="s">
        <v>83</v>
      </c>
      <c r="F153" s="12"/>
      <c r="G153" s="12"/>
      <c r="H153" s="12"/>
      <c r="I153" s="12"/>
      <c r="J153" s="12"/>
      <c r="K153" s="12"/>
      <c r="L153" s="12"/>
      <c r="M153" s="12"/>
      <c r="N153" s="12"/>
      <c r="O153" s="13"/>
      <c r="P153" s="13" t="s">
        <v>3027</v>
      </c>
      <c r="Q153" s="13"/>
      <c r="R153" s="13"/>
      <c r="S153" s="13" t="s">
        <v>3026</v>
      </c>
      <c r="T153" s="12" t="s">
        <v>94</v>
      </c>
      <c r="U153" s="12" t="s">
        <v>3024</v>
      </c>
    </row>
    <row r="154" customFormat="false" ht="31.5" hidden="false" customHeight="true" outlineLevel="0" collapsed="false">
      <c r="A154" s="12" t="n">
        <v>128</v>
      </c>
      <c r="B154" s="12" t="s">
        <v>378</v>
      </c>
      <c r="C154" s="12" t="s">
        <v>2564</v>
      </c>
      <c r="D154" s="12" t="s">
        <v>113</v>
      </c>
      <c r="E154" s="12" t="s">
        <v>83</v>
      </c>
      <c r="F154" s="12" t="n">
        <v>81300</v>
      </c>
      <c r="G154" s="12"/>
      <c r="H154" s="12"/>
      <c r="I154" s="12"/>
      <c r="J154" s="12"/>
      <c r="K154" s="12"/>
      <c r="L154" s="12"/>
      <c r="M154" s="12"/>
      <c r="N154" s="12" t="n">
        <v>82000</v>
      </c>
      <c r="O154" s="13" t="s">
        <v>3028</v>
      </c>
      <c r="P154" s="13" t="s">
        <v>3029</v>
      </c>
      <c r="Q154" s="13"/>
      <c r="R154" s="13" t="s">
        <v>3030</v>
      </c>
      <c r="S154" s="13" t="s">
        <v>3031</v>
      </c>
      <c r="T154" s="12" t="s">
        <v>94</v>
      </c>
      <c r="U154" s="12" t="s">
        <v>3032</v>
      </c>
    </row>
    <row r="155" customFormat="false" ht="31.5" hidden="false" customHeight="true" outlineLevel="0" collapsed="false">
      <c r="A155" s="12" t="n">
        <v>129</v>
      </c>
      <c r="B155" s="12" t="s">
        <v>396</v>
      </c>
      <c r="C155" s="12" t="s">
        <v>2521</v>
      </c>
      <c r="D155" s="12" t="s">
        <v>397</v>
      </c>
      <c r="E155" s="12" t="s">
        <v>83</v>
      </c>
      <c r="F155" s="12" t="n">
        <v>0.0615</v>
      </c>
      <c r="G155" s="12" t="n">
        <v>0.586</v>
      </c>
      <c r="H155" s="12" t="s">
        <v>400</v>
      </c>
      <c r="I155" s="12" t="n">
        <v>0.0525</v>
      </c>
      <c r="J155" s="12"/>
      <c r="K155" s="12"/>
      <c r="L155" s="12"/>
      <c r="M155" s="12"/>
      <c r="N155" s="12"/>
      <c r="O155" s="13" t="s">
        <v>401</v>
      </c>
      <c r="P155" s="13" t="s">
        <v>3033</v>
      </c>
      <c r="Q155" s="13"/>
      <c r="R155" s="13"/>
      <c r="S155" s="13" t="s">
        <v>3034</v>
      </c>
      <c r="T155" s="12" t="s">
        <v>108</v>
      </c>
      <c r="U155" s="12" t="s">
        <v>407</v>
      </c>
    </row>
    <row r="156" customFormat="false" ht="31.5" hidden="false" customHeight="true" outlineLevel="0" collapsed="false">
      <c r="A156" s="12" t="n">
        <v>130</v>
      </c>
      <c r="B156" s="12" t="s">
        <v>408</v>
      </c>
      <c r="C156" s="12" t="s">
        <v>2516</v>
      </c>
      <c r="D156" s="12" t="s">
        <v>409</v>
      </c>
      <c r="E156" s="12" t="s">
        <v>83</v>
      </c>
      <c r="F156" s="12"/>
      <c r="G156" s="12"/>
      <c r="H156" s="12"/>
      <c r="I156" s="12" t="n">
        <v>9.6</v>
      </c>
      <c r="J156" s="12"/>
      <c r="K156" s="12"/>
      <c r="L156" s="12"/>
      <c r="M156" s="12"/>
      <c r="N156" s="12"/>
      <c r="O156" s="13"/>
      <c r="P156" s="13" t="s">
        <v>3035</v>
      </c>
      <c r="Q156" s="13"/>
      <c r="R156" s="13" t="s">
        <v>413</v>
      </c>
      <c r="S156" s="13" t="s">
        <v>3036</v>
      </c>
      <c r="T156" s="12" t="s">
        <v>94</v>
      </c>
      <c r="U156" s="12" t="s">
        <v>416</v>
      </c>
    </row>
    <row r="157" customFormat="false" ht="31.5" hidden="false" customHeight="true" outlineLevel="0" collapsed="false">
      <c r="A157" s="12" t="n">
        <v>131</v>
      </c>
      <c r="B157" s="12" t="s">
        <v>3037</v>
      </c>
      <c r="C157" s="12" t="s">
        <v>2527</v>
      </c>
      <c r="D157" s="12" t="s">
        <v>113</v>
      </c>
      <c r="E157" s="12"/>
      <c r="F157" s="12"/>
      <c r="G157" s="12"/>
      <c r="H157" s="12"/>
      <c r="I157" s="12"/>
      <c r="J157" s="12"/>
      <c r="K157" s="12"/>
      <c r="L157" s="12"/>
      <c r="M157" s="12"/>
      <c r="N157" s="12" t="n">
        <v>77700</v>
      </c>
      <c r="O157" s="13"/>
      <c r="P157" s="13" t="s">
        <v>3038</v>
      </c>
      <c r="Q157" s="13" t="s">
        <v>3039</v>
      </c>
      <c r="R157" s="13" t="s">
        <v>3040</v>
      </c>
      <c r="S157" s="13" t="s">
        <v>3041</v>
      </c>
      <c r="T157" s="12" t="s">
        <v>94</v>
      </c>
      <c r="U157" s="12" t="s">
        <v>3042</v>
      </c>
    </row>
    <row r="158" customFormat="false" ht="31.5" hidden="false" customHeight="true" outlineLevel="0" collapsed="false">
      <c r="A158" s="12" t="n">
        <v>131</v>
      </c>
      <c r="B158" s="12" t="s">
        <v>3037</v>
      </c>
      <c r="C158" s="12" t="s">
        <v>2516</v>
      </c>
      <c r="D158" s="12" t="s">
        <v>113</v>
      </c>
      <c r="E158" s="12" t="s">
        <v>83</v>
      </c>
      <c r="F158" s="12" t="n">
        <v>76850</v>
      </c>
      <c r="G158" s="12"/>
      <c r="H158" s="12" t="s">
        <v>3043</v>
      </c>
      <c r="I158" s="12" t="n">
        <v>75000</v>
      </c>
      <c r="J158" s="12"/>
      <c r="K158" s="12"/>
      <c r="L158" s="12"/>
      <c r="M158" s="12"/>
      <c r="N158" s="12"/>
      <c r="O158" s="13"/>
      <c r="P158" s="13" t="s">
        <v>3044</v>
      </c>
      <c r="Q158" s="13"/>
      <c r="R158" s="13"/>
      <c r="S158" s="13" t="s">
        <v>3045</v>
      </c>
      <c r="T158" s="12" t="s">
        <v>94</v>
      </c>
      <c r="U158" s="12" t="s">
        <v>3042</v>
      </c>
    </row>
    <row r="159" customFormat="false" ht="31.5" hidden="false" customHeight="true" outlineLevel="0" collapsed="false">
      <c r="A159" s="12" t="n">
        <v>132</v>
      </c>
      <c r="B159" s="12" t="s">
        <v>3046</v>
      </c>
      <c r="C159" s="12" t="s">
        <v>2557</v>
      </c>
      <c r="D159" s="12" t="s">
        <v>113</v>
      </c>
      <c r="E159" s="12"/>
      <c r="F159" s="12"/>
      <c r="G159" s="12"/>
      <c r="H159" s="12"/>
      <c r="I159" s="12"/>
      <c r="J159" s="12"/>
      <c r="K159" s="12"/>
      <c r="L159" s="12"/>
      <c r="M159" s="12"/>
      <c r="N159" s="12"/>
      <c r="O159" s="13" t="s">
        <v>3047</v>
      </c>
      <c r="P159" s="13" t="s">
        <v>3048</v>
      </c>
      <c r="Q159" s="13"/>
      <c r="R159" s="13"/>
      <c r="S159" s="13" t="s">
        <v>3049</v>
      </c>
      <c r="T159" s="12" t="s">
        <v>94</v>
      </c>
      <c r="U159" s="12" t="s">
        <v>3050</v>
      </c>
    </row>
    <row r="160" customFormat="false" ht="31.5" hidden="false" customHeight="true" outlineLevel="0" collapsed="false">
      <c r="A160" s="12" t="n">
        <v>133</v>
      </c>
      <c r="B160" s="12" t="s">
        <v>3051</v>
      </c>
      <c r="C160" s="12" t="s">
        <v>2516</v>
      </c>
      <c r="D160" s="12" t="s">
        <v>113</v>
      </c>
      <c r="E160" s="12" t="s">
        <v>83</v>
      </c>
      <c r="F160" s="12"/>
      <c r="G160" s="12"/>
      <c r="H160" s="12"/>
      <c r="I160" s="12"/>
      <c r="J160" s="12"/>
      <c r="K160" s="12"/>
      <c r="L160" s="12"/>
      <c r="M160" s="12"/>
      <c r="N160" s="12"/>
      <c r="O160" s="13"/>
      <c r="P160" s="13" t="s">
        <v>3052</v>
      </c>
      <c r="Q160" s="13"/>
      <c r="R160" s="13" t="s">
        <v>1649</v>
      </c>
      <c r="S160" s="13" t="s">
        <v>3053</v>
      </c>
      <c r="T160" s="12" t="s">
        <v>94</v>
      </c>
      <c r="U160" s="12" t="s">
        <v>438</v>
      </c>
    </row>
    <row r="161" customFormat="false" ht="31.5" hidden="false" customHeight="true" outlineLevel="0" collapsed="false">
      <c r="A161" s="12" t="n">
        <v>134</v>
      </c>
      <c r="B161" s="12" t="s">
        <v>3054</v>
      </c>
      <c r="C161" s="12" t="s">
        <v>2516</v>
      </c>
      <c r="D161" s="12" t="s">
        <v>113</v>
      </c>
      <c r="E161" s="12" t="s">
        <v>83</v>
      </c>
      <c r="F161" s="12"/>
      <c r="G161" s="12"/>
      <c r="H161" s="12" t="s">
        <v>3055</v>
      </c>
      <c r="I161" s="12"/>
      <c r="J161" s="12"/>
      <c r="K161" s="12"/>
      <c r="L161" s="12"/>
      <c r="M161" s="12"/>
      <c r="N161" s="12"/>
      <c r="O161" s="13"/>
      <c r="P161" s="13" t="s">
        <v>3056</v>
      </c>
      <c r="Q161" s="13" t="s">
        <v>191</v>
      </c>
      <c r="R161" s="13" t="s">
        <v>1649</v>
      </c>
      <c r="S161" s="13" t="s">
        <v>3057</v>
      </c>
      <c r="T161" s="12" t="s">
        <v>108</v>
      </c>
      <c r="U161" s="12" t="s">
        <v>3058</v>
      </c>
    </row>
    <row r="162" customFormat="false" ht="31.5" hidden="false" customHeight="true" outlineLevel="0" collapsed="false">
      <c r="A162" s="12" t="n">
        <v>135</v>
      </c>
      <c r="B162" s="12" t="s">
        <v>417</v>
      </c>
      <c r="C162" s="12" t="s">
        <v>2521</v>
      </c>
      <c r="D162" s="12" t="s">
        <v>113</v>
      </c>
      <c r="E162" s="12" t="s">
        <v>83</v>
      </c>
      <c r="F162" s="12" t="n">
        <v>78000</v>
      </c>
      <c r="G162" s="12"/>
      <c r="H162" s="12"/>
      <c r="I162" s="12" t="n">
        <v>77700</v>
      </c>
      <c r="J162" s="12"/>
      <c r="K162" s="12"/>
      <c r="L162" s="12"/>
      <c r="M162" s="12"/>
      <c r="N162" s="12"/>
      <c r="O162" s="13" t="s">
        <v>3059</v>
      </c>
      <c r="P162" s="13" t="s">
        <v>3060</v>
      </c>
      <c r="Q162" s="13" t="s">
        <v>425</v>
      </c>
      <c r="R162" s="13"/>
      <c r="S162" s="13" t="s">
        <v>3061</v>
      </c>
      <c r="T162" s="12" t="s">
        <v>94</v>
      </c>
      <c r="U162" s="12" t="s">
        <v>429</v>
      </c>
    </row>
    <row r="163" customFormat="false" ht="31.5" hidden="false" customHeight="true" outlineLevel="0" collapsed="false">
      <c r="A163" s="12" t="n">
        <v>135</v>
      </c>
      <c r="B163" s="12" t="s">
        <v>417</v>
      </c>
      <c r="C163" s="12" t="s">
        <v>2521</v>
      </c>
      <c r="D163" s="12" t="s">
        <v>99</v>
      </c>
      <c r="E163" s="12" t="s">
        <v>83</v>
      </c>
      <c r="F163" s="12" t="n">
        <v>2170</v>
      </c>
      <c r="G163" s="12"/>
      <c r="H163" s="12"/>
      <c r="I163" s="12" t="n">
        <v>2145</v>
      </c>
      <c r="J163" s="12"/>
      <c r="K163" s="12"/>
      <c r="L163" s="12"/>
      <c r="M163" s="12"/>
      <c r="N163" s="12"/>
      <c r="O163" s="13" t="s">
        <v>3059</v>
      </c>
      <c r="P163" s="13" t="s">
        <v>3062</v>
      </c>
      <c r="Q163" s="13" t="s">
        <v>425</v>
      </c>
      <c r="R163" s="13"/>
      <c r="S163" s="13" t="s">
        <v>3063</v>
      </c>
      <c r="T163" s="12" t="s">
        <v>94</v>
      </c>
      <c r="U163" s="12" t="s">
        <v>429</v>
      </c>
    </row>
    <row r="164" customFormat="false" ht="31.5" hidden="false" customHeight="true" outlineLevel="0" collapsed="false">
      <c r="A164" s="12" t="n">
        <v>136</v>
      </c>
      <c r="B164" s="12" t="s">
        <v>421</v>
      </c>
      <c r="C164" s="12" t="s">
        <v>2549</v>
      </c>
      <c r="D164" s="12" t="s">
        <v>99</v>
      </c>
      <c r="E164" s="12" t="s">
        <v>83</v>
      </c>
      <c r="F164" s="12" t="n">
        <v>2172</v>
      </c>
      <c r="G164" s="12"/>
      <c r="H164" s="12"/>
      <c r="I164" s="12" t="n">
        <v>2145</v>
      </c>
      <c r="J164" s="12"/>
      <c r="K164" s="12"/>
      <c r="L164" s="12"/>
      <c r="M164" s="12"/>
      <c r="N164" s="12"/>
      <c r="O164" s="13" t="s">
        <v>3064</v>
      </c>
      <c r="P164" s="13" t="s">
        <v>3065</v>
      </c>
      <c r="Q164" s="13"/>
      <c r="R164" s="13"/>
      <c r="S164" s="13" t="s">
        <v>3066</v>
      </c>
      <c r="T164" s="12" t="s">
        <v>94</v>
      </c>
      <c r="U164" s="12" t="s">
        <v>3067</v>
      </c>
    </row>
    <row r="165" customFormat="false" ht="31.5" hidden="false" customHeight="true" outlineLevel="0" collapsed="false">
      <c r="A165" s="12" t="n">
        <v>137</v>
      </c>
      <c r="B165" s="12" t="s">
        <v>3068</v>
      </c>
      <c r="C165" s="12" t="s">
        <v>2557</v>
      </c>
      <c r="D165" s="12" t="s">
        <v>99</v>
      </c>
      <c r="E165" s="12" t="s">
        <v>83</v>
      </c>
      <c r="F165" s="12"/>
      <c r="G165" s="12"/>
      <c r="H165" s="12"/>
      <c r="I165" s="12"/>
      <c r="J165" s="12"/>
      <c r="K165" s="12"/>
      <c r="L165" s="12"/>
      <c r="M165" s="12"/>
      <c r="N165" s="12"/>
      <c r="O165" s="13" t="s">
        <v>3069</v>
      </c>
      <c r="P165" s="13" t="s">
        <v>3070</v>
      </c>
      <c r="Q165" s="13"/>
      <c r="R165" s="13"/>
      <c r="S165" s="13" t="s">
        <v>3069</v>
      </c>
      <c r="T165" s="12" t="s">
        <v>108</v>
      </c>
      <c r="U165" s="12" t="s">
        <v>3071</v>
      </c>
    </row>
    <row r="166" customFormat="false" ht="31.5" hidden="false" customHeight="true" outlineLevel="0" collapsed="false">
      <c r="A166" s="12" t="n">
        <v>138</v>
      </c>
      <c r="B166" s="12" t="s">
        <v>3072</v>
      </c>
      <c r="C166" s="12" t="s">
        <v>2557</v>
      </c>
      <c r="D166" s="12" t="s">
        <v>99</v>
      </c>
      <c r="E166" s="12" t="s">
        <v>83</v>
      </c>
      <c r="F166" s="12"/>
      <c r="G166" s="12"/>
      <c r="H166" s="12"/>
      <c r="I166" s="12"/>
      <c r="J166" s="12"/>
      <c r="K166" s="12"/>
      <c r="L166" s="12"/>
      <c r="M166" s="12"/>
      <c r="N166" s="12"/>
      <c r="O166" s="13"/>
      <c r="P166" s="13" t="s">
        <v>3073</v>
      </c>
      <c r="Q166" s="13"/>
      <c r="R166" s="13" t="s">
        <v>3074</v>
      </c>
      <c r="S166" s="13" t="s">
        <v>3075</v>
      </c>
      <c r="T166" s="12" t="s">
        <v>108</v>
      </c>
      <c r="U166" s="12" t="s">
        <v>3076</v>
      </c>
    </row>
    <row r="167" customFormat="false" ht="31.5" hidden="false" customHeight="true" outlineLevel="0" collapsed="false">
      <c r="A167" s="12" t="n">
        <v>139</v>
      </c>
      <c r="B167" s="12" t="s">
        <v>439</v>
      </c>
      <c r="C167" s="12" t="s">
        <v>2521</v>
      </c>
      <c r="D167" s="12" t="s">
        <v>113</v>
      </c>
      <c r="E167" s="12" t="s">
        <v>83</v>
      </c>
      <c r="F167" s="12"/>
      <c r="G167" s="12"/>
      <c r="H167" s="12"/>
      <c r="I167" s="12" t="n">
        <v>76900</v>
      </c>
      <c r="J167" s="12"/>
      <c r="K167" s="12"/>
      <c r="L167" s="12"/>
      <c r="M167" s="12"/>
      <c r="N167" s="12"/>
      <c r="O167" s="13"/>
      <c r="P167" s="13" t="s">
        <v>3077</v>
      </c>
      <c r="Q167" s="13"/>
      <c r="R167" s="13" t="s">
        <v>3078</v>
      </c>
      <c r="S167" s="13" t="s">
        <v>3079</v>
      </c>
      <c r="T167" s="12" t="s">
        <v>94</v>
      </c>
      <c r="U167" s="12" t="s">
        <v>447</v>
      </c>
    </row>
    <row r="168" customFormat="false" ht="31.5" hidden="false" customHeight="true" outlineLevel="0" collapsed="false">
      <c r="A168" s="12" t="n">
        <v>139</v>
      </c>
      <c r="B168" s="12" t="s">
        <v>439</v>
      </c>
      <c r="C168" s="12" t="s">
        <v>2557</v>
      </c>
      <c r="D168" s="12" t="s">
        <v>99</v>
      </c>
      <c r="E168" s="12" t="s">
        <v>83</v>
      </c>
      <c r="F168" s="12"/>
      <c r="G168" s="12"/>
      <c r="H168" s="12"/>
      <c r="I168" s="12"/>
      <c r="J168" s="12"/>
      <c r="K168" s="12"/>
      <c r="L168" s="12"/>
      <c r="M168" s="12"/>
      <c r="N168" s="12"/>
      <c r="O168" s="13"/>
      <c r="P168" s="13" t="s">
        <v>3080</v>
      </c>
      <c r="Q168" s="13"/>
      <c r="R168" s="13"/>
      <c r="S168" s="13" t="s">
        <v>3081</v>
      </c>
      <c r="T168" s="12" t="s">
        <v>94</v>
      </c>
      <c r="U168" s="12" t="s">
        <v>447</v>
      </c>
    </row>
    <row r="169" customFormat="false" ht="31.5" hidden="false" customHeight="true" outlineLevel="0" collapsed="false">
      <c r="A169" s="12" t="n">
        <v>139</v>
      </c>
      <c r="B169" s="12" t="s">
        <v>439</v>
      </c>
      <c r="C169" s="12" t="s">
        <v>2516</v>
      </c>
      <c r="D169" s="12" t="s">
        <v>387</v>
      </c>
      <c r="E169" s="12" t="s">
        <v>83</v>
      </c>
      <c r="F169" s="12"/>
      <c r="G169" s="12"/>
      <c r="H169" s="12"/>
      <c r="I169" s="12"/>
      <c r="J169" s="12"/>
      <c r="K169" s="12"/>
      <c r="L169" s="12"/>
      <c r="M169" s="12"/>
      <c r="N169" s="12"/>
      <c r="O169" s="13"/>
      <c r="P169" s="13" t="s">
        <v>3082</v>
      </c>
      <c r="Q169" s="13"/>
      <c r="R169" s="13"/>
      <c r="S169" s="13" t="s">
        <v>3083</v>
      </c>
      <c r="T169" s="12" t="s">
        <v>94</v>
      </c>
      <c r="U169" s="12" t="s">
        <v>447</v>
      </c>
    </row>
    <row r="170" customFormat="false" ht="31.5" hidden="false" customHeight="true" outlineLevel="0" collapsed="false">
      <c r="A170" s="12" t="n">
        <v>139</v>
      </c>
      <c r="B170" s="12" t="s">
        <v>439</v>
      </c>
      <c r="C170" s="12" t="s">
        <v>2557</v>
      </c>
      <c r="D170" s="12" t="s">
        <v>397</v>
      </c>
      <c r="E170" s="12" t="s">
        <v>83</v>
      </c>
      <c r="F170" s="12" t="n">
        <v>0.606</v>
      </c>
      <c r="G170" s="12"/>
      <c r="H170" s="12"/>
      <c r="I170" s="12"/>
      <c r="J170" s="12"/>
      <c r="K170" s="12"/>
      <c r="L170" s="12"/>
      <c r="M170" s="12"/>
      <c r="N170" s="12"/>
      <c r="O170" s="13"/>
      <c r="P170" s="13" t="s">
        <v>3084</v>
      </c>
      <c r="Q170" s="13"/>
      <c r="R170" s="13"/>
      <c r="S170" s="13" t="s">
        <v>3085</v>
      </c>
      <c r="T170" s="12" t="s">
        <v>108</v>
      </c>
      <c r="U170" s="12" t="s">
        <v>447</v>
      </c>
    </row>
    <row r="171" customFormat="false" ht="31.5" hidden="false" customHeight="true" outlineLevel="0" collapsed="false">
      <c r="A171" s="12" t="n">
        <v>140</v>
      </c>
      <c r="B171" s="12" t="s">
        <v>3086</v>
      </c>
      <c r="C171" s="12" t="s">
        <v>2581</v>
      </c>
      <c r="D171" s="12" t="s">
        <v>99</v>
      </c>
      <c r="E171" s="12" t="s">
        <v>83</v>
      </c>
      <c r="F171" s="12" t="n">
        <v>2173.61</v>
      </c>
      <c r="G171" s="12"/>
      <c r="H171" s="12"/>
      <c r="I171" s="12"/>
      <c r="J171" s="12" t="n">
        <v>25</v>
      </c>
      <c r="K171" s="12" t="n">
        <v>100</v>
      </c>
      <c r="L171" s="12" t="n">
        <v>1</v>
      </c>
      <c r="M171" s="12" t="n">
        <v>90.57</v>
      </c>
      <c r="N171" s="12" t="n">
        <v>2194.45</v>
      </c>
      <c r="O171" s="13"/>
      <c r="P171" s="13" t="s">
        <v>3087</v>
      </c>
      <c r="Q171" s="13"/>
      <c r="R171" s="13"/>
      <c r="S171" s="13" t="s">
        <v>3088</v>
      </c>
      <c r="T171" s="12" t="s">
        <v>94</v>
      </c>
      <c r="U171" s="12" t="s">
        <v>3089</v>
      </c>
    </row>
    <row r="172" customFormat="false" ht="31.5" hidden="false" customHeight="true" outlineLevel="0" collapsed="false">
      <c r="A172" s="12" t="n">
        <v>141</v>
      </c>
      <c r="B172" s="12" t="s">
        <v>3090</v>
      </c>
      <c r="C172" s="12" t="s">
        <v>2557</v>
      </c>
      <c r="D172" s="12" t="s">
        <v>113</v>
      </c>
      <c r="E172" s="12" t="s">
        <v>83</v>
      </c>
      <c r="F172" s="12" t="n">
        <v>78041.3</v>
      </c>
      <c r="G172" s="12"/>
      <c r="H172" s="12"/>
      <c r="I172" s="12"/>
      <c r="J172" s="12"/>
      <c r="K172" s="12" t="n">
        <v>150</v>
      </c>
      <c r="L172" s="12"/>
      <c r="M172" s="12" t="n">
        <v>87.18</v>
      </c>
      <c r="N172" s="12" t="n">
        <v>78494.9</v>
      </c>
      <c r="O172" s="13"/>
      <c r="P172" s="13" t="s">
        <v>3091</v>
      </c>
      <c r="Q172" s="13"/>
      <c r="R172" s="13"/>
      <c r="S172" s="13" t="s">
        <v>3092</v>
      </c>
      <c r="T172" s="12" t="s">
        <v>94</v>
      </c>
      <c r="U172" s="12" t="s">
        <v>3093</v>
      </c>
    </row>
    <row r="173" customFormat="false" ht="31.5" hidden="false" customHeight="true" outlineLevel="0" collapsed="false">
      <c r="A173" s="12" t="n">
        <v>142</v>
      </c>
      <c r="B173" s="12" t="s">
        <v>3094</v>
      </c>
      <c r="C173" s="12" t="s">
        <v>2516</v>
      </c>
      <c r="D173" s="12" t="s">
        <v>113</v>
      </c>
      <c r="E173" s="12" t="s">
        <v>83</v>
      </c>
      <c r="F173" s="12"/>
      <c r="G173" s="12"/>
      <c r="H173" s="12"/>
      <c r="I173" s="12" t="n">
        <v>76900</v>
      </c>
      <c r="J173" s="12"/>
      <c r="K173" s="12"/>
      <c r="L173" s="12"/>
      <c r="M173" s="12"/>
      <c r="N173" s="12"/>
      <c r="O173" s="13"/>
      <c r="P173" s="13" t="s">
        <v>3095</v>
      </c>
      <c r="Q173" s="13"/>
      <c r="R173" s="13"/>
      <c r="S173" s="13" t="s">
        <v>3096</v>
      </c>
      <c r="T173" s="12" t="s">
        <v>108</v>
      </c>
      <c r="U173" s="12" t="s">
        <v>3097</v>
      </c>
    </row>
    <row r="174" customFormat="false" ht="31.5" hidden="false" customHeight="true" outlineLevel="0" collapsed="false">
      <c r="A174" s="12" t="n">
        <v>142</v>
      </c>
      <c r="B174" s="12" t="s">
        <v>3094</v>
      </c>
      <c r="C174" s="12" t="s">
        <v>2516</v>
      </c>
      <c r="D174" s="12" t="s">
        <v>99</v>
      </c>
      <c r="E174" s="12" t="s">
        <v>83</v>
      </c>
      <c r="F174" s="12"/>
      <c r="G174" s="12"/>
      <c r="H174" s="12"/>
      <c r="I174" s="12" t="n">
        <v>2145</v>
      </c>
      <c r="J174" s="12"/>
      <c r="K174" s="12"/>
      <c r="L174" s="12"/>
      <c r="M174" s="12"/>
      <c r="N174" s="12"/>
      <c r="O174" s="13"/>
      <c r="P174" s="13" t="s">
        <v>3098</v>
      </c>
      <c r="Q174" s="13"/>
      <c r="R174" s="13"/>
      <c r="S174" s="13" t="s">
        <v>3096</v>
      </c>
      <c r="T174" s="12" t="s">
        <v>108</v>
      </c>
      <c r="U174" s="12" t="s">
        <v>3097</v>
      </c>
    </row>
    <row r="175" customFormat="false" ht="31.5" hidden="false" customHeight="true" outlineLevel="0" collapsed="false">
      <c r="A175" s="12" t="n">
        <v>143</v>
      </c>
      <c r="B175" s="12" t="s">
        <v>422</v>
      </c>
      <c r="C175" s="12" t="s">
        <v>128</v>
      </c>
      <c r="D175" s="12" t="s">
        <v>99</v>
      </c>
      <c r="E175" s="12" t="s">
        <v>83</v>
      </c>
      <c r="F175" s="12"/>
      <c r="G175" s="12"/>
      <c r="H175" s="12"/>
      <c r="I175" s="12"/>
      <c r="J175" s="12" t="n">
        <v>100</v>
      </c>
      <c r="K175" s="12"/>
      <c r="L175" s="12"/>
      <c r="M175" s="12"/>
      <c r="N175" s="12"/>
      <c r="O175" s="13"/>
      <c r="P175" s="13" t="s">
        <v>3099</v>
      </c>
      <c r="Q175" s="13"/>
      <c r="R175" s="13"/>
      <c r="S175" s="13" t="s">
        <v>3100</v>
      </c>
      <c r="T175" s="12" t="s">
        <v>94</v>
      </c>
      <c r="U175" s="12" t="s">
        <v>3101</v>
      </c>
    </row>
    <row r="176" customFormat="false" ht="31.5" hidden="false" customHeight="true" outlineLevel="0" collapsed="false">
      <c r="A176" s="12" t="n">
        <v>144</v>
      </c>
      <c r="B176" s="12" t="s">
        <v>390</v>
      </c>
      <c r="C176" s="12" t="s">
        <v>2564</v>
      </c>
      <c r="D176" s="12" t="s">
        <v>387</v>
      </c>
      <c r="E176" s="12" t="s">
        <v>83</v>
      </c>
      <c r="F176" s="12"/>
      <c r="G176" s="12"/>
      <c r="H176" s="12"/>
      <c r="I176" s="12"/>
      <c r="J176" s="12" t="n">
        <v>100</v>
      </c>
      <c r="K176" s="12"/>
      <c r="L176" s="12"/>
      <c r="M176" s="12"/>
      <c r="N176" s="12"/>
      <c r="O176" s="13"/>
      <c r="P176" s="13" t="s">
        <v>3102</v>
      </c>
      <c r="Q176" s="13"/>
      <c r="R176" s="13"/>
      <c r="S176" s="13" t="s">
        <v>3103</v>
      </c>
      <c r="T176" s="12" t="s">
        <v>108</v>
      </c>
      <c r="U176" s="12" t="s">
        <v>3104</v>
      </c>
    </row>
    <row r="177" customFormat="false" ht="31.5" hidden="false" customHeight="true" outlineLevel="0" collapsed="false">
      <c r="A177" s="12" t="n">
        <v>145</v>
      </c>
      <c r="B177" s="12" t="s">
        <v>448</v>
      </c>
      <c r="C177" s="12" t="s">
        <v>2521</v>
      </c>
      <c r="D177" s="12" t="s">
        <v>113</v>
      </c>
      <c r="E177" s="12" t="s">
        <v>83</v>
      </c>
      <c r="F177" s="12" t="n">
        <v>77000</v>
      </c>
      <c r="G177" s="12"/>
      <c r="H177" s="12"/>
      <c r="I177" s="12" t="n">
        <v>75400</v>
      </c>
      <c r="J177" s="12"/>
      <c r="K177" s="12"/>
      <c r="L177" s="12"/>
      <c r="M177" s="12"/>
      <c r="N177" s="12"/>
      <c r="O177" s="13"/>
      <c r="P177" s="13" t="s">
        <v>3105</v>
      </c>
      <c r="Q177" s="13"/>
      <c r="R177" s="13"/>
      <c r="S177" s="13" t="s">
        <v>3106</v>
      </c>
      <c r="T177" s="12" t="s">
        <v>94</v>
      </c>
      <c r="U177" s="12" t="s">
        <v>460</v>
      </c>
    </row>
    <row r="178" customFormat="false" ht="31.5" hidden="false" customHeight="true" outlineLevel="0" collapsed="false">
      <c r="A178" s="12" t="n">
        <v>146</v>
      </c>
      <c r="B178" s="12" t="s">
        <v>3107</v>
      </c>
      <c r="C178" s="12" t="s">
        <v>2537</v>
      </c>
      <c r="D178" s="12" t="s">
        <v>113</v>
      </c>
      <c r="E178" s="12" t="s">
        <v>83</v>
      </c>
      <c r="F178" s="12"/>
      <c r="G178" s="12" t="n">
        <v>76400</v>
      </c>
      <c r="H178" s="12"/>
      <c r="I178" s="12"/>
      <c r="J178" s="12" t="n">
        <v>50</v>
      </c>
      <c r="K178" s="12"/>
      <c r="L178" s="12"/>
      <c r="M178" s="12"/>
      <c r="N178" s="12"/>
      <c r="O178" s="13"/>
      <c r="P178" s="13" t="s">
        <v>3108</v>
      </c>
      <c r="Q178" s="13"/>
      <c r="R178" s="13"/>
      <c r="S178" s="13" t="s">
        <v>3109</v>
      </c>
      <c r="T178" s="12" t="s">
        <v>94</v>
      </c>
      <c r="U178" s="12" t="s">
        <v>3110</v>
      </c>
    </row>
    <row r="179" customFormat="false" ht="31.5" hidden="false" customHeight="true" outlineLevel="0" collapsed="false">
      <c r="A179" s="12" t="n">
        <v>147</v>
      </c>
      <c r="B179" s="12" t="s">
        <v>3111</v>
      </c>
      <c r="C179" s="12" t="s">
        <v>2516</v>
      </c>
      <c r="D179" s="12" t="s">
        <v>113</v>
      </c>
      <c r="E179" s="12" t="s">
        <v>83</v>
      </c>
      <c r="F179" s="12"/>
      <c r="G179" s="12"/>
      <c r="H179" s="12" t="s">
        <v>3112</v>
      </c>
      <c r="I179" s="12"/>
      <c r="J179" s="12" t="n">
        <v>20</v>
      </c>
      <c r="K179" s="12"/>
      <c r="L179" s="12"/>
      <c r="M179" s="12"/>
      <c r="N179" s="12"/>
      <c r="O179" s="13"/>
      <c r="P179" s="13" t="s">
        <v>3113</v>
      </c>
      <c r="Q179" s="13"/>
      <c r="R179" s="13"/>
      <c r="S179" s="13" t="s">
        <v>3114</v>
      </c>
      <c r="T179" s="12" t="s">
        <v>94</v>
      </c>
      <c r="U179" s="12" t="s">
        <v>3115</v>
      </c>
    </row>
    <row r="180" customFormat="false" ht="31.5" hidden="false" customHeight="true" outlineLevel="0" collapsed="false">
      <c r="A180" s="12" t="n">
        <v>147</v>
      </c>
      <c r="B180" s="12" t="s">
        <v>3111</v>
      </c>
      <c r="C180" s="12" t="s">
        <v>2588</v>
      </c>
      <c r="D180" s="12" t="s">
        <v>113</v>
      </c>
      <c r="E180" s="12" t="s">
        <v>83</v>
      </c>
      <c r="F180" s="12"/>
      <c r="G180" s="12"/>
      <c r="H180" s="12"/>
      <c r="I180" s="12"/>
      <c r="J180" s="12"/>
      <c r="K180" s="12"/>
      <c r="L180" s="12"/>
      <c r="M180" s="12"/>
      <c r="N180" s="12"/>
      <c r="O180" s="13"/>
      <c r="P180" s="13" t="s">
        <v>3116</v>
      </c>
      <c r="Q180" s="13"/>
      <c r="R180" s="13"/>
      <c r="S180" s="13" t="s">
        <v>3117</v>
      </c>
      <c r="T180" s="12" t="s">
        <v>94</v>
      </c>
      <c r="U180" s="12" t="s">
        <v>3115</v>
      </c>
    </row>
    <row r="181" customFormat="false" ht="31.5" hidden="false" customHeight="true" outlineLevel="0" collapsed="false">
      <c r="A181" s="12" t="n">
        <v>148</v>
      </c>
      <c r="B181" s="12" t="s">
        <v>3118</v>
      </c>
      <c r="C181" s="12" t="s">
        <v>2557</v>
      </c>
      <c r="D181" s="12" t="s">
        <v>113</v>
      </c>
      <c r="E181" s="12" t="s">
        <v>83</v>
      </c>
      <c r="F181" s="12"/>
      <c r="G181" s="12"/>
      <c r="H181" s="12"/>
      <c r="I181" s="12"/>
      <c r="J181" s="12"/>
      <c r="K181" s="12"/>
      <c r="L181" s="12"/>
      <c r="M181" s="12"/>
      <c r="N181" s="12"/>
      <c r="O181" s="13"/>
      <c r="P181" s="13" t="s">
        <v>3119</v>
      </c>
      <c r="Q181" s="13"/>
      <c r="R181" s="13"/>
      <c r="S181" s="13" t="s">
        <v>3120</v>
      </c>
      <c r="T181" s="12" t="s">
        <v>94</v>
      </c>
      <c r="U181" s="12" t="s">
        <v>3121</v>
      </c>
    </row>
    <row r="182" customFormat="false" ht="31.5" hidden="false" customHeight="true" outlineLevel="0" collapsed="false">
      <c r="A182" s="12" t="n">
        <v>149</v>
      </c>
      <c r="B182" s="12" t="s">
        <v>3122</v>
      </c>
      <c r="C182" s="12" t="s">
        <v>2506</v>
      </c>
      <c r="D182" s="12" t="s">
        <v>113</v>
      </c>
      <c r="E182" s="12"/>
      <c r="F182" s="12"/>
      <c r="G182" s="12"/>
      <c r="H182" s="12"/>
      <c r="I182" s="12"/>
      <c r="J182" s="12"/>
      <c r="K182" s="12"/>
      <c r="L182" s="12"/>
      <c r="M182" s="12"/>
      <c r="N182" s="12"/>
      <c r="O182" s="13"/>
      <c r="P182" s="13" t="s">
        <v>3123</v>
      </c>
      <c r="Q182" s="13"/>
      <c r="R182" s="13"/>
      <c r="S182" s="13" t="s">
        <v>3124</v>
      </c>
      <c r="T182" s="12" t="s">
        <v>94</v>
      </c>
      <c r="U182" s="12" t="s">
        <v>3125</v>
      </c>
    </row>
    <row r="183" customFormat="false" ht="31.5" hidden="false" customHeight="true" outlineLevel="0" collapsed="false">
      <c r="A183" s="12" t="n">
        <v>150</v>
      </c>
      <c r="B183" s="12" t="s">
        <v>461</v>
      </c>
      <c r="C183" s="12" t="s">
        <v>2521</v>
      </c>
      <c r="D183" s="12" t="s">
        <v>462</v>
      </c>
      <c r="E183" s="12" t="s">
        <v>83</v>
      </c>
      <c r="F183" s="12" t="n">
        <v>0.000599</v>
      </c>
      <c r="G183" s="12"/>
      <c r="H183" s="12" t="s">
        <v>464</v>
      </c>
      <c r="I183" s="12" t="n">
        <v>0.00053</v>
      </c>
      <c r="J183" s="12"/>
      <c r="K183" s="12"/>
      <c r="L183" s="12"/>
      <c r="M183" s="12"/>
      <c r="N183" s="12"/>
      <c r="O183" s="13"/>
      <c r="P183" s="13" t="s">
        <v>3126</v>
      </c>
      <c r="Q183" s="13" t="s">
        <v>191</v>
      </c>
      <c r="R183" s="13"/>
      <c r="S183" s="13" t="s">
        <v>3127</v>
      </c>
      <c r="T183" s="12" t="s">
        <v>94</v>
      </c>
      <c r="U183" s="12" t="s">
        <v>474</v>
      </c>
    </row>
    <row r="184" customFormat="false" ht="31.5" hidden="false" customHeight="true" outlineLevel="0" collapsed="false">
      <c r="A184" s="12" t="n">
        <v>151</v>
      </c>
      <c r="B184" s="12" t="s">
        <v>3128</v>
      </c>
      <c r="C184" s="12" t="s">
        <v>2557</v>
      </c>
      <c r="D184" s="12" t="s">
        <v>462</v>
      </c>
      <c r="E184" s="12" t="s">
        <v>83</v>
      </c>
      <c r="F184" s="12"/>
      <c r="G184" s="12"/>
      <c r="H184" s="12"/>
      <c r="I184" s="12"/>
      <c r="J184" s="12"/>
      <c r="K184" s="12"/>
      <c r="L184" s="12"/>
      <c r="M184" s="12"/>
      <c r="N184" s="12"/>
      <c r="O184" s="13" t="s">
        <v>3129</v>
      </c>
      <c r="P184" s="13" t="s">
        <v>3130</v>
      </c>
      <c r="Q184" s="13"/>
      <c r="R184" s="13" t="s">
        <v>3131</v>
      </c>
      <c r="S184" s="13" t="s">
        <v>3132</v>
      </c>
      <c r="T184" s="12" t="s">
        <v>94</v>
      </c>
      <c r="U184" s="12" t="s">
        <v>3133</v>
      </c>
    </row>
    <row r="185" customFormat="false" ht="31.5" hidden="false" customHeight="true" outlineLevel="0" collapsed="false">
      <c r="A185" s="12" t="n">
        <v>152</v>
      </c>
      <c r="B185" s="12" t="s">
        <v>3134</v>
      </c>
      <c r="C185" s="12" t="s">
        <v>2537</v>
      </c>
      <c r="D185" s="12" t="s">
        <v>113</v>
      </c>
      <c r="E185" s="12" t="s">
        <v>83</v>
      </c>
      <c r="F185" s="12" t="n">
        <v>76700</v>
      </c>
      <c r="G185" s="12"/>
      <c r="H185" s="12"/>
      <c r="I185" s="12"/>
      <c r="J185" s="12"/>
      <c r="K185" s="12"/>
      <c r="L185" s="12"/>
      <c r="M185" s="12"/>
      <c r="N185" s="12"/>
      <c r="O185" s="13"/>
      <c r="P185" s="13" t="s">
        <v>3135</v>
      </c>
      <c r="Q185" s="13"/>
      <c r="R185" s="13"/>
      <c r="S185" s="13" t="s">
        <v>3136</v>
      </c>
      <c r="T185" s="12" t="s">
        <v>94</v>
      </c>
      <c r="U185" s="12" t="s">
        <v>3137</v>
      </c>
    </row>
    <row r="186" customFormat="false" ht="31.5" hidden="false" customHeight="true" outlineLevel="0" collapsed="false">
      <c r="A186" s="12" t="n">
        <v>153</v>
      </c>
      <c r="B186" s="12" t="s">
        <v>475</v>
      </c>
      <c r="C186" s="12" t="s">
        <v>2521</v>
      </c>
      <c r="D186" s="12" t="s">
        <v>476</v>
      </c>
      <c r="E186" s="12" t="s">
        <v>83</v>
      </c>
      <c r="F186" s="12" t="n">
        <v>544</v>
      </c>
      <c r="G186" s="12"/>
      <c r="H186" s="12" t="s">
        <v>478</v>
      </c>
      <c r="I186" s="12" t="n">
        <v>505</v>
      </c>
      <c r="J186" s="12"/>
      <c r="K186" s="12"/>
      <c r="L186" s="12"/>
      <c r="M186" s="12"/>
      <c r="N186" s="12"/>
      <c r="O186" s="13"/>
      <c r="P186" s="13" t="s">
        <v>3138</v>
      </c>
      <c r="Q186" s="13"/>
      <c r="R186" s="13"/>
      <c r="S186" s="13" t="s">
        <v>3139</v>
      </c>
      <c r="T186" s="12" t="s">
        <v>94</v>
      </c>
      <c r="U186" s="12" t="s">
        <v>489</v>
      </c>
    </row>
    <row r="187" customFormat="false" ht="31.5" hidden="false" customHeight="true" outlineLevel="0" collapsed="false">
      <c r="A187" s="12" t="n">
        <v>154</v>
      </c>
      <c r="B187" s="12" t="s">
        <v>3140</v>
      </c>
      <c r="C187" s="12" t="s">
        <v>2581</v>
      </c>
      <c r="D187" s="12" t="s">
        <v>462</v>
      </c>
      <c r="E187" s="12" t="s">
        <v>83</v>
      </c>
      <c r="F187" s="12" t="n">
        <v>0.0005998</v>
      </c>
      <c r="G187" s="12"/>
      <c r="H187" s="12"/>
      <c r="I187" s="12"/>
      <c r="J187" s="12" t="n">
        <v>25</v>
      </c>
      <c r="K187" s="12" t="n">
        <v>25</v>
      </c>
      <c r="L187" s="12"/>
      <c r="M187" s="12" t="n">
        <v>80.8</v>
      </c>
      <c r="N187" s="12" t="n">
        <v>0.0006203</v>
      </c>
      <c r="O187" s="13" t="s">
        <v>3141</v>
      </c>
      <c r="P187" s="13" t="s">
        <v>3142</v>
      </c>
      <c r="Q187" s="13"/>
      <c r="R187" s="13"/>
      <c r="S187" s="13" t="s">
        <v>3143</v>
      </c>
      <c r="T187" s="12" t="s">
        <v>94</v>
      </c>
      <c r="U187" s="12" t="s">
        <v>3144</v>
      </c>
    </row>
    <row r="188" customFormat="false" ht="31.5" hidden="false" customHeight="true" outlineLevel="0" collapsed="false">
      <c r="A188" s="12" t="n">
        <v>154</v>
      </c>
      <c r="B188" s="12" t="s">
        <v>3140</v>
      </c>
      <c r="C188" s="12" t="s">
        <v>2588</v>
      </c>
      <c r="D188" s="12" t="s">
        <v>462</v>
      </c>
      <c r="E188" s="12" t="s">
        <v>83</v>
      </c>
      <c r="F188" s="12" t="n">
        <v>0.0005998</v>
      </c>
      <c r="G188" s="12"/>
      <c r="H188" s="12"/>
      <c r="I188" s="12" t="n">
        <v>0.0005998</v>
      </c>
      <c r="J188" s="12"/>
      <c r="K188" s="12" t="n">
        <v>25</v>
      </c>
      <c r="L188" s="12"/>
      <c r="M188" s="12"/>
      <c r="N188" s="12"/>
      <c r="O188" s="13"/>
      <c r="P188" s="13" t="s">
        <v>3145</v>
      </c>
      <c r="Q188" s="13"/>
      <c r="R188" s="13"/>
      <c r="S188" s="13" t="s">
        <v>3146</v>
      </c>
      <c r="T188" s="12" t="s">
        <v>108</v>
      </c>
      <c r="U188" s="12" t="s">
        <v>3144</v>
      </c>
    </row>
    <row r="189" customFormat="false" ht="31.5" hidden="false" customHeight="true" outlineLevel="0" collapsed="false">
      <c r="A189" s="12" t="n">
        <v>155</v>
      </c>
      <c r="B189" s="12" t="s">
        <v>3147</v>
      </c>
      <c r="C189" s="12" t="s">
        <v>2581</v>
      </c>
      <c r="D189" s="12" t="s">
        <v>476</v>
      </c>
      <c r="E189" s="12" t="s">
        <v>83</v>
      </c>
      <c r="F189" s="12" t="n">
        <v>545.99</v>
      </c>
      <c r="G189" s="12"/>
      <c r="H189" s="12"/>
      <c r="I189" s="12"/>
      <c r="J189" s="12" t="n">
        <v>20</v>
      </c>
      <c r="K189" s="12" t="n">
        <v>75</v>
      </c>
      <c r="L189" s="12"/>
      <c r="M189" s="12" t="n">
        <v>358.87</v>
      </c>
      <c r="N189" s="12" t="n">
        <v>572.12</v>
      </c>
      <c r="O189" s="13"/>
      <c r="P189" s="13" t="s">
        <v>3148</v>
      </c>
      <c r="Q189" s="13"/>
      <c r="R189" s="13"/>
      <c r="S189" s="13" t="s">
        <v>3149</v>
      </c>
      <c r="T189" s="12" t="s">
        <v>94</v>
      </c>
      <c r="U189" s="12" t="s">
        <v>3150</v>
      </c>
    </row>
    <row r="190" customFormat="false" ht="31.5" hidden="false" customHeight="true" outlineLevel="0" collapsed="false">
      <c r="A190" s="12" t="n">
        <v>155</v>
      </c>
      <c r="B190" s="12" t="s">
        <v>3147</v>
      </c>
      <c r="C190" s="12" t="s">
        <v>2588</v>
      </c>
      <c r="D190" s="12" t="s">
        <v>476</v>
      </c>
      <c r="E190" s="12" t="s">
        <v>83</v>
      </c>
      <c r="F190" s="12" t="n">
        <v>545.99</v>
      </c>
      <c r="G190" s="12"/>
      <c r="H190" s="12"/>
      <c r="I190" s="12" t="n">
        <v>545.99</v>
      </c>
      <c r="J190" s="12"/>
      <c r="K190" s="12" t="n">
        <v>75</v>
      </c>
      <c r="L190" s="12"/>
      <c r="M190" s="12"/>
      <c r="N190" s="12"/>
      <c r="O190" s="13"/>
      <c r="P190" s="13" t="s">
        <v>3151</v>
      </c>
      <c r="Q190" s="13"/>
      <c r="R190" s="13"/>
      <c r="S190" s="13" t="s">
        <v>3152</v>
      </c>
      <c r="T190" s="12" t="s">
        <v>108</v>
      </c>
      <c r="U190" s="12" t="s">
        <v>3150</v>
      </c>
    </row>
    <row r="191" customFormat="false" ht="31.5" hidden="false" customHeight="true" outlineLevel="0" collapsed="false">
      <c r="A191" s="12" t="n">
        <v>156</v>
      </c>
      <c r="B191" s="12" t="s">
        <v>468</v>
      </c>
      <c r="C191" s="12" t="s">
        <v>2666</v>
      </c>
      <c r="D191" s="12" t="s">
        <v>462</v>
      </c>
      <c r="E191" s="12" t="s">
        <v>83</v>
      </c>
      <c r="F191" s="12" t="n">
        <v>0.0005998</v>
      </c>
      <c r="G191" s="12"/>
      <c r="H191" s="12"/>
      <c r="I191" s="12"/>
      <c r="J191" s="12"/>
      <c r="K191" s="12" t="n">
        <v>25</v>
      </c>
      <c r="L191" s="12"/>
      <c r="M191" s="12" t="n">
        <v>165.91</v>
      </c>
      <c r="N191" s="12" t="n">
        <v>0.000643</v>
      </c>
      <c r="O191" s="13"/>
      <c r="P191" s="13" t="s">
        <v>3153</v>
      </c>
      <c r="Q191" s="13"/>
      <c r="R191" s="13"/>
      <c r="S191" s="13" t="s">
        <v>3154</v>
      </c>
      <c r="T191" s="12" t="s">
        <v>94</v>
      </c>
      <c r="U191" s="12" t="s">
        <v>3155</v>
      </c>
    </row>
    <row r="192" customFormat="false" ht="31.5" hidden="false" customHeight="true" outlineLevel="0" collapsed="false">
      <c r="A192" s="12" t="n">
        <v>157</v>
      </c>
      <c r="B192" s="12" t="s">
        <v>490</v>
      </c>
      <c r="C192" s="12" t="s">
        <v>2521</v>
      </c>
      <c r="D192" s="12" t="s">
        <v>491</v>
      </c>
      <c r="E192" s="12" t="s">
        <v>83</v>
      </c>
      <c r="F192" s="12" t="n">
        <v>1.09</v>
      </c>
      <c r="G192" s="12"/>
      <c r="H192" s="12"/>
      <c r="I192" s="12" t="n">
        <v>1.01</v>
      </c>
      <c r="J192" s="12"/>
      <c r="K192" s="12"/>
      <c r="L192" s="12"/>
      <c r="M192" s="12"/>
      <c r="N192" s="12"/>
      <c r="O192" s="13" t="s">
        <v>3156</v>
      </c>
      <c r="P192" s="13" t="s">
        <v>3157</v>
      </c>
      <c r="Q192" s="13"/>
      <c r="R192" s="13"/>
      <c r="S192" s="13" t="s">
        <v>3158</v>
      </c>
      <c r="T192" s="12" t="s">
        <v>94</v>
      </c>
      <c r="U192" s="12" t="s">
        <v>502</v>
      </c>
    </row>
    <row r="193" customFormat="false" ht="31.5" hidden="false" customHeight="true" outlineLevel="0" collapsed="false">
      <c r="A193" s="12" t="n">
        <v>158</v>
      </c>
      <c r="B193" s="12" t="s">
        <v>3159</v>
      </c>
      <c r="C193" s="12" t="s">
        <v>2666</v>
      </c>
      <c r="D193" s="12" t="s">
        <v>476</v>
      </c>
      <c r="E193" s="12" t="s">
        <v>83</v>
      </c>
      <c r="F193" s="12" t="n">
        <v>545.99</v>
      </c>
      <c r="G193" s="12"/>
      <c r="H193" s="12"/>
      <c r="I193" s="12"/>
      <c r="J193" s="12"/>
      <c r="K193" s="12" t="n">
        <v>75</v>
      </c>
      <c r="L193" s="12" t="n">
        <v>1</v>
      </c>
      <c r="M193" s="12" t="n">
        <v>493.44</v>
      </c>
      <c r="N193" s="12" t="n">
        <v>581.92</v>
      </c>
      <c r="O193" s="13"/>
      <c r="P193" s="13" t="s">
        <v>3160</v>
      </c>
      <c r="Q193" s="13"/>
      <c r="R193" s="13" t="s">
        <v>486</v>
      </c>
      <c r="S193" s="13" t="s">
        <v>3161</v>
      </c>
      <c r="T193" s="12" t="s">
        <v>94</v>
      </c>
      <c r="U193" s="12" t="s">
        <v>3162</v>
      </c>
    </row>
    <row r="194" customFormat="false" ht="31.5" hidden="false" customHeight="true" outlineLevel="0" collapsed="false">
      <c r="A194" s="12" t="n">
        <v>158</v>
      </c>
      <c r="B194" s="12" t="s">
        <v>3159</v>
      </c>
      <c r="C194" s="12" t="s">
        <v>2618</v>
      </c>
      <c r="D194" s="12" t="s">
        <v>476</v>
      </c>
      <c r="E194" s="12" t="s">
        <v>83</v>
      </c>
      <c r="F194" s="12"/>
      <c r="G194" s="12"/>
      <c r="H194" s="12" t="s">
        <v>481</v>
      </c>
      <c r="I194" s="12"/>
      <c r="J194" s="12"/>
      <c r="K194" s="12"/>
      <c r="L194" s="12"/>
      <c r="M194" s="12"/>
      <c r="N194" s="12"/>
      <c r="O194" s="13"/>
      <c r="P194" s="13" t="s">
        <v>3163</v>
      </c>
      <c r="Q194" s="13"/>
      <c r="R194" s="13"/>
      <c r="S194" s="13" t="s">
        <v>3164</v>
      </c>
      <c r="T194" s="12" t="s">
        <v>94</v>
      </c>
      <c r="U194" s="12" t="s">
        <v>3162</v>
      </c>
    </row>
    <row r="195" customFormat="false" ht="31.5" hidden="false" customHeight="true" outlineLevel="0" collapsed="false">
      <c r="A195" s="12" t="n">
        <v>159</v>
      </c>
      <c r="B195" s="12" t="s">
        <v>3165</v>
      </c>
      <c r="C195" s="12" t="s">
        <v>2588</v>
      </c>
      <c r="D195" s="12" t="s">
        <v>491</v>
      </c>
      <c r="E195" s="12" t="s">
        <v>83</v>
      </c>
      <c r="F195" s="12"/>
      <c r="G195" s="12"/>
      <c r="H195" s="12"/>
      <c r="I195" s="12" t="n">
        <v>1</v>
      </c>
      <c r="J195" s="12"/>
      <c r="K195" s="12"/>
      <c r="L195" s="12"/>
      <c r="M195" s="12"/>
      <c r="N195" s="12"/>
      <c r="O195" s="13" t="s">
        <v>3166</v>
      </c>
      <c r="P195" s="13" t="s">
        <v>3167</v>
      </c>
      <c r="Q195" s="13"/>
      <c r="R195" s="13"/>
      <c r="S195" s="13" t="s">
        <v>3168</v>
      </c>
      <c r="T195" s="12" t="s">
        <v>94</v>
      </c>
      <c r="U195" s="12" t="s">
        <v>3169</v>
      </c>
    </row>
    <row r="196" customFormat="false" ht="31.5" hidden="false" customHeight="true" outlineLevel="0" collapsed="false">
      <c r="A196" s="12" t="n">
        <v>160</v>
      </c>
      <c r="B196" s="12" t="s">
        <v>3170</v>
      </c>
      <c r="C196" s="12" t="s">
        <v>2557</v>
      </c>
      <c r="D196" s="12" t="s">
        <v>113</v>
      </c>
      <c r="E196" s="12" t="s">
        <v>83</v>
      </c>
      <c r="F196" s="12" t="n">
        <v>76704.7</v>
      </c>
      <c r="G196" s="12"/>
      <c r="H196" s="12"/>
      <c r="I196" s="12"/>
      <c r="J196" s="12"/>
      <c r="K196" s="12" t="n">
        <v>150</v>
      </c>
      <c r="L196" s="12"/>
      <c r="M196" s="12" t="n">
        <v>29.14</v>
      </c>
      <c r="N196" s="12" t="n">
        <v>76853.8</v>
      </c>
      <c r="O196" s="13"/>
      <c r="P196" s="13" t="s">
        <v>3171</v>
      </c>
      <c r="Q196" s="13"/>
      <c r="R196" s="13"/>
      <c r="S196" s="13" t="s">
        <v>3172</v>
      </c>
      <c r="T196" s="12" t="s">
        <v>94</v>
      </c>
      <c r="U196" s="12" t="s">
        <v>3173</v>
      </c>
    </row>
    <row r="197" customFormat="false" ht="31.5" hidden="false" customHeight="true" outlineLevel="0" collapsed="false">
      <c r="A197" s="12" t="n">
        <v>161</v>
      </c>
      <c r="B197" s="12" t="s">
        <v>3174</v>
      </c>
      <c r="C197" s="12" t="s">
        <v>2537</v>
      </c>
      <c r="D197" s="12" t="s">
        <v>491</v>
      </c>
      <c r="E197" s="12" t="s">
        <v>83</v>
      </c>
      <c r="F197" s="12" t="n">
        <v>1.076</v>
      </c>
      <c r="G197" s="12"/>
      <c r="H197" s="12"/>
      <c r="I197" s="12"/>
      <c r="J197" s="12" t="n">
        <v>25</v>
      </c>
      <c r="K197" s="12"/>
      <c r="L197" s="12"/>
      <c r="M197" s="12"/>
      <c r="N197" s="12"/>
      <c r="O197" s="13" t="s">
        <v>3175</v>
      </c>
      <c r="P197" s="13" t="s">
        <v>3176</v>
      </c>
      <c r="Q197" s="13"/>
      <c r="R197" s="13"/>
      <c r="S197" s="13" t="s">
        <v>3177</v>
      </c>
      <c r="T197" s="12" t="s">
        <v>94</v>
      </c>
      <c r="U197" s="12" t="s">
        <v>3178</v>
      </c>
    </row>
    <row r="198" customFormat="false" ht="31.5" hidden="false" customHeight="true" outlineLevel="0" collapsed="false">
      <c r="A198" s="12" t="n">
        <v>162</v>
      </c>
      <c r="B198" s="12" t="s">
        <v>3179</v>
      </c>
      <c r="C198" s="12" t="s">
        <v>2557</v>
      </c>
      <c r="D198" s="12" t="s">
        <v>113</v>
      </c>
      <c r="E198" s="12" t="s">
        <v>83</v>
      </c>
      <c r="F198" s="12"/>
      <c r="G198" s="12"/>
      <c r="H198" s="12"/>
      <c r="I198" s="12"/>
      <c r="J198" s="12"/>
      <c r="K198" s="12"/>
      <c r="L198" s="12"/>
      <c r="M198" s="12"/>
      <c r="N198" s="12"/>
      <c r="O198" s="13"/>
      <c r="P198" s="13" t="s">
        <v>3180</v>
      </c>
      <c r="Q198" s="13" t="s">
        <v>456</v>
      </c>
      <c r="R198" s="13" t="s">
        <v>3181</v>
      </c>
      <c r="S198" s="13" t="s">
        <v>3182</v>
      </c>
      <c r="T198" s="12" t="s">
        <v>94</v>
      </c>
      <c r="U198" s="12" t="s">
        <v>3183</v>
      </c>
    </row>
    <row r="199" customFormat="false" ht="31.5" hidden="false" customHeight="true" outlineLevel="0" collapsed="false">
      <c r="A199" s="12" t="n">
        <v>163</v>
      </c>
      <c r="B199" s="12" t="s">
        <v>3184</v>
      </c>
      <c r="C199" s="12" t="s">
        <v>2537</v>
      </c>
      <c r="D199" s="12" t="s">
        <v>476</v>
      </c>
      <c r="E199" s="12" t="s">
        <v>83</v>
      </c>
      <c r="F199" s="12" t="n">
        <v>540</v>
      </c>
      <c r="G199" s="12" t="n">
        <v>582</v>
      </c>
      <c r="H199" s="12"/>
      <c r="I199" s="12"/>
      <c r="J199" s="12"/>
      <c r="K199" s="12"/>
      <c r="L199" s="12"/>
      <c r="M199" s="12"/>
      <c r="N199" s="12"/>
      <c r="O199" s="13"/>
      <c r="P199" s="13" t="s">
        <v>3185</v>
      </c>
      <c r="Q199" s="13"/>
      <c r="R199" s="13"/>
      <c r="S199" s="13" t="s">
        <v>3186</v>
      </c>
      <c r="T199" s="12" t="s">
        <v>108</v>
      </c>
      <c r="U199" s="12" t="s">
        <v>3187</v>
      </c>
    </row>
    <row r="200" customFormat="false" ht="31.5" hidden="false" customHeight="true" outlineLevel="0" collapsed="false">
      <c r="A200" s="12" t="n">
        <v>164</v>
      </c>
      <c r="B200" s="12" t="s">
        <v>483</v>
      </c>
      <c r="C200" s="12" t="s">
        <v>2666</v>
      </c>
      <c r="D200" s="12" t="s">
        <v>476</v>
      </c>
      <c r="E200" s="12" t="s">
        <v>83</v>
      </c>
      <c r="F200" s="12"/>
      <c r="G200" s="12"/>
      <c r="H200" s="12" t="s">
        <v>481</v>
      </c>
      <c r="I200" s="12"/>
      <c r="J200" s="12" t="n">
        <v>100</v>
      </c>
      <c r="K200" s="12"/>
      <c r="L200" s="12"/>
      <c r="M200" s="12"/>
      <c r="N200" s="12" t="n">
        <v>592</v>
      </c>
      <c r="O200" s="13"/>
      <c r="P200" s="13" t="s">
        <v>3188</v>
      </c>
      <c r="Q200" s="13"/>
      <c r="R200" s="13"/>
      <c r="S200" s="13" t="s">
        <v>3189</v>
      </c>
      <c r="T200" s="12" t="s">
        <v>94</v>
      </c>
      <c r="U200" s="12" t="s">
        <v>3190</v>
      </c>
    </row>
    <row r="201" customFormat="false" ht="31.5" hidden="false" customHeight="true" outlineLevel="0" collapsed="false">
      <c r="A201" s="12" t="n">
        <v>165</v>
      </c>
      <c r="B201" s="12" t="s">
        <v>3191</v>
      </c>
      <c r="C201" s="12" t="s">
        <v>2557</v>
      </c>
      <c r="D201" s="12" t="s">
        <v>476</v>
      </c>
      <c r="E201" s="12" t="s">
        <v>83</v>
      </c>
      <c r="F201" s="12" t="n">
        <v>580.25</v>
      </c>
      <c r="G201" s="12"/>
      <c r="H201" s="12"/>
      <c r="I201" s="12"/>
      <c r="J201" s="12"/>
      <c r="K201" s="12" t="n">
        <v>75</v>
      </c>
      <c r="L201" s="12"/>
      <c r="M201" s="12" t="n">
        <v>148.59</v>
      </c>
      <c r="N201" s="12" t="n">
        <v>591.75</v>
      </c>
      <c r="O201" s="13"/>
      <c r="P201" s="13" t="s">
        <v>3192</v>
      </c>
      <c r="Q201" s="13"/>
      <c r="R201" s="13"/>
      <c r="S201" s="13" t="s">
        <v>3193</v>
      </c>
      <c r="T201" s="12" t="s">
        <v>94</v>
      </c>
      <c r="U201" s="12" t="s">
        <v>3194</v>
      </c>
    </row>
    <row r="202" customFormat="false" ht="31.5" hidden="false" customHeight="true" outlineLevel="0" collapsed="false">
      <c r="A202" s="12" t="n">
        <v>166</v>
      </c>
      <c r="B202" s="12" t="s">
        <v>3195</v>
      </c>
      <c r="C202" s="12" t="s">
        <v>2557</v>
      </c>
      <c r="D202" s="12" t="s">
        <v>476</v>
      </c>
      <c r="E202" s="12" t="s">
        <v>83</v>
      </c>
      <c r="F202" s="12"/>
      <c r="G202" s="12"/>
      <c r="H202" s="12"/>
      <c r="I202" s="12"/>
      <c r="J202" s="12"/>
      <c r="K202" s="12"/>
      <c r="L202" s="12"/>
      <c r="M202" s="12"/>
      <c r="N202" s="12"/>
      <c r="O202" s="13"/>
      <c r="P202" s="13" t="s">
        <v>3196</v>
      </c>
      <c r="Q202" s="13"/>
      <c r="R202" s="13"/>
      <c r="S202" s="13" t="s">
        <v>3186</v>
      </c>
      <c r="T202" s="12" t="s">
        <v>94</v>
      </c>
      <c r="U202" s="12" t="s">
        <v>3197</v>
      </c>
    </row>
    <row r="203" customFormat="false" ht="31.5" hidden="false" customHeight="true" outlineLevel="0" collapsed="false">
      <c r="A203" s="12" t="n">
        <v>167</v>
      </c>
      <c r="B203" s="12" t="s">
        <v>3198</v>
      </c>
      <c r="C203" s="12" t="s">
        <v>2557</v>
      </c>
      <c r="D203" s="12" t="s">
        <v>113</v>
      </c>
      <c r="E203" s="12" t="s">
        <v>83</v>
      </c>
      <c r="F203" s="12" t="n">
        <v>76704.7</v>
      </c>
      <c r="G203" s="12"/>
      <c r="H203" s="12"/>
      <c r="I203" s="12"/>
      <c r="J203" s="12"/>
      <c r="K203" s="12" t="n">
        <v>150</v>
      </c>
      <c r="L203" s="12" t="n">
        <v>1</v>
      </c>
      <c r="M203" s="12" t="n">
        <v>145.83</v>
      </c>
      <c r="N203" s="12" t="n">
        <v>77450.5</v>
      </c>
      <c r="O203" s="13"/>
      <c r="P203" s="13" t="s">
        <v>3199</v>
      </c>
      <c r="Q203" s="13"/>
      <c r="R203" s="13"/>
      <c r="S203" s="13" t="s">
        <v>3200</v>
      </c>
      <c r="T203" s="12" t="s">
        <v>94</v>
      </c>
      <c r="U203" s="12" t="s">
        <v>3201</v>
      </c>
    </row>
    <row r="204" customFormat="false" ht="31.5" hidden="false" customHeight="true" outlineLevel="0" collapsed="false">
      <c r="A204" s="12" t="n">
        <v>167</v>
      </c>
      <c r="B204" s="12" t="s">
        <v>3198</v>
      </c>
      <c r="C204" s="12" t="s">
        <v>2670</v>
      </c>
      <c r="D204" s="12" t="s">
        <v>113</v>
      </c>
      <c r="E204" s="12" t="s">
        <v>83</v>
      </c>
      <c r="F204" s="12"/>
      <c r="G204" s="12"/>
      <c r="H204" s="12" t="s">
        <v>3202</v>
      </c>
      <c r="I204" s="12"/>
      <c r="J204" s="12"/>
      <c r="K204" s="12"/>
      <c r="L204" s="12"/>
      <c r="M204" s="12"/>
      <c r="N204" s="12"/>
      <c r="O204" s="13"/>
      <c r="P204" s="13" t="s">
        <v>3203</v>
      </c>
      <c r="Q204" s="13"/>
      <c r="R204" s="13"/>
      <c r="S204" s="13" t="s">
        <v>3204</v>
      </c>
      <c r="T204" s="12" t="s">
        <v>94</v>
      </c>
      <c r="U204" s="12" t="s">
        <v>3201</v>
      </c>
    </row>
    <row r="205" customFormat="false" ht="31.5" hidden="false" customHeight="true" outlineLevel="0" collapsed="false">
      <c r="A205" s="12" t="n">
        <v>168</v>
      </c>
      <c r="B205" s="12" t="s">
        <v>503</v>
      </c>
      <c r="C205" s="12" t="s">
        <v>2521</v>
      </c>
      <c r="D205" s="12" t="s">
        <v>504</v>
      </c>
      <c r="E205" s="12" t="s">
        <v>83</v>
      </c>
      <c r="F205" s="12" t="n">
        <v>0.614</v>
      </c>
      <c r="G205" s="12"/>
      <c r="H205" s="12" t="s">
        <v>506</v>
      </c>
      <c r="I205" s="12" t="n">
        <v>0.578</v>
      </c>
      <c r="J205" s="12"/>
      <c r="K205" s="12"/>
      <c r="L205" s="12"/>
      <c r="M205" s="12"/>
      <c r="N205" s="12"/>
      <c r="O205" s="13"/>
      <c r="P205" s="13" t="s">
        <v>3205</v>
      </c>
      <c r="Q205" s="13"/>
      <c r="R205" s="13"/>
      <c r="S205" s="13" t="s">
        <v>3206</v>
      </c>
      <c r="T205" s="12" t="s">
        <v>94</v>
      </c>
      <c r="U205" s="12" t="s">
        <v>513</v>
      </c>
    </row>
    <row r="206" customFormat="false" ht="31.5" hidden="false" customHeight="true" outlineLevel="0" collapsed="false">
      <c r="A206" s="12" t="n">
        <v>169</v>
      </c>
      <c r="B206" s="12" t="s">
        <v>3207</v>
      </c>
      <c r="C206" s="12" t="s">
        <v>2516</v>
      </c>
      <c r="D206" s="12" t="s">
        <v>504</v>
      </c>
      <c r="E206" s="12" t="s">
        <v>83</v>
      </c>
      <c r="F206" s="12"/>
      <c r="G206" s="12"/>
      <c r="H206" s="12"/>
      <c r="I206" s="12"/>
      <c r="J206" s="12"/>
      <c r="K206" s="12"/>
      <c r="L206" s="12"/>
      <c r="M206" s="12"/>
      <c r="N206" s="12"/>
      <c r="O206" s="13"/>
      <c r="P206" s="13" t="s">
        <v>3208</v>
      </c>
      <c r="Q206" s="13"/>
      <c r="R206" s="13"/>
      <c r="S206" s="13" t="s">
        <v>3209</v>
      </c>
      <c r="T206" s="12" t="s">
        <v>94</v>
      </c>
      <c r="U206" s="12" t="s">
        <v>3210</v>
      </c>
    </row>
    <row r="207" customFormat="false" ht="31.5" hidden="false" customHeight="true" outlineLevel="0" collapsed="false">
      <c r="A207" s="12" t="n">
        <v>170</v>
      </c>
      <c r="B207" s="12" t="s">
        <v>453</v>
      </c>
      <c r="C207" s="12" t="s">
        <v>2630</v>
      </c>
      <c r="D207" s="12" t="s">
        <v>113</v>
      </c>
      <c r="E207" s="12" t="s">
        <v>83</v>
      </c>
      <c r="F207" s="12" t="n">
        <v>76704.7</v>
      </c>
      <c r="G207" s="12"/>
      <c r="H207" s="12"/>
      <c r="I207" s="12"/>
      <c r="J207" s="12" t="n">
        <v>100</v>
      </c>
      <c r="K207" s="12" t="n">
        <v>150</v>
      </c>
      <c r="L207" s="12" t="n">
        <v>1</v>
      </c>
      <c r="M207" s="12" t="n">
        <v>219.32</v>
      </c>
      <c r="N207" s="12" t="n">
        <v>77826.3</v>
      </c>
      <c r="O207" s="13"/>
      <c r="P207" s="13" t="s">
        <v>3211</v>
      </c>
      <c r="Q207" s="13"/>
      <c r="R207" s="13"/>
      <c r="S207" s="13" t="s">
        <v>3212</v>
      </c>
      <c r="T207" s="12" t="s">
        <v>94</v>
      </c>
      <c r="U207" s="12" t="s">
        <v>3213</v>
      </c>
    </row>
    <row r="208" customFormat="false" ht="31.5" hidden="false" customHeight="true" outlineLevel="0" collapsed="false">
      <c r="A208" s="12" t="n">
        <v>171</v>
      </c>
      <c r="B208" s="12" t="s">
        <v>3214</v>
      </c>
      <c r="C208" s="12" t="s">
        <v>2670</v>
      </c>
      <c r="D208" s="12" t="s">
        <v>491</v>
      </c>
      <c r="E208" s="12" t="s">
        <v>83</v>
      </c>
      <c r="F208" s="12" t="n">
        <v>1.0738</v>
      </c>
      <c r="G208" s="12"/>
      <c r="H208" s="12" t="s">
        <v>3215</v>
      </c>
      <c r="I208" s="12"/>
      <c r="J208" s="12"/>
      <c r="K208" s="12" t="n">
        <v>50</v>
      </c>
      <c r="L208" s="12"/>
      <c r="M208" s="12" t="n">
        <v>170.83</v>
      </c>
      <c r="N208" s="12" t="n">
        <v>1.1127</v>
      </c>
      <c r="O208" s="13"/>
      <c r="P208" s="13" t="s">
        <v>3216</v>
      </c>
      <c r="Q208" s="13"/>
      <c r="R208" s="13"/>
      <c r="S208" s="13" t="s">
        <v>3217</v>
      </c>
      <c r="T208" s="12" t="s">
        <v>94</v>
      </c>
      <c r="U208" s="12" t="s">
        <v>3218</v>
      </c>
    </row>
    <row r="209" customFormat="false" ht="31.5" hidden="false" customHeight="true" outlineLevel="0" collapsed="false">
      <c r="A209" s="12" t="n">
        <v>172</v>
      </c>
      <c r="B209" s="12" t="s">
        <v>497</v>
      </c>
      <c r="C209" s="12" t="s">
        <v>2666</v>
      </c>
      <c r="D209" s="12" t="s">
        <v>491</v>
      </c>
      <c r="E209" s="12" t="s">
        <v>83</v>
      </c>
      <c r="F209" s="12" t="n">
        <v>1.0738</v>
      </c>
      <c r="G209" s="12"/>
      <c r="H209" s="12" t="s">
        <v>3219</v>
      </c>
      <c r="I209" s="12"/>
      <c r="J209" s="12" t="n">
        <v>100</v>
      </c>
      <c r="K209" s="12" t="n">
        <v>50</v>
      </c>
      <c r="L209" s="12"/>
      <c r="M209" s="12" t="n">
        <v>308.25</v>
      </c>
      <c r="N209" s="12" t="n">
        <v>1.14</v>
      </c>
      <c r="O209" s="13"/>
      <c r="P209" s="13" t="s">
        <v>3220</v>
      </c>
      <c r="Q209" s="13"/>
      <c r="R209" s="13"/>
      <c r="S209" s="13" t="s">
        <v>3221</v>
      </c>
      <c r="T209" s="12" t="s">
        <v>94</v>
      </c>
      <c r="U209" s="12" t="s">
        <v>3222</v>
      </c>
    </row>
    <row r="210" customFormat="false" ht="31.5" hidden="false" customHeight="true" outlineLevel="0" collapsed="false">
      <c r="A210" s="12" t="n">
        <v>173</v>
      </c>
      <c r="B210" s="12" t="s">
        <v>3223</v>
      </c>
      <c r="C210" s="12" t="s">
        <v>2557</v>
      </c>
      <c r="D210" s="12" t="s">
        <v>491</v>
      </c>
      <c r="E210" s="12" t="s">
        <v>83</v>
      </c>
      <c r="F210" s="12" t="n">
        <v>1.0481</v>
      </c>
      <c r="G210" s="12"/>
      <c r="H210" s="12"/>
      <c r="I210" s="12"/>
      <c r="J210" s="12"/>
      <c r="K210" s="12" t="n">
        <v>100</v>
      </c>
      <c r="L210" s="12"/>
      <c r="M210" s="12" t="n">
        <v>877.77</v>
      </c>
      <c r="N210" s="12" t="n">
        <v>1.1401</v>
      </c>
      <c r="O210" s="13"/>
      <c r="P210" s="13" t="s">
        <v>3224</v>
      </c>
      <c r="Q210" s="13"/>
      <c r="R210" s="13"/>
      <c r="S210" s="13" t="s">
        <v>3225</v>
      </c>
      <c r="T210" s="12" t="s">
        <v>94</v>
      </c>
      <c r="U210" s="12" t="s">
        <v>3226</v>
      </c>
    </row>
    <row r="211" customFormat="false" ht="31.5" hidden="false" customHeight="true" outlineLevel="0" collapsed="false">
      <c r="A211" s="12" t="n">
        <v>174</v>
      </c>
      <c r="B211" s="12" t="s">
        <v>3227</v>
      </c>
      <c r="C211" s="12" t="s">
        <v>2506</v>
      </c>
      <c r="D211" s="12"/>
      <c r="E211" s="12"/>
      <c r="F211" s="12"/>
      <c r="G211" s="12"/>
      <c r="H211" s="12"/>
      <c r="I211" s="12"/>
      <c r="J211" s="12"/>
      <c r="K211" s="12"/>
      <c r="L211" s="12"/>
      <c r="M211" s="12"/>
      <c r="N211" s="12"/>
      <c r="O211" s="13"/>
      <c r="P211" s="13" t="s">
        <v>3228</v>
      </c>
      <c r="Q211" s="13"/>
      <c r="R211" s="13"/>
      <c r="S211" s="13" t="s">
        <v>3229</v>
      </c>
      <c r="T211" s="12" t="s">
        <v>94</v>
      </c>
      <c r="U211" s="12" t="s">
        <v>3230</v>
      </c>
    </row>
    <row r="212" customFormat="false" ht="31.5" hidden="false" customHeight="true" outlineLevel="0" collapsed="false">
      <c r="A212" s="12" t="n">
        <v>175</v>
      </c>
      <c r="B212" s="12" t="s">
        <v>3231</v>
      </c>
      <c r="C212" s="12" t="s">
        <v>2502</v>
      </c>
      <c r="D212" s="12"/>
      <c r="E212" s="12"/>
      <c r="F212" s="12"/>
      <c r="G212" s="12"/>
      <c r="H212" s="12"/>
      <c r="I212" s="12"/>
      <c r="J212" s="12"/>
      <c r="K212" s="12"/>
      <c r="L212" s="12"/>
      <c r="M212" s="12"/>
      <c r="N212" s="12"/>
      <c r="O212" s="13"/>
      <c r="P212" s="13" t="s">
        <v>3232</v>
      </c>
      <c r="Q212" s="13"/>
      <c r="R212" s="13"/>
      <c r="S212" s="13" t="s">
        <v>3233</v>
      </c>
      <c r="T212" s="12" t="s">
        <v>94</v>
      </c>
      <c r="U212" s="12" t="s">
        <v>3234</v>
      </c>
    </row>
    <row r="213" customFormat="false" ht="31.5" hidden="false" customHeight="true" outlineLevel="0" collapsed="false">
      <c r="A213" s="12" t="n">
        <v>176</v>
      </c>
      <c r="B213" s="12" t="s">
        <v>3235</v>
      </c>
      <c r="C213" s="12" t="s">
        <v>2527</v>
      </c>
      <c r="D213" s="12" t="s">
        <v>113</v>
      </c>
      <c r="E213" s="12" t="s">
        <v>83</v>
      </c>
      <c r="F213" s="12"/>
      <c r="G213" s="12"/>
      <c r="H213" s="12"/>
      <c r="I213" s="12"/>
      <c r="J213" s="12"/>
      <c r="K213" s="12"/>
      <c r="L213" s="12"/>
      <c r="M213" s="12"/>
      <c r="N213" s="12"/>
      <c r="O213" s="13"/>
      <c r="P213" s="13" t="s">
        <v>3236</v>
      </c>
      <c r="Q213" s="13"/>
      <c r="R213" s="13"/>
      <c r="S213" s="13" t="s">
        <v>3237</v>
      </c>
      <c r="T213" s="12" t="s">
        <v>94</v>
      </c>
      <c r="U213" s="12" t="s">
        <v>3238</v>
      </c>
    </row>
    <row r="214" customFormat="false" ht="31.5" hidden="false" customHeight="true" outlineLevel="0" collapsed="false">
      <c r="A214" s="12" t="n">
        <v>177</v>
      </c>
      <c r="B214" s="12" t="s">
        <v>514</v>
      </c>
      <c r="C214" s="12" t="s">
        <v>2521</v>
      </c>
      <c r="D214" s="12" t="s">
        <v>113</v>
      </c>
      <c r="E214" s="12" t="s">
        <v>83</v>
      </c>
      <c r="F214" s="12" t="n">
        <v>77000</v>
      </c>
      <c r="G214" s="12" t="n">
        <v>76000</v>
      </c>
      <c r="H214" s="12"/>
      <c r="I214" s="12" t="n">
        <v>75300</v>
      </c>
      <c r="J214" s="12"/>
      <c r="K214" s="12"/>
      <c r="L214" s="12"/>
      <c r="M214" s="12"/>
      <c r="N214" s="12"/>
      <c r="O214" s="13"/>
      <c r="P214" s="13" t="s">
        <v>3239</v>
      </c>
      <c r="Q214" s="13"/>
      <c r="R214" s="13"/>
      <c r="S214" s="13" t="s">
        <v>3240</v>
      </c>
      <c r="T214" s="12" t="s">
        <v>94</v>
      </c>
      <c r="U214" s="12" t="s">
        <v>525</v>
      </c>
    </row>
    <row r="215" customFormat="false" ht="31.5" hidden="false" customHeight="true" outlineLevel="0" collapsed="false">
      <c r="A215" s="12" t="n">
        <v>178</v>
      </c>
      <c r="B215" s="12" t="s">
        <v>3241</v>
      </c>
      <c r="C215" s="12" t="s">
        <v>2557</v>
      </c>
      <c r="D215" s="12" t="s">
        <v>113</v>
      </c>
      <c r="E215" s="12" t="s">
        <v>83</v>
      </c>
      <c r="F215" s="12"/>
      <c r="G215" s="12"/>
      <c r="H215" s="12"/>
      <c r="I215" s="12"/>
      <c r="J215" s="12"/>
      <c r="K215" s="12"/>
      <c r="L215" s="12"/>
      <c r="M215" s="12"/>
      <c r="N215" s="12" t="n">
        <v>77000</v>
      </c>
      <c r="O215" s="13"/>
      <c r="P215" s="13" t="s">
        <v>3242</v>
      </c>
      <c r="Q215" s="13"/>
      <c r="R215" s="13"/>
      <c r="S215" s="13" t="s">
        <v>2628</v>
      </c>
      <c r="T215" s="12" t="s">
        <v>94</v>
      </c>
      <c r="U215" s="12" t="s">
        <v>3243</v>
      </c>
    </row>
    <row r="216" customFormat="false" ht="31.5" hidden="false" customHeight="true" outlineLevel="0" collapsed="false">
      <c r="A216" s="12" t="n">
        <v>179</v>
      </c>
      <c r="B216" s="12" t="s">
        <v>3244</v>
      </c>
      <c r="C216" s="12" t="s">
        <v>2670</v>
      </c>
      <c r="D216" s="12" t="s">
        <v>113</v>
      </c>
      <c r="E216" s="12" t="s">
        <v>83</v>
      </c>
      <c r="F216" s="12"/>
      <c r="G216" s="12"/>
      <c r="H216" s="12" t="s">
        <v>517</v>
      </c>
      <c r="I216" s="12"/>
      <c r="J216" s="12"/>
      <c r="K216" s="12"/>
      <c r="L216" s="12"/>
      <c r="M216" s="12"/>
      <c r="N216" s="12"/>
      <c r="O216" s="13"/>
      <c r="P216" s="13" t="s">
        <v>3245</v>
      </c>
      <c r="Q216" s="13"/>
      <c r="R216" s="13"/>
      <c r="S216" s="13" t="s">
        <v>3246</v>
      </c>
      <c r="T216" s="12" t="s">
        <v>108</v>
      </c>
      <c r="U216" s="12" t="s">
        <v>3247</v>
      </c>
    </row>
    <row r="217" customFormat="false" ht="31.5" hidden="false" customHeight="true" outlineLevel="0" collapsed="false">
      <c r="A217" s="12" t="n">
        <v>180</v>
      </c>
      <c r="B217" s="12" t="s">
        <v>3248</v>
      </c>
      <c r="C217" s="12" t="s">
        <v>2557</v>
      </c>
      <c r="D217" s="12" t="s">
        <v>113</v>
      </c>
      <c r="E217" s="12" t="s">
        <v>83</v>
      </c>
      <c r="F217" s="12" t="n">
        <v>77065.1</v>
      </c>
      <c r="G217" s="12"/>
      <c r="H217" s="12"/>
      <c r="I217" s="12"/>
      <c r="J217" s="12"/>
      <c r="K217" s="12" t="n">
        <v>150</v>
      </c>
      <c r="L217" s="12"/>
      <c r="M217" s="12" t="n">
        <v>153.7</v>
      </c>
      <c r="N217" s="12" t="n">
        <v>77854.8</v>
      </c>
      <c r="O217" s="13"/>
      <c r="P217" s="13" t="s">
        <v>3249</v>
      </c>
      <c r="Q217" s="13"/>
      <c r="R217" s="13" t="s">
        <v>3250</v>
      </c>
      <c r="S217" s="13" t="s">
        <v>3251</v>
      </c>
      <c r="T217" s="12" t="s">
        <v>94</v>
      </c>
      <c r="U217" s="12" t="s">
        <v>3252</v>
      </c>
    </row>
    <row r="218" customFormat="false" ht="31.5" hidden="false" customHeight="true" outlineLevel="0" collapsed="false">
      <c r="A218" s="12" t="n">
        <v>181</v>
      </c>
      <c r="B218" s="12" t="s">
        <v>3253</v>
      </c>
      <c r="C218" s="12" t="s">
        <v>2516</v>
      </c>
      <c r="D218" s="12" t="s">
        <v>113</v>
      </c>
      <c r="E218" s="12" t="s">
        <v>83</v>
      </c>
      <c r="F218" s="12"/>
      <c r="G218" s="12"/>
      <c r="H218" s="12"/>
      <c r="I218" s="12" t="n">
        <v>77000</v>
      </c>
      <c r="J218" s="12" t="n">
        <v>10</v>
      </c>
      <c r="K218" s="12"/>
      <c r="L218" s="12"/>
      <c r="M218" s="12"/>
      <c r="N218" s="12"/>
      <c r="O218" s="13" t="s">
        <v>3254</v>
      </c>
      <c r="P218" s="13" t="s">
        <v>3255</v>
      </c>
      <c r="Q218" s="13"/>
      <c r="R218" s="13"/>
      <c r="S218" s="13" t="s">
        <v>3256</v>
      </c>
      <c r="T218" s="12" t="s">
        <v>108</v>
      </c>
      <c r="U218" s="12" t="s">
        <v>3257</v>
      </c>
    </row>
    <row r="219" customFormat="false" ht="31.5" hidden="false" customHeight="true" outlineLevel="0" collapsed="false">
      <c r="A219" s="12" t="n">
        <v>182</v>
      </c>
      <c r="B219" s="12" t="s">
        <v>3258</v>
      </c>
      <c r="C219" s="12" t="s">
        <v>2557</v>
      </c>
      <c r="D219" s="12" t="s">
        <v>113</v>
      </c>
      <c r="E219" s="12" t="s">
        <v>83</v>
      </c>
      <c r="F219" s="12"/>
      <c r="G219" s="12"/>
      <c r="H219" s="12" t="s">
        <v>518</v>
      </c>
      <c r="I219" s="12"/>
      <c r="J219" s="12"/>
      <c r="K219" s="12"/>
      <c r="L219" s="12"/>
      <c r="M219" s="12"/>
      <c r="N219" s="12"/>
      <c r="O219" s="13"/>
      <c r="P219" s="13" t="s">
        <v>3259</v>
      </c>
      <c r="Q219" s="13"/>
      <c r="R219" s="13"/>
      <c r="S219" s="13" t="s">
        <v>3260</v>
      </c>
      <c r="T219" s="12" t="s">
        <v>94</v>
      </c>
      <c r="U219" s="12" t="s">
        <v>3261</v>
      </c>
    </row>
    <row r="220" customFormat="false" ht="31.5" hidden="false" customHeight="true" outlineLevel="0" collapsed="false">
      <c r="A220" s="12" t="n">
        <v>183</v>
      </c>
      <c r="B220" s="12" t="s">
        <v>526</v>
      </c>
      <c r="C220" s="12" t="s">
        <v>2521</v>
      </c>
      <c r="D220" s="12" t="s">
        <v>527</v>
      </c>
      <c r="E220" s="12" t="s">
        <v>83</v>
      </c>
      <c r="F220" s="12" t="n">
        <v>0.284</v>
      </c>
      <c r="G220" s="12" t="n">
        <v>0.279</v>
      </c>
      <c r="H220" s="12" t="s">
        <v>530</v>
      </c>
      <c r="I220" s="12" t="n">
        <v>0.265</v>
      </c>
      <c r="J220" s="12"/>
      <c r="K220" s="12"/>
      <c r="L220" s="12"/>
      <c r="M220" s="12"/>
      <c r="N220" s="12"/>
      <c r="O220" s="13" t="s">
        <v>531</v>
      </c>
      <c r="P220" s="13" t="s">
        <v>3262</v>
      </c>
      <c r="Q220" s="13"/>
      <c r="R220" s="13"/>
      <c r="S220" s="13" t="s">
        <v>3263</v>
      </c>
      <c r="T220" s="12" t="s">
        <v>94</v>
      </c>
      <c r="U220" s="12" t="s">
        <v>540</v>
      </c>
    </row>
    <row r="221" customFormat="false" ht="31.5" hidden="false" customHeight="true" outlineLevel="0" collapsed="false">
      <c r="A221" s="12" t="n">
        <v>184</v>
      </c>
      <c r="B221" s="12" t="s">
        <v>3264</v>
      </c>
      <c r="C221" s="12" t="s">
        <v>2502</v>
      </c>
      <c r="D221" s="12"/>
      <c r="E221" s="12"/>
      <c r="F221" s="12"/>
      <c r="G221" s="12"/>
      <c r="H221" s="12"/>
      <c r="I221" s="12"/>
      <c r="J221" s="12"/>
      <c r="K221" s="12"/>
      <c r="L221" s="12"/>
      <c r="M221" s="12"/>
      <c r="N221" s="12"/>
      <c r="O221" s="13"/>
      <c r="P221" s="13" t="s">
        <v>3265</v>
      </c>
      <c r="Q221" s="13"/>
      <c r="R221" s="13"/>
      <c r="S221" s="13" t="s">
        <v>3266</v>
      </c>
      <c r="T221" s="12" t="s">
        <v>94</v>
      </c>
      <c r="U221" s="12" t="s">
        <v>3267</v>
      </c>
    </row>
    <row r="222" customFormat="false" ht="31.5" hidden="false" customHeight="true" outlineLevel="0" collapsed="false">
      <c r="A222" s="12" t="n">
        <v>185</v>
      </c>
      <c r="B222" s="12" t="s">
        <v>541</v>
      </c>
      <c r="C222" s="12" t="s">
        <v>2521</v>
      </c>
      <c r="D222" s="12" t="s">
        <v>542</v>
      </c>
      <c r="E222" s="12" t="s">
        <v>83</v>
      </c>
      <c r="F222" s="12" t="n">
        <v>0.089</v>
      </c>
      <c r="G222" s="12"/>
      <c r="H222" s="12" t="s">
        <v>544</v>
      </c>
      <c r="I222" s="12" t="n">
        <v>0.0836</v>
      </c>
      <c r="J222" s="12"/>
      <c r="K222" s="12"/>
      <c r="L222" s="12"/>
      <c r="M222" s="12"/>
      <c r="N222" s="12"/>
      <c r="O222" s="13"/>
      <c r="P222" s="13" t="s">
        <v>3268</v>
      </c>
      <c r="Q222" s="13"/>
      <c r="R222" s="13"/>
      <c r="S222" s="13" t="s">
        <v>3269</v>
      </c>
      <c r="T222" s="12" t="s">
        <v>94</v>
      </c>
      <c r="U222" s="12" t="s">
        <v>550</v>
      </c>
    </row>
    <row r="223" customFormat="false" ht="31.5" hidden="false" customHeight="true" outlineLevel="0" collapsed="false">
      <c r="A223" s="12" t="n">
        <v>186</v>
      </c>
      <c r="B223" s="12" t="s">
        <v>3270</v>
      </c>
      <c r="C223" s="12" t="s">
        <v>2666</v>
      </c>
      <c r="D223" s="12" t="s">
        <v>504</v>
      </c>
      <c r="E223" s="12" t="s">
        <v>83</v>
      </c>
      <c r="F223" s="12" t="n">
        <v>0.006158</v>
      </c>
      <c r="G223" s="12"/>
      <c r="H223" s="12"/>
      <c r="I223" s="12"/>
      <c r="J223" s="12" t="n">
        <v>20</v>
      </c>
      <c r="K223" s="12" t="n">
        <v>75</v>
      </c>
      <c r="L223" s="12"/>
      <c r="M223" s="12" t="n">
        <v>199.88</v>
      </c>
      <c r="N223" s="12" t="n">
        <v>0.006323</v>
      </c>
      <c r="O223" s="13"/>
      <c r="P223" s="13" t="s">
        <v>3271</v>
      </c>
      <c r="Q223" s="13"/>
      <c r="R223" s="13"/>
      <c r="S223" s="13" t="s">
        <v>3272</v>
      </c>
      <c r="T223" s="12" t="s">
        <v>94</v>
      </c>
      <c r="U223" s="12" t="s">
        <v>3273</v>
      </c>
    </row>
    <row r="224" customFormat="false" ht="31.5" hidden="false" customHeight="true" outlineLevel="0" collapsed="false">
      <c r="A224" s="12" t="n">
        <v>187</v>
      </c>
      <c r="B224" s="12" t="s">
        <v>3274</v>
      </c>
      <c r="C224" s="12" t="s">
        <v>2527</v>
      </c>
      <c r="D224" s="12" t="s">
        <v>491</v>
      </c>
      <c r="E224" s="12" t="s">
        <v>83</v>
      </c>
      <c r="F224" s="12"/>
      <c r="G224" s="12"/>
      <c r="H224" s="12"/>
      <c r="I224" s="12"/>
      <c r="J224" s="12"/>
      <c r="K224" s="12"/>
      <c r="L224" s="12"/>
      <c r="M224" s="12"/>
      <c r="N224" s="12"/>
      <c r="O224" s="13" t="s">
        <v>3275</v>
      </c>
      <c r="P224" s="13" t="s">
        <v>3276</v>
      </c>
      <c r="Q224" s="13"/>
      <c r="R224" s="13"/>
      <c r="S224" s="13" t="s">
        <v>3277</v>
      </c>
      <c r="T224" s="12" t="s">
        <v>94</v>
      </c>
      <c r="U224" s="12" t="s">
        <v>619</v>
      </c>
    </row>
    <row r="225" customFormat="false" ht="31.5" hidden="false" customHeight="true" outlineLevel="0" collapsed="false">
      <c r="A225" s="12" t="n">
        <v>188</v>
      </c>
      <c r="B225" s="12" t="s">
        <v>551</v>
      </c>
      <c r="C225" s="12" t="s">
        <v>2521</v>
      </c>
      <c r="D225" s="12" t="s">
        <v>552</v>
      </c>
      <c r="E225" s="12" t="s">
        <v>83</v>
      </c>
      <c r="F225" s="12" t="n">
        <v>9.569</v>
      </c>
      <c r="G225" s="12"/>
      <c r="H225" s="12" t="s">
        <v>554</v>
      </c>
      <c r="I225" s="12" t="n">
        <v>9.13</v>
      </c>
      <c r="J225" s="12"/>
      <c r="K225" s="12"/>
      <c r="L225" s="12"/>
      <c r="M225" s="12"/>
      <c r="N225" s="12"/>
      <c r="O225" s="13"/>
      <c r="P225" s="13" t="s">
        <v>3278</v>
      </c>
      <c r="Q225" s="13"/>
      <c r="R225" s="13"/>
      <c r="S225" s="13" t="s">
        <v>3279</v>
      </c>
      <c r="T225" s="12" t="s">
        <v>94</v>
      </c>
      <c r="U225" s="12" t="s">
        <v>560</v>
      </c>
    </row>
    <row r="226" customFormat="false" ht="31.5" hidden="false" customHeight="true" outlineLevel="0" collapsed="false">
      <c r="A226" s="12" t="n">
        <v>189</v>
      </c>
      <c r="B226" s="12" t="s">
        <v>3280</v>
      </c>
      <c r="C226" s="12" t="s">
        <v>2502</v>
      </c>
      <c r="D226" s="12"/>
      <c r="E226" s="12"/>
      <c r="F226" s="12"/>
      <c r="G226" s="12"/>
      <c r="H226" s="12"/>
      <c r="I226" s="12"/>
      <c r="J226" s="12"/>
      <c r="K226" s="12"/>
      <c r="L226" s="12"/>
      <c r="M226" s="12"/>
      <c r="N226" s="12"/>
      <c r="O226" s="13"/>
      <c r="P226" s="13" t="s">
        <v>3281</v>
      </c>
      <c r="Q226" s="13"/>
      <c r="R226" s="13"/>
      <c r="S226" s="13" t="s">
        <v>3282</v>
      </c>
      <c r="T226" s="12" t="s">
        <v>94</v>
      </c>
      <c r="U226" s="12" t="s">
        <v>3283</v>
      </c>
    </row>
    <row r="227" customFormat="false" ht="31.5" hidden="false" customHeight="true" outlineLevel="0" collapsed="false">
      <c r="A227" s="12" t="n">
        <v>190</v>
      </c>
      <c r="B227" s="12" t="s">
        <v>3284</v>
      </c>
      <c r="C227" s="12" t="s">
        <v>2581</v>
      </c>
      <c r="D227" s="12" t="s">
        <v>527</v>
      </c>
      <c r="E227" s="12" t="s">
        <v>83</v>
      </c>
      <c r="F227" s="12" t="n">
        <v>0.284</v>
      </c>
      <c r="G227" s="12"/>
      <c r="H227" s="12"/>
      <c r="I227" s="12"/>
      <c r="J227" s="12" t="n">
        <v>25</v>
      </c>
      <c r="K227" s="12" t="n">
        <v>100</v>
      </c>
      <c r="L227" s="12" t="n">
        <v>1.5</v>
      </c>
      <c r="M227" s="12" t="n">
        <v>234.74</v>
      </c>
      <c r="N227" s="12" t="n">
        <v>0.2908</v>
      </c>
      <c r="O227" s="13"/>
      <c r="P227" s="13" t="s">
        <v>3285</v>
      </c>
      <c r="Q227" s="13"/>
      <c r="R227" s="13"/>
      <c r="S227" s="13" t="s">
        <v>3286</v>
      </c>
      <c r="T227" s="12" t="s">
        <v>94</v>
      </c>
      <c r="U227" s="12" t="s">
        <v>3287</v>
      </c>
    </row>
    <row r="228" customFormat="false" ht="31.5" hidden="false" customHeight="true" outlineLevel="0" collapsed="false">
      <c r="A228" s="12" t="n">
        <v>190</v>
      </c>
      <c r="B228" s="12" t="s">
        <v>3284</v>
      </c>
      <c r="C228" s="12" t="s">
        <v>2588</v>
      </c>
      <c r="D228" s="12" t="s">
        <v>527</v>
      </c>
      <c r="E228" s="12" t="s">
        <v>83</v>
      </c>
      <c r="F228" s="12" t="n">
        <v>0.284</v>
      </c>
      <c r="G228" s="12"/>
      <c r="H228" s="12"/>
      <c r="I228" s="12" t="n">
        <v>0.284</v>
      </c>
      <c r="J228" s="12"/>
      <c r="K228" s="12" t="n">
        <v>100</v>
      </c>
      <c r="L228" s="12"/>
      <c r="M228" s="12"/>
      <c r="N228" s="12"/>
      <c r="O228" s="13"/>
      <c r="P228" s="13" t="s">
        <v>3288</v>
      </c>
      <c r="Q228" s="13"/>
      <c r="R228" s="13"/>
      <c r="S228" s="13" t="s">
        <v>3289</v>
      </c>
      <c r="T228" s="12" t="s">
        <v>108</v>
      </c>
      <c r="U228" s="12" t="s">
        <v>3287</v>
      </c>
    </row>
    <row r="229" customFormat="false" ht="31.5" hidden="false" customHeight="true" outlineLevel="0" collapsed="false">
      <c r="A229" s="12" t="n">
        <v>191</v>
      </c>
      <c r="B229" s="12" t="s">
        <v>3290</v>
      </c>
      <c r="C229" s="12" t="s">
        <v>2516</v>
      </c>
      <c r="D229" s="12" t="s">
        <v>527</v>
      </c>
      <c r="E229" s="12" t="s">
        <v>83</v>
      </c>
      <c r="F229" s="12"/>
      <c r="G229" s="12"/>
      <c r="H229" s="12"/>
      <c r="I229" s="12"/>
      <c r="J229" s="12" t="n">
        <v>100</v>
      </c>
      <c r="K229" s="12"/>
      <c r="L229" s="12" t="n">
        <v>1</v>
      </c>
      <c r="M229" s="12"/>
      <c r="N229" s="12"/>
      <c r="O229" s="13"/>
      <c r="P229" s="13" t="s">
        <v>3291</v>
      </c>
      <c r="Q229" s="13"/>
      <c r="R229" s="13"/>
      <c r="S229" s="13" t="s">
        <v>3292</v>
      </c>
      <c r="T229" s="12" t="s">
        <v>94</v>
      </c>
      <c r="U229" s="12" t="s">
        <v>3293</v>
      </c>
    </row>
    <row r="230" customFormat="false" ht="31.5" hidden="false" customHeight="true" outlineLevel="0" collapsed="false">
      <c r="A230" s="12" t="n">
        <v>192</v>
      </c>
      <c r="B230" s="12" t="s">
        <v>534</v>
      </c>
      <c r="C230" s="12" t="s">
        <v>2666</v>
      </c>
      <c r="D230" s="12" t="s">
        <v>527</v>
      </c>
      <c r="E230" s="12" t="s">
        <v>83</v>
      </c>
      <c r="F230" s="12"/>
      <c r="G230" s="12"/>
      <c r="H230" s="12"/>
      <c r="I230" s="12"/>
      <c r="J230" s="12" t="n">
        <v>100</v>
      </c>
      <c r="K230" s="12" t="n">
        <v>100</v>
      </c>
      <c r="L230" s="12" t="n">
        <v>1.5</v>
      </c>
      <c r="M230" s="12" t="n">
        <v>542.25</v>
      </c>
      <c r="N230" s="12"/>
      <c r="O230" s="13"/>
      <c r="P230" s="13" t="s">
        <v>3294</v>
      </c>
      <c r="Q230" s="13"/>
      <c r="R230" s="13" t="s">
        <v>1649</v>
      </c>
      <c r="S230" s="13" t="s">
        <v>3295</v>
      </c>
      <c r="T230" s="12" t="s">
        <v>94</v>
      </c>
      <c r="U230" s="12" t="s">
        <v>3296</v>
      </c>
    </row>
    <row r="231" customFormat="false" ht="31.5" hidden="false" customHeight="true" outlineLevel="0" collapsed="false">
      <c r="A231" s="12" t="n">
        <v>193</v>
      </c>
      <c r="B231" s="12" t="s">
        <v>519</v>
      </c>
      <c r="C231" s="12" t="s">
        <v>2511</v>
      </c>
      <c r="D231" s="12"/>
      <c r="E231" s="12"/>
      <c r="F231" s="12"/>
      <c r="G231" s="12"/>
      <c r="H231" s="12"/>
      <c r="I231" s="12"/>
      <c r="J231" s="12"/>
      <c r="K231" s="12"/>
      <c r="L231" s="12"/>
      <c r="M231" s="12"/>
      <c r="N231" s="12"/>
      <c r="O231" s="13"/>
      <c r="P231" s="13" t="s">
        <v>3297</v>
      </c>
      <c r="Q231" s="13"/>
      <c r="R231" s="13" t="s">
        <v>3298</v>
      </c>
      <c r="S231" s="13" t="s">
        <v>3299</v>
      </c>
      <c r="T231" s="12" t="s">
        <v>94</v>
      </c>
      <c r="U231" s="12" t="s">
        <v>3300</v>
      </c>
    </row>
    <row r="232" customFormat="false" ht="31.5" hidden="false" customHeight="true" outlineLevel="0" collapsed="false">
      <c r="A232" s="12" t="n">
        <v>193</v>
      </c>
      <c r="B232" s="12" t="s">
        <v>519</v>
      </c>
      <c r="C232" s="12" t="s">
        <v>2564</v>
      </c>
      <c r="D232" s="12" t="s">
        <v>113</v>
      </c>
      <c r="E232" s="12" t="s">
        <v>83</v>
      </c>
      <c r="F232" s="12"/>
      <c r="G232" s="12"/>
      <c r="H232" s="12"/>
      <c r="I232" s="12"/>
      <c r="J232" s="12"/>
      <c r="K232" s="12"/>
      <c r="L232" s="12"/>
      <c r="M232" s="12"/>
      <c r="N232" s="12"/>
      <c r="O232" s="13"/>
      <c r="P232" s="13" t="s">
        <v>3301</v>
      </c>
      <c r="Q232" s="13"/>
      <c r="R232" s="13" t="s">
        <v>3298</v>
      </c>
      <c r="S232" s="13" t="s">
        <v>3302</v>
      </c>
      <c r="T232" s="12" t="s">
        <v>108</v>
      </c>
      <c r="U232" s="12" t="s">
        <v>3300</v>
      </c>
    </row>
    <row r="233" customFormat="false" ht="31.5" hidden="false" customHeight="true" outlineLevel="0" collapsed="false">
      <c r="A233" s="12" t="n">
        <v>194</v>
      </c>
      <c r="B233" s="12" t="s">
        <v>561</v>
      </c>
      <c r="C233" s="12" t="s">
        <v>2521</v>
      </c>
      <c r="D233" s="12" t="s">
        <v>562</v>
      </c>
      <c r="E233" s="12" t="s">
        <v>259</v>
      </c>
      <c r="F233" s="12" t="n">
        <v>1.286</v>
      </c>
      <c r="G233" s="12"/>
      <c r="H233" s="12" t="s">
        <v>564</v>
      </c>
      <c r="I233" s="12" t="n">
        <v>1.39</v>
      </c>
      <c r="J233" s="12"/>
      <c r="K233" s="12"/>
      <c r="L233" s="12" t="n">
        <v>2</v>
      </c>
      <c r="M233" s="12"/>
      <c r="N233" s="12"/>
      <c r="O233" s="13" t="s">
        <v>3303</v>
      </c>
      <c r="P233" s="13" t="s">
        <v>3304</v>
      </c>
      <c r="Q233" s="13"/>
      <c r="R233" s="13"/>
      <c r="S233" s="13" t="s">
        <v>3305</v>
      </c>
      <c r="T233" s="12" t="s">
        <v>94</v>
      </c>
      <c r="U233" s="12" t="s">
        <v>573</v>
      </c>
    </row>
    <row r="234" customFormat="false" ht="31.5" hidden="false" customHeight="true" outlineLevel="0" collapsed="false">
      <c r="A234" s="12" t="n">
        <v>195</v>
      </c>
      <c r="B234" s="12" t="s">
        <v>3306</v>
      </c>
      <c r="C234" s="12" t="s">
        <v>2581</v>
      </c>
      <c r="D234" s="12" t="s">
        <v>562</v>
      </c>
      <c r="E234" s="12" t="s">
        <v>259</v>
      </c>
      <c r="F234" s="12" t="n">
        <v>1.2875</v>
      </c>
      <c r="G234" s="12"/>
      <c r="H234" s="12"/>
      <c r="I234" s="12"/>
      <c r="J234" s="12" t="n">
        <v>60</v>
      </c>
      <c r="K234" s="12" t="n">
        <v>100</v>
      </c>
      <c r="L234" s="12" t="n">
        <v>1.5</v>
      </c>
      <c r="M234" s="12" t="n">
        <v>921.08</v>
      </c>
      <c r="N234" s="12" t="n">
        <v>1.169</v>
      </c>
      <c r="O234" s="13"/>
      <c r="P234" s="13" t="s">
        <v>3307</v>
      </c>
      <c r="Q234" s="13"/>
      <c r="R234" s="13"/>
      <c r="S234" s="13" t="s">
        <v>3308</v>
      </c>
      <c r="T234" s="12" t="s">
        <v>94</v>
      </c>
      <c r="U234" s="12" t="s">
        <v>3309</v>
      </c>
    </row>
    <row r="235" customFormat="false" ht="31.5" hidden="false" customHeight="true" outlineLevel="0" collapsed="false">
      <c r="A235" s="12" t="n">
        <v>196</v>
      </c>
      <c r="B235" s="12" t="s">
        <v>3310</v>
      </c>
      <c r="C235" s="12" t="s">
        <v>2588</v>
      </c>
      <c r="D235" s="12" t="s">
        <v>562</v>
      </c>
      <c r="E235" s="12" t="s">
        <v>259</v>
      </c>
      <c r="F235" s="12"/>
      <c r="G235" s="12"/>
      <c r="H235" s="12"/>
      <c r="I235" s="12" t="n">
        <v>1.27</v>
      </c>
      <c r="J235" s="12"/>
      <c r="K235" s="12"/>
      <c r="L235" s="12"/>
      <c r="M235" s="12"/>
      <c r="N235" s="12"/>
      <c r="O235" s="13"/>
      <c r="P235" s="13" t="s">
        <v>3311</v>
      </c>
      <c r="Q235" s="13"/>
      <c r="R235" s="13"/>
      <c r="S235" s="13" t="s">
        <v>3312</v>
      </c>
      <c r="T235" s="12" t="s">
        <v>108</v>
      </c>
      <c r="U235" s="12" t="s">
        <v>3313</v>
      </c>
    </row>
    <row r="236" customFormat="false" ht="31.5" hidden="false" customHeight="true" outlineLevel="0" collapsed="false">
      <c r="A236" s="12" t="n">
        <v>197</v>
      </c>
      <c r="B236" s="12" t="s">
        <v>574</v>
      </c>
      <c r="C236" s="12" t="s">
        <v>2521</v>
      </c>
      <c r="D236" s="12" t="s">
        <v>575</v>
      </c>
      <c r="E236" s="12" t="s">
        <v>259</v>
      </c>
      <c r="F236" s="12" t="n">
        <v>0.004</v>
      </c>
      <c r="G236" s="12"/>
      <c r="H236" s="12" t="s">
        <v>576</v>
      </c>
      <c r="I236" s="12" t="n">
        <v>0.00426</v>
      </c>
      <c r="J236" s="12"/>
      <c r="K236" s="12"/>
      <c r="L236" s="12"/>
      <c r="M236" s="12"/>
      <c r="N236" s="12"/>
      <c r="O236" s="13" t="s">
        <v>577</v>
      </c>
      <c r="P236" s="13" t="s">
        <v>3314</v>
      </c>
      <c r="Q236" s="13"/>
      <c r="R236" s="13"/>
      <c r="S236" s="13" t="s">
        <v>3315</v>
      </c>
      <c r="T236" s="12" t="s">
        <v>94</v>
      </c>
      <c r="U236" s="12" t="s">
        <v>586</v>
      </c>
    </row>
    <row r="237" customFormat="false" ht="31.5" hidden="false" customHeight="true" outlineLevel="0" collapsed="false">
      <c r="A237" s="12" t="n">
        <v>198</v>
      </c>
      <c r="B237" s="12" t="s">
        <v>3316</v>
      </c>
      <c r="C237" s="12" t="s">
        <v>2516</v>
      </c>
      <c r="D237" s="12" t="s">
        <v>113</v>
      </c>
      <c r="E237" s="12" t="s">
        <v>83</v>
      </c>
      <c r="F237" s="12" t="n">
        <v>74000</v>
      </c>
      <c r="G237" s="12"/>
      <c r="H237" s="12"/>
      <c r="I237" s="12"/>
      <c r="J237" s="12"/>
      <c r="K237" s="12"/>
      <c r="L237" s="12"/>
      <c r="M237" s="12"/>
      <c r="N237" s="12"/>
      <c r="O237" s="13"/>
      <c r="P237" s="13" t="s">
        <v>3317</v>
      </c>
      <c r="Q237" s="13"/>
      <c r="R237" s="13"/>
      <c r="S237" s="13" t="s">
        <v>3318</v>
      </c>
      <c r="T237" s="12" t="s">
        <v>94</v>
      </c>
      <c r="U237" s="12" t="s">
        <v>633</v>
      </c>
    </row>
    <row r="238" customFormat="false" ht="31.5" hidden="false" customHeight="true" outlineLevel="0" collapsed="false">
      <c r="A238" s="12" t="n">
        <v>199</v>
      </c>
      <c r="B238" s="12" t="s">
        <v>3319</v>
      </c>
      <c r="C238" s="12" t="s">
        <v>2527</v>
      </c>
      <c r="D238" s="12" t="s">
        <v>113</v>
      </c>
      <c r="E238" s="12"/>
      <c r="F238" s="12"/>
      <c r="G238" s="12"/>
      <c r="H238" s="12"/>
      <c r="I238" s="12"/>
      <c r="J238" s="12"/>
      <c r="K238" s="12"/>
      <c r="L238" s="12"/>
      <c r="M238" s="12"/>
      <c r="N238" s="12"/>
      <c r="O238" s="13"/>
      <c r="P238" s="13" t="s">
        <v>3320</v>
      </c>
      <c r="Q238" s="13"/>
      <c r="R238" s="13"/>
      <c r="S238" s="13" t="s">
        <v>3321</v>
      </c>
      <c r="T238" s="12" t="s">
        <v>94</v>
      </c>
      <c r="U238" s="12" t="s">
        <v>3322</v>
      </c>
    </row>
    <row r="239" customFormat="false" ht="31.5" hidden="false" customHeight="true" outlineLevel="0" collapsed="false">
      <c r="A239" s="12" t="n">
        <v>200</v>
      </c>
      <c r="B239" s="12" t="s">
        <v>3323</v>
      </c>
      <c r="C239" s="12" t="s">
        <v>2516</v>
      </c>
      <c r="D239" s="12" t="s">
        <v>113</v>
      </c>
      <c r="E239" s="12" t="s">
        <v>83</v>
      </c>
      <c r="F239" s="12"/>
      <c r="G239" s="12"/>
      <c r="H239" s="12"/>
      <c r="I239" s="12"/>
      <c r="J239" s="12"/>
      <c r="K239" s="12"/>
      <c r="L239" s="12"/>
      <c r="M239" s="12"/>
      <c r="N239" s="12" t="n">
        <v>74000</v>
      </c>
      <c r="O239" s="13" t="s">
        <v>3324</v>
      </c>
      <c r="P239" s="13" t="s">
        <v>3325</v>
      </c>
      <c r="Q239" s="13"/>
      <c r="R239" s="13"/>
      <c r="S239" s="13" t="s">
        <v>3324</v>
      </c>
      <c r="T239" s="12" t="s">
        <v>94</v>
      </c>
      <c r="U239" s="12" t="s">
        <v>3326</v>
      </c>
    </row>
    <row r="240" customFormat="false" ht="31.5" hidden="false" customHeight="true" outlineLevel="0" collapsed="false">
      <c r="A240" s="12" t="n">
        <v>201</v>
      </c>
      <c r="B240" s="12" t="s">
        <v>587</v>
      </c>
      <c r="C240" s="12" t="s">
        <v>2527</v>
      </c>
      <c r="D240" s="12" t="s">
        <v>588</v>
      </c>
      <c r="E240" s="12" t="s">
        <v>259</v>
      </c>
      <c r="F240" s="12"/>
      <c r="G240" s="12"/>
      <c r="H240" s="12"/>
      <c r="I240" s="12"/>
      <c r="J240" s="12"/>
      <c r="K240" s="12"/>
      <c r="L240" s="12"/>
      <c r="M240" s="12"/>
      <c r="N240" s="12"/>
      <c r="O240" s="13"/>
      <c r="P240" s="13" t="s">
        <v>3327</v>
      </c>
      <c r="Q240" s="13"/>
      <c r="R240" s="13" t="s">
        <v>591</v>
      </c>
      <c r="S240" s="13" t="s">
        <v>3328</v>
      </c>
      <c r="T240" s="12" t="s">
        <v>94</v>
      </c>
      <c r="U240" s="12" t="s">
        <v>594</v>
      </c>
    </row>
    <row r="241" customFormat="false" ht="31.5" hidden="false" customHeight="true" outlineLevel="0" collapsed="false">
      <c r="A241" s="12" t="n">
        <v>202</v>
      </c>
      <c r="B241" s="12" t="s">
        <v>595</v>
      </c>
      <c r="C241" s="12" t="s">
        <v>2521</v>
      </c>
      <c r="D241" s="12" t="s">
        <v>596</v>
      </c>
      <c r="E241" s="12" t="s">
        <v>83</v>
      </c>
      <c r="F241" s="12" t="n">
        <v>54.8</v>
      </c>
      <c r="G241" s="12"/>
      <c r="H241" s="12" t="s">
        <v>598</v>
      </c>
      <c r="I241" s="12" t="n">
        <v>53.9</v>
      </c>
      <c r="J241" s="12"/>
      <c r="K241" s="12"/>
      <c r="L241" s="12"/>
      <c r="M241" s="12"/>
      <c r="N241" s="12"/>
      <c r="O241" s="13" t="s">
        <v>3329</v>
      </c>
      <c r="P241" s="13" t="s">
        <v>3330</v>
      </c>
      <c r="Q241" s="13" t="s">
        <v>191</v>
      </c>
      <c r="R241" s="13"/>
      <c r="S241" s="13" t="s">
        <v>3331</v>
      </c>
      <c r="T241" s="12" t="s">
        <v>94</v>
      </c>
      <c r="U241" s="12" t="s">
        <v>606</v>
      </c>
    </row>
    <row r="242" customFormat="false" ht="31.5" hidden="false" customHeight="true" outlineLevel="0" collapsed="false">
      <c r="A242" s="12" t="n">
        <v>203</v>
      </c>
      <c r="B242" s="12" t="s">
        <v>3332</v>
      </c>
      <c r="C242" s="12" t="s">
        <v>2557</v>
      </c>
      <c r="D242" s="12" t="s">
        <v>596</v>
      </c>
      <c r="E242" s="12" t="s">
        <v>83</v>
      </c>
      <c r="F242" s="12"/>
      <c r="G242" s="12"/>
      <c r="H242" s="12"/>
      <c r="I242" s="12"/>
      <c r="J242" s="12"/>
      <c r="K242" s="12"/>
      <c r="L242" s="12"/>
      <c r="M242" s="12"/>
      <c r="N242" s="12" t="n">
        <v>54.8</v>
      </c>
      <c r="O242" s="13"/>
      <c r="P242" s="13" t="s">
        <v>3333</v>
      </c>
      <c r="Q242" s="13"/>
      <c r="R242" s="13"/>
      <c r="S242" s="13" t="s">
        <v>3334</v>
      </c>
      <c r="T242" s="12" t="s">
        <v>94</v>
      </c>
      <c r="U242" s="12" t="s">
        <v>3335</v>
      </c>
    </row>
    <row r="243" customFormat="false" ht="31.5" hidden="false" customHeight="true" outlineLevel="0" collapsed="false">
      <c r="A243" s="12" t="n">
        <v>204</v>
      </c>
      <c r="B243" s="12" t="s">
        <v>3336</v>
      </c>
      <c r="C243" s="12" t="s">
        <v>2581</v>
      </c>
      <c r="D243" s="12" t="s">
        <v>575</v>
      </c>
      <c r="E243" s="12" t="s">
        <v>259</v>
      </c>
      <c r="F243" s="12" t="n">
        <v>0.004</v>
      </c>
      <c r="G243" s="12"/>
      <c r="H243" s="12"/>
      <c r="I243" s="12"/>
      <c r="J243" s="12" t="n">
        <v>10</v>
      </c>
      <c r="K243" s="12" t="n">
        <v>50</v>
      </c>
      <c r="L243" s="12" t="n">
        <v>0.5</v>
      </c>
      <c r="M243" s="12" t="n">
        <v>160.87</v>
      </c>
      <c r="N243" s="12" t="n">
        <v>0.00387</v>
      </c>
      <c r="O243" s="13" t="s">
        <v>3337</v>
      </c>
      <c r="P243" s="13" t="s">
        <v>3338</v>
      </c>
      <c r="Q243" s="13"/>
      <c r="R243" s="13" t="s">
        <v>3339</v>
      </c>
      <c r="S243" s="13" t="s">
        <v>3340</v>
      </c>
      <c r="T243" s="12" t="s">
        <v>94</v>
      </c>
      <c r="U243" s="12" t="s">
        <v>3341</v>
      </c>
    </row>
    <row r="244" customFormat="false" ht="31.5" hidden="false" customHeight="true" outlineLevel="0" collapsed="false">
      <c r="A244" s="12" t="n">
        <v>204</v>
      </c>
      <c r="B244" s="12" t="s">
        <v>3336</v>
      </c>
      <c r="C244" s="12" t="s">
        <v>2588</v>
      </c>
      <c r="D244" s="12" t="s">
        <v>575</v>
      </c>
      <c r="E244" s="12" t="s">
        <v>259</v>
      </c>
      <c r="F244" s="12" t="n">
        <v>0.004</v>
      </c>
      <c r="G244" s="12"/>
      <c r="H244" s="12"/>
      <c r="I244" s="12" t="n">
        <v>0.004</v>
      </c>
      <c r="J244" s="12"/>
      <c r="K244" s="12" t="n">
        <v>50</v>
      </c>
      <c r="L244" s="12"/>
      <c r="M244" s="12"/>
      <c r="N244" s="12"/>
      <c r="O244" s="13"/>
      <c r="P244" s="13" t="s">
        <v>3342</v>
      </c>
      <c r="Q244" s="13"/>
      <c r="R244" s="13"/>
      <c r="S244" s="13" t="s">
        <v>3343</v>
      </c>
      <c r="T244" s="12" t="s">
        <v>94</v>
      </c>
      <c r="U244" s="12" t="s">
        <v>3341</v>
      </c>
    </row>
    <row r="245" customFormat="false" ht="31.5" hidden="false" customHeight="true" outlineLevel="0" collapsed="false">
      <c r="A245" s="12" t="n">
        <v>205</v>
      </c>
      <c r="B245" s="12" t="s">
        <v>3344</v>
      </c>
      <c r="C245" s="12" t="s">
        <v>2502</v>
      </c>
      <c r="D245" s="12" t="s">
        <v>588</v>
      </c>
      <c r="E245" s="12"/>
      <c r="F245" s="12"/>
      <c r="G245" s="12"/>
      <c r="H245" s="12"/>
      <c r="I245" s="12"/>
      <c r="J245" s="12"/>
      <c r="K245" s="12"/>
      <c r="L245" s="12"/>
      <c r="M245" s="12"/>
      <c r="N245" s="12"/>
      <c r="O245" s="13"/>
      <c r="P245" s="13" t="s">
        <v>3345</v>
      </c>
      <c r="Q245" s="13"/>
      <c r="R245" s="13"/>
      <c r="S245" s="13" t="s">
        <v>3346</v>
      </c>
      <c r="T245" s="12" t="s">
        <v>94</v>
      </c>
      <c r="U245" s="12" t="s">
        <v>3347</v>
      </c>
    </row>
    <row r="246" customFormat="false" ht="31.5" hidden="false" customHeight="true" outlineLevel="0" collapsed="false">
      <c r="A246" s="12" t="n">
        <v>206</v>
      </c>
      <c r="B246" s="12" t="s">
        <v>3348</v>
      </c>
      <c r="C246" s="12" t="s">
        <v>2557</v>
      </c>
      <c r="D246" s="12" t="s">
        <v>596</v>
      </c>
      <c r="E246" s="12" t="s">
        <v>83</v>
      </c>
      <c r="F246" s="12" t="n">
        <v>54.991</v>
      </c>
      <c r="G246" s="12"/>
      <c r="H246" s="12"/>
      <c r="I246" s="12"/>
      <c r="J246" s="12"/>
      <c r="K246" s="12" t="n">
        <v>100</v>
      </c>
      <c r="L246" s="12" t="n">
        <v>0.5</v>
      </c>
      <c r="M246" s="12" t="n">
        <v>93.83</v>
      </c>
      <c r="N246" s="12" t="n">
        <v>55.507</v>
      </c>
      <c r="O246" s="13"/>
      <c r="P246" s="13" t="s">
        <v>3349</v>
      </c>
      <c r="Q246" s="13"/>
      <c r="R246" s="13"/>
      <c r="S246" s="13" t="s">
        <v>3350</v>
      </c>
      <c r="T246" s="12" t="s">
        <v>94</v>
      </c>
      <c r="U246" s="12" t="s">
        <v>3351</v>
      </c>
    </row>
    <row r="247" customFormat="false" ht="31.5" hidden="false" customHeight="true" outlineLevel="0" collapsed="false">
      <c r="A247" s="12" t="n">
        <v>207</v>
      </c>
      <c r="B247" s="12" t="s">
        <v>3352</v>
      </c>
      <c r="C247" s="12" t="s">
        <v>2549</v>
      </c>
      <c r="D247" s="12" t="s">
        <v>596</v>
      </c>
      <c r="E247" s="12" t="s">
        <v>83</v>
      </c>
      <c r="F247" s="12"/>
      <c r="G247" s="12"/>
      <c r="H247" s="12"/>
      <c r="I247" s="12"/>
      <c r="J247" s="12"/>
      <c r="K247" s="12"/>
      <c r="L247" s="12"/>
      <c r="M247" s="12"/>
      <c r="N247" s="12"/>
      <c r="O247" s="13"/>
      <c r="P247" s="13" t="s">
        <v>3353</v>
      </c>
      <c r="Q247" s="13"/>
      <c r="R247" s="13"/>
      <c r="S247" s="13" t="s">
        <v>3354</v>
      </c>
      <c r="T247" s="12" t="s">
        <v>108</v>
      </c>
      <c r="U247" s="12" t="s">
        <v>3355</v>
      </c>
    </row>
    <row r="248" customFormat="false" ht="31.5" hidden="false" customHeight="true" outlineLevel="0" collapsed="false">
      <c r="A248" s="12" t="n">
        <v>208</v>
      </c>
      <c r="B248" s="12" t="s">
        <v>607</v>
      </c>
      <c r="C248" s="12" t="s">
        <v>2521</v>
      </c>
      <c r="D248" s="12" t="s">
        <v>491</v>
      </c>
      <c r="E248" s="12" t="s">
        <v>83</v>
      </c>
      <c r="F248" s="12" t="n">
        <v>1</v>
      </c>
      <c r="G248" s="12"/>
      <c r="H248" s="12" t="s">
        <v>609</v>
      </c>
      <c r="I248" s="12" t="n">
        <v>0.95</v>
      </c>
      <c r="J248" s="12"/>
      <c r="K248" s="12"/>
      <c r="L248" s="12"/>
      <c r="M248" s="12"/>
      <c r="N248" s="12"/>
      <c r="O248" s="13" t="s">
        <v>3356</v>
      </c>
      <c r="P248" s="13" t="s">
        <v>3357</v>
      </c>
      <c r="Q248" s="13"/>
      <c r="R248" s="13" t="s">
        <v>3358</v>
      </c>
      <c r="S248" s="13" t="s">
        <v>3359</v>
      </c>
      <c r="T248" s="12" t="s">
        <v>94</v>
      </c>
      <c r="U248" s="12" t="s">
        <v>3360</v>
      </c>
    </row>
    <row r="249" customFormat="false" ht="31.5" hidden="false" customHeight="true" outlineLevel="0" collapsed="false">
      <c r="A249" s="12" t="n">
        <v>209</v>
      </c>
      <c r="B249" s="12" t="s">
        <v>601</v>
      </c>
      <c r="C249" s="12" t="s">
        <v>2630</v>
      </c>
      <c r="D249" s="12" t="s">
        <v>596</v>
      </c>
      <c r="E249" s="12" t="s">
        <v>83</v>
      </c>
      <c r="F249" s="12"/>
      <c r="G249" s="12"/>
      <c r="H249" s="12"/>
      <c r="I249" s="12"/>
      <c r="J249" s="12" t="n">
        <v>100</v>
      </c>
      <c r="K249" s="12" t="n">
        <v>100</v>
      </c>
      <c r="L249" s="12" t="n">
        <v>1.2</v>
      </c>
      <c r="M249" s="12" t="n">
        <v>204.57</v>
      </c>
      <c r="N249" s="12"/>
      <c r="O249" s="13"/>
      <c r="P249" s="13" t="s">
        <v>3361</v>
      </c>
      <c r="Q249" s="13"/>
      <c r="R249" s="13"/>
      <c r="S249" s="13" t="s">
        <v>3362</v>
      </c>
      <c r="T249" s="12" t="s">
        <v>94</v>
      </c>
      <c r="U249" s="12" t="s">
        <v>3363</v>
      </c>
    </row>
    <row r="250" customFormat="false" ht="31.5" hidden="false" customHeight="true" outlineLevel="0" collapsed="false">
      <c r="A250" s="12" t="n">
        <v>209</v>
      </c>
      <c r="B250" s="12" t="s">
        <v>601</v>
      </c>
      <c r="C250" s="12" t="s">
        <v>2670</v>
      </c>
      <c r="D250" s="12" t="s">
        <v>596</v>
      </c>
      <c r="E250" s="12" t="s">
        <v>83</v>
      </c>
      <c r="F250" s="12"/>
      <c r="G250" s="12"/>
      <c r="H250" s="12" t="s">
        <v>600</v>
      </c>
      <c r="I250" s="12"/>
      <c r="J250" s="12"/>
      <c r="K250" s="12"/>
      <c r="L250" s="12"/>
      <c r="M250" s="12"/>
      <c r="N250" s="12"/>
      <c r="O250" s="13"/>
      <c r="P250" s="13" t="s">
        <v>3364</v>
      </c>
      <c r="Q250" s="13"/>
      <c r="R250" s="13"/>
      <c r="S250" s="13" t="s">
        <v>3365</v>
      </c>
      <c r="T250" s="12" t="s">
        <v>94</v>
      </c>
      <c r="U250" s="12" t="s">
        <v>3363</v>
      </c>
    </row>
    <row r="251" customFormat="false" ht="31.5" hidden="false" customHeight="true" outlineLevel="0" collapsed="false">
      <c r="A251" s="12" t="n">
        <v>210</v>
      </c>
      <c r="B251" s="12" t="s">
        <v>568</v>
      </c>
      <c r="C251" s="12" t="s">
        <v>2511</v>
      </c>
      <c r="D251" s="12"/>
      <c r="E251" s="12"/>
      <c r="F251" s="12"/>
      <c r="G251" s="12"/>
      <c r="H251" s="12"/>
      <c r="I251" s="12"/>
      <c r="J251" s="12"/>
      <c r="K251" s="12"/>
      <c r="L251" s="12"/>
      <c r="M251" s="12"/>
      <c r="N251" s="12"/>
      <c r="O251" s="13"/>
      <c r="P251" s="13" t="s">
        <v>3366</v>
      </c>
      <c r="Q251" s="13"/>
      <c r="R251" s="13"/>
      <c r="S251" s="13" t="s">
        <v>3367</v>
      </c>
      <c r="T251" s="12" t="s">
        <v>94</v>
      </c>
      <c r="U251" s="12" t="s">
        <v>3368</v>
      </c>
    </row>
    <row r="252" customFormat="false" ht="31.5" hidden="false" customHeight="true" outlineLevel="0" collapsed="false">
      <c r="A252" s="12" t="n">
        <v>210</v>
      </c>
      <c r="B252" s="12" t="s">
        <v>568</v>
      </c>
      <c r="C252" s="12" t="s">
        <v>2564</v>
      </c>
      <c r="D252" s="12" t="s">
        <v>552</v>
      </c>
      <c r="E252" s="12" t="s">
        <v>83</v>
      </c>
      <c r="F252" s="12"/>
      <c r="G252" s="12"/>
      <c r="H252" s="12"/>
      <c r="I252" s="12"/>
      <c r="J252" s="12"/>
      <c r="K252" s="12"/>
      <c r="L252" s="12"/>
      <c r="M252" s="12"/>
      <c r="N252" s="12"/>
      <c r="O252" s="13"/>
      <c r="P252" s="13" t="s">
        <v>3369</v>
      </c>
      <c r="Q252" s="13"/>
      <c r="R252" s="13"/>
      <c r="S252" s="13" t="s">
        <v>3370</v>
      </c>
      <c r="T252" s="12" t="s">
        <v>108</v>
      </c>
      <c r="U252" s="12" t="s">
        <v>3368</v>
      </c>
    </row>
    <row r="253" customFormat="false" ht="31.5" hidden="false" customHeight="true" outlineLevel="0" collapsed="false">
      <c r="A253" s="12" t="n">
        <v>210</v>
      </c>
      <c r="B253" s="12" t="s">
        <v>568</v>
      </c>
      <c r="C253" s="12" t="s">
        <v>128</v>
      </c>
      <c r="D253" s="12" t="s">
        <v>562</v>
      </c>
      <c r="E253" s="12" t="s">
        <v>259</v>
      </c>
      <c r="F253" s="12"/>
      <c r="G253" s="12"/>
      <c r="H253" s="12"/>
      <c r="I253" s="12"/>
      <c r="J253" s="12" t="n">
        <v>100</v>
      </c>
      <c r="K253" s="12"/>
      <c r="L253" s="12" t="n">
        <v>1</v>
      </c>
      <c r="M253" s="12"/>
      <c r="N253" s="12"/>
      <c r="O253" s="13"/>
      <c r="P253" s="13" t="s">
        <v>3371</v>
      </c>
      <c r="Q253" s="13"/>
      <c r="R253" s="13"/>
      <c r="S253" s="13" t="s">
        <v>3372</v>
      </c>
      <c r="T253" s="12" t="s">
        <v>94</v>
      </c>
      <c r="U253" s="12" t="s">
        <v>3368</v>
      </c>
    </row>
    <row r="254" customFormat="false" ht="31.5" hidden="false" customHeight="true" outlineLevel="0" collapsed="false">
      <c r="A254" s="12" t="n">
        <v>210</v>
      </c>
      <c r="B254" s="12" t="s">
        <v>568</v>
      </c>
      <c r="C254" s="12" t="s">
        <v>2564</v>
      </c>
      <c r="D254" s="12" t="s">
        <v>542</v>
      </c>
      <c r="E254" s="12" t="s">
        <v>83</v>
      </c>
      <c r="F254" s="12"/>
      <c r="G254" s="12"/>
      <c r="H254" s="12"/>
      <c r="I254" s="12"/>
      <c r="J254" s="12"/>
      <c r="K254" s="12"/>
      <c r="L254" s="12"/>
      <c r="M254" s="12"/>
      <c r="N254" s="12"/>
      <c r="O254" s="13"/>
      <c r="P254" s="13" t="s">
        <v>3373</v>
      </c>
      <c r="Q254" s="13"/>
      <c r="R254" s="13"/>
      <c r="S254" s="13" t="s">
        <v>3370</v>
      </c>
      <c r="T254" s="12" t="s">
        <v>108</v>
      </c>
      <c r="U254" s="12" t="s">
        <v>3368</v>
      </c>
    </row>
    <row r="255" customFormat="false" ht="31.5" hidden="false" customHeight="true" outlineLevel="0" collapsed="false">
      <c r="A255" s="12" t="n">
        <v>211</v>
      </c>
      <c r="B255" s="12" t="s">
        <v>3374</v>
      </c>
      <c r="C255" s="12" t="s">
        <v>2618</v>
      </c>
      <c r="D255" s="12" t="s">
        <v>575</v>
      </c>
      <c r="E255" s="12" t="s">
        <v>259</v>
      </c>
      <c r="F255" s="12"/>
      <c r="G255" s="12"/>
      <c r="H255" s="12" t="s">
        <v>579</v>
      </c>
      <c r="I255" s="12" t="n">
        <v>0.004</v>
      </c>
      <c r="J255" s="12"/>
      <c r="K255" s="12"/>
      <c r="L255" s="12" t="n">
        <v>1</v>
      </c>
      <c r="M255" s="12"/>
      <c r="N255" s="12"/>
      <c r="O255" s="13"/>
      <c r="P255" s="13" t="s">
        <v>3375</v>
      </c>
      <c r="Q255" s="13"/>
      <c r="R255" s="13"/>
      <c r="S255" s="13" t="s">
        <v>3376</v>
      </c>
      <c r="T255" s="12" t="s">
        <v>94</v>
      </c>
      <c r="U255" s="12" t="s">
        <v>3377</v>
      </c>
    </row>
    <row r="256" customFormat="false" ht="31.5" hidden="false" customHeight="true" outlineLevel="0" collapsed="false">
      <c r="A256" s="12" t="n">
        <v>212</v>
      </c>
      <c r="B256" s="12" t="s">
        <v>3378</v>
      </c>
      <c r="C256" s="12" t="s">
        <v>2557</v>
      </c>
      <c r="D256" s="12" t="s">
        <v>491</v>
      </c>
      <c r="E256" s="12" t="s">
        <v>83</v>
      </c>
      <c r="F256" s="12" t="n">
        <v>1.0014</v>
      </c>
      <c r="G256" s="12"/>
      <c r="H256" s="12"/>
      <c r="I256" s="12"/>
      <c r="J256" s="12"/>
      <c r="K256" s="12" t="n">
        <v>100</v>
      </c>
      <c r="L256" s="12" t="n">
        <v>1</v>
      </c>
      <c r="M256" s="12" t="n">
        <v>150.91</v>
      </c>
      <c r="N256" s="12" t="n">
        <v>1.0165</v>
      </c>
      <c r="O256" s="13"/>
      <c r="P256" s="13" t="s">
        <v>3379</v>
      </c>
      <c r="Q256" s="13"/>
      <c r="R256" s="13"/>
      <c r="S256" s="13" t="s">
        <v>3380</v>
      </c>
      <c r="T256" s="12" t="s">
        <v>94</v>
      </c>
      <c r="U256" s="12" t="s">
        <v>3381</v>
      </c>
    </row>
    <row r="257" customFormat="false" ht="31.5" hidden="false" customHeight="true" outlineLevel="0" collapsed="false">
      <c r="A257" s="12" t="n">
        <v>213</v>
      </c>
      <c r="B257" s="12" t="s">
        <v>3382</v>
      </c>
      <c r="C257" s="12" t="s">
        <v>2506</v>
      </c>
      <c r="D257" s="12"/>
      <c r="E257" s="12"/>
      <c r="F257" s="12"/>
      <c r="G257" s="12"/>
      <c r="H257" s="12"/>
      <c r="I257" s="12"/>
      <c r="J257" s="12"/>
      <c r="K257" s="12"/>
      <c r="L257" s="12"/>
      <c r="M257" s="12"/>
      <c r="N257" s="12"/>
      <c r="O257" s="13" t="s">
        <v>3383</v>
      </c>
      <c r="P257" s="13" t="s">
        <v>3384</v>
      </c>
      <c r="Q257" s="13"/>
      <c r="R257" s="13"/>
      <c r="S257" s="13" t="s">
        <v>3385</v>
      </c>
      <c r="T257" s="12" t="s">
        <v>94</v>
      </c>
      <c r="U257" s="12" t="s">
        <v>3386</v>
      </c>
    </row>
    <row r="258" customFormat="false" ht="31.5" hidden="false" customHeight="true" outlineLevel="0" collapsed="false">
      <c r="A258" s="12" t="n">
        <v>214</v>
      </c>
      <c r="B258" s="12" t="s">
        <v>3387</v>
      </c>
      <c r="C258" s="12" t="s">
        <v>2506</v>
      </c>
      <c r="D258" s="12"/>
      <c r="E258" s="12"/>
      <c r="F258" s="12"/>
      <c r="G258" s="12"/>
      <c r="H258" s="12"/>
      <c r="I258" s="12"/>
      <c r="J258" s="12"/>
      <c r="K258" s="12"/>
      <c r="L258" s="12"/>
      <c r="M258" s="12"/>
      <c r="N258" s="12"/>
      <c r="O258" s="13" t="s">
        <v>3388</v>
      </c>
      <c r="P258" s="13" t="s">
        <v>3389</v>
      </c>
      <c r="Q258" s="13"/>
      <c r="R258" s="13"/>
      <c r="S258" s="13" t="s">
        <v>3390</v>
      </c>
      <c r="T258" s="12" t="s">
        <v>94</v>
      </c>
      <c r="U258" s="12" t="s">
        <v>3391</v>
      </c>
    </row>
    <row r="259" customFormat="false" ht="31.5" hidden="false" customHeight="true" outlineLevel="0" collapsed="false">
      <c r="A259" s="12" t="n">
        <v>215</v>
      </c>
      <c r="B259" s="12" t="s">
        <v>3392</v>
      </c>
      <c r="C259" s="12" t="s">
        <v>2502</v>
      </c>
      <c r="D259" s="12"/>
      <c r="E259" s="12"/>
      <c r="F259" s="12"/>
      <c r="G259" s="12"/>
      <c r="H259" s="12"/>
      <c r="I259" s="12"/>
      <c r="J259" s="12"/>
      <c r="K259" s="12"/>
      <c r="L259" s="12"/>
      <c r="M259" s="12"/>
      <c r="N259" s="12"/>
      <c r="O259" s="13"/>
      <c r="P259" s="13" t="s">
        <v>3393</v>
      </c>
      <c r="Q259" s="13"/>
      <c r="R259" s="13"/>
      <c r="S259" s="13" t="s">
        <v>3394</v>
      </c>
      <c r="T259" s="12" t="s">
        <v>94</v>
      </c>
      <c r="U259" s="12" t="s">
        <v>3395</v>
      </c>
    </row>
    <row r="260" customFormat="false" ht="31.5" hidden="false" customHeight="true" outlineLevel="0" collapsed="false">
      <c r="A260" s="12" t="n">
        <v>216</v>
      </c>
      <c r="B260" s="12" t="s">
        <v>3396</v>
      </c>
      <c r="C260" s="12" t="s">
        <v>2506</v>
      </c>
      <c r="D260" s="12"/>
      <c r="E260" s="12"/>
      <c r="F260" s="12"/>
      <c r="G260" s="12"/>
      <c r="H260" s="12"/>
      <c r="I260" s="12"/>
      <c r="J260" s="12"/>
      <c r="K260" s="12"/>
      <c r="L260" s="12"/>
      <c r="M260" s="12"/>
      <c r="N260" s="12"/>
      <c r="O260" s="13"/>
      <c r="P260" s="13" t="s">
        <v>3397</v>
      </c>
      <c r="Q260" s="13"/>
      <c r="R260" s="13"/>
      <c r="S260" s="13" t="s">
        <v>3398</v>
      </c>
      <c r="T260" s="12" t="s">
        <v>94</v>
      </c>
      <c r="U260" s="12" t="s">
        <v>3399</v>
      </c>
    </row>
    <row r="261" customFormat="false" ht="31.5" hidden="false" customHeight="true" outlineLevel="0" collapsed="false">
      <c r="A261" s="12" t="n">
        <v>217</v>
      </c>
      <c r="B261" s="12" t="s">
        <v>3400</v>
      </c>
      <c r="C261" s="12" t="s">
        <v>2506</v>
      </c>
      <c r="D261" s="12"/>
      <c r="E261" s="12"/>
      <c r="F261" s="12"/>
      <c r="G261" s="12"/>
      <c r="H261" s="12"/>
      <c r="I261" s="12"/>
      <c r="J261" s="12"/>
      <c r="K261" s="12"/>
      <c r="L261" s="12"/>
      <c r="M261" s="12"/>
      <c r="N261" s="12"/>
      <c r="O261" s="13"/>
      <c r="P261" s="13" t="s">
        <v>3401</v>
      </c>
      <c r="Q261" s="13"/>
      <c r="R261" s="13"/>
      <c r="S261" s="13" t="s">
        <v>3402</v>
      </c>
      <c r="T261" s="12" t="s">
        <v>94</v>
      </c>
      <c r="U261" s="12" t="s">
        <v>3403</v>
      </c>
    </row>
    <row r="262" customFormat="false" ht="31.5" hidden="false" customHeight="true" outlineLevel="0" collapsed="false">
      <c r="A262" s="12" t="n">
        <v>218</v>
      </c>
      <c r="B262" s="12" t="s">
        <v>3404</v>
      </c>
      <c r="C262" s="12" t="s">
        <v>2506</v>
      </c>
      <c r="D262" s="12"/>
      <c r="E262" s="12"/>
      <c r="F262" s="12"/>
      <c r="G262" s="12"/>
      <c r="H262" s="12"/>
      <c r="I262" s="12"/>
      <c r="J262" s="12"/>
      <c r="K262" s="12"/>
      <c r="L262" s="12"/>
      <c r="M262" s="12"/>
      <c r="N262" s="12"/>
      <c r="O262" s="13" t="s">
        <v>3405</v>
      </c>
      <c r="P262" s="13" t="s">
        <v>3406</v>
      </c>
      <c r="Q262" s="13"/>
      <c r="R262" s="13"/>
      <c r="S262" s="13" t="s">
        <v>3407</v>
      </c>
      <c r="T262" s="12" t="s">
        <v>94</v>
      </c>
      <c r="U262" s="12" t="s">
        <v>3408</v>
      </c>
    </row>
    <row r="263" customFormat="false" ht="31.5" hidden="false" customHeight="true" outlineLevel="0" collapsed="false">
      <c r="A263" s="12" t="n">
        <v>219</v>
      </c>
      <c r="B263" s="12" t="s">
        <v>3409</v>
      </c>
      <c r="C263" s="12" t="s">
        <v>2502</v>
      </c>
      <c r="D263" s="12"/>
      <c r="E263" s="12"/>
      <c r="F263" s="12"/>
      <c r="G263" s="12"/>
      <c r="H263" s="12"/>
      <c r="I263" s="12"/>
      <c r="J263" s="12"/>
      <c r="K263" s="12"/>
      <c r="L263" s="12"/>
      <c r="M263" s="12"/>
      <c r="N263" s="12"/>
      <c r="O263" s="13"/>
      <c r="P263" s="13" t="s">
        <v>3410</v>
      </c>
      <c r="Q263" s="13"/>
      <c r="R263" s="13"/>
      <c r="S263" s="13" t="s">
        <v>3411</v>
      </c>
      <c r="T263" s="12" t="s">
        <v>94</v>
      </c>
      <c r="U263" s="12" t="s">
        <v>3412</v>
      </c>
    </row>
    <row r="264" customFormat="false" ht="31.5" hidden="false" customHeight="true" outlineLevel="0" collapsed="false">
      <c r="A264" s="12" t="n">
        <v>220</v>
      </c>
      <c r="B264" s="12" t="s">
        <v>3413</v>
      </c>
      <c r="C264" s="12" t="s">
        <v>2557</v>
      </c>
      <c r="D264" s="12" t="s">
        <v>491</v>
      </c>
      <c r="E264" s="12" t="s">
        <v>83</v>
      </c>
      <c r="F264" s="12" t="n">
        <v>1</v>
      </c>
      <c r="G264" s="12"/>
      <c r="H264" s="12" t="s">
        <v>609</v>
      </c>
      <c r="I264" s="12" t="n">
        <v>0.95</v>
      </c>
      <c r="J264" s="12"/>
      <c r="K264" s="12"/>
      <c r="L264" s="12"/>
      <c r="M264" s="12"/>
      <c r="N264" s="12"/>
      <c r="O264" s="13" t="s">
        <v>3414</v>
      </c>
      <c r="P264" s="13" t="s">
        <v>3415</v>
      </c>
      <c r="Q264" s="13"/>
      <c r="R264" s="13" t="s">
        <v>3416</v>
      </c>
      <c r="S264" s="13" t="s">
        <v>3417</v>
      </c>
      <c r="T264" s="12" t="s">
        <v>94</v>
      </c>
      <c r="U264" s="12" t="s">
        <v>3418</v>
      </c>
    </row>
    <row r="265" customFormat="false" ht="31.5" hidden="false" customHeight="true" outlineLevel="0" collapsed="false">
      <c r="A265" s="12" t="n">
        <v>221</v>
      </c>
      <c r="B265" s="12" t="s">
        <v>3419</v>
      </c>
      <c r="C265" s="12" t="s">
        <v>2516</v>
      </c>
      <c r="D265" s="12" t="s">
        <v>113</v>
      </c>
      <c r="E265" s="12"/>
      <c r="F265" s="12"/>
      <c r="G265" s="12"/>
      <c r="H265" s="12"/>
      <c r="I265" s="12"/>
      <c r="J265" s="12"/>
      <c r="K265" s="12"/>
      <c r="L265" s="12"/>
      <c r="M265" s="12"/>
      <c r="N265" s="12"/>
      <c r="O265" s="13" t="s">
        <v>3420</v>
      </c>
      <c r="P265" s="13" t="s">
        <v>3421</v>
      </c>
      <c r="Q265" s="13"/>
      <c r="R265" s="13"/>
      <c r="S265" s="13" t="s">
        <v>3422</v>
      </c>
      <c r="T265" s="12" t="s">
        <v>94</v>
      </c>
      <c r="U265" s="12" t="s">
        <v>3423</v>
      </c>
    </row>
    <row r="266" customFormat="false" ht="31.5" hidden="false" customHeight="true" outlineLevel="0" collapsed="false">
      <c r="A266" s="12" t="n">
        <v>222</v>
      </c>
      <c r="B266" s="12" t="s">
        <v>620</v>
      </c>
      <c r="C266" s="12" t="s">
        <v>2549</v>
      </c>
      <c r="D266" s="12" t="s">
        <v>113</v>
      </c>
      <c r="E266" s="12" t="s">
        <v>83</v>
      </c>
      <c r="F266" s="12" t="n">
        <v>75166.5</v>
      </c>
      <c r="G266" s="12"/>
      <c r="H266" s="12"/>
      <c r="I266" s="12" t="n">
        <v>72200</v>
      </c>
      <c r="J266" s="12"/>
      <c r="K266" s="12" t="n">
        <v>20</v>
      </c>
      <c r="L266" s="12"/>
      <c r="M266" s="12" t="n">
        <v>-0.19</v>
      </c>
      <c r="N266" s="12" t="n">
        <v>75159.2</v>
      </c>
      <c r="O266" s="13"/>
      <c r="P266" s="13" t="s">
        <v>3424</v>
      </c>
      <c r="Q266" s="13"/>
      <c r="R266" s="13"/>
      <c r="S266" s="13" t="s">
        <v>3425</v>
      </c>
      <c r="T266" s="12" t="s">
        <v>94</v>
      </c>
      <c r="U266" s="12" t="s">
        <v>3426</v>
      </c>
    </row>
    <row r="267" customFormat="false" ht="31.5" hidden="false" customHeight="true" outlineLevel="0" collapsed="false">
      <c r="A267" s="12" t="n">
        <v>223</v>
      </c>
      <c r="B267" s="12" t="s">
        <v>3427</v>
      </c>
      <c r="C267" s="12" t="s">
        <v>2537</v>
      </c>
      <c r="D267" s="12" t="s">
        <v>113</v>
      </c>
      <c r="E267" s="12" t="s">
        <v>83</v>
      </c>
      <c r="F267" s="12"/>
      <c r="G267" s="12" t="n">
        <v>74300</v>
      </c>
      <c r="H267" s="12"/>
      <c r="I267" s="12"/>
      <c r="J267" s="12"/>
      <c r="K267" s="12"/>
      <c r="L267" s="12"/>
      <c r="M267" s="12"/>
      <c r="N267" s="12"/>
      <c r="O267" s="13"/>
      <c r="P267" s="13" t="s">
        <v>3428</v>
      </c>
      <c r="Q267" s="13"/>
      <c r="R267" s="13"/>
      <c r="S267" s="13" t="s">
        <v>3429</v>
      </c>
      <c r="T267" s="12" t="s">
        <v>108</v>
      </c>
      <c r="U267" s="12" t="s">
        <v>3430</v>
      </c>
    </row>
    <row r="268" customFormat="false" ht="31.5" hidden="false" customHeight="true" outlineLevel="0" collapsed="false">
      <c r="A268" s="12" t="n">
        <v>223</v>
      </c>
      <c r="B268" s="12" t="s">
        <v>3427</v>
      </c>
      <c r="C268" s="12" t="s">
        <v>2588</v>
      </c>
      <c r="D268" s="12" t="s">
        <v>113</v>
      </c>
      <c r="E268" s="12" t="s">
        <v>83</v>
      </c>
      <c r="F268" s="12"/>
      <c r="G268" s="12"/>
      <c r="H268" s="12"/>
      <c r="I268" s="12" t="n">
        <v>72220</v>
      </c>
      <c r="J268" s="12"/>
      <c r="K268" s="12"/>
      <c r="L268" s="12"/>
      <c r="M268" s="12"/>
      <c r="N268" s="12"/>
      <c r="O268" s="13"/>
      <c r="P268" s="13" t="s">
        <v>3431</v>
      </c>
      <c r="Q268" s="13"/>
      <c r="R268" s="13"/>
      <c r="S268" s="13" t="s">
        <v>3432</v>
      </c>
      <c r="T268" s="12" t="s">
        <v>108</v>
      </c>
      <c r="U268" s="12" t="s">
        <v>3430</v>
      </c>
    </row>
    <row r="269" customFormat="false" ht="31.5" hidden="false" customHeight="true" outlineLevel="0" collapsed="false">
      <c r="A269" s="12" t="n">
        <v>224</v>
      </c>
      <c r="B269" s="12" t="s">
        <v>3433</v>
      </c>
      <c r="C269" s="12" t="s">
        <v>2521</v>
      </c>
      <c r="D269" s="12" t="s">
        <v>113</v>
      </c>
      <c r="E269" s="12" t="s">
        <v>83</v>
      </c>
      <c r="F269" s="12" t="n">
        <v>75100</v>
      </c>
      <c r="G269" s="12" t="n">
        <v>74300</v>
      </c>
      <c r="H269" s="12" t="s">
        <v>3434</v>
      </c>
      <c r="I269" s="12" t="n">
        <v>72200</v>
      </c>
      <c r="J269" s="12"/>
      <c r="K269" s="12"/>
      <c r="L269" s="12"/>
      <c r="M269" s="12"/>
      <c r="N269" s="12"/>
      <c r="O269" s="13"/>
      <c r="P269" s="13" t="s">
        <v>3435</v>
      </c>
      <c r="Q269" s="13"/>
      <c r="R269" s="13"/>
      <c r="S269" s="13" t="s">
        <v>3436</v>
      </c>
      <c r="T269" s="12" t="s">
        <v>94</v>
      </c>
      <c r="U269" s="12" t="s">
        <v>3437</v>
      </c>
    </row>
    <row r="270" customFormat="false" ht="31.5" hidden="false" customHeight="true" outlineLevel="0" collapsed="false">
      <c r="A270" s="12" t="n">
        <v>225</v>
      </c>
      <c r="B270" s="12" t="s">
        <v>3438</v>
      </c>
      <c r="C270" s="12" t="s">
        <v>2502</v>
      </c>
      <c r="D270" s="12" t="s">
        <v>113</v>
      </c>
      <c r="E270" s="12"/>
      <c r="F270" s="12"/>
      <c r="G270" s="12"/>
      <c r="H270" s="12"/>
      <c r="I270" s="12"/>
      <c r="J270" s="12"/>
      <c r="K270" s="12"/>
      <c r="L270" s="12"/>
      <c r="M270" s="12"/>
      <c r="N270" s="12"/>
      <c r="O270" s="13"/>
      <c r="P270" s="13" t="s">
        <v>3439</v>
      </c>
      <c r="Q270" s="13"/>
      <c r="R270" s="13"/>
      <c r="S270" s="13" t="s">
        <v>3440</v>
      </c>
      <c r="T270" s="12" t="s">
        <v>94</v>
      </c>
      <c r="U270" s="12" t="s">
        <v>3441</v>
      </c>
    </row>
    <row r="271" customFormat="false" ht="31.5" hidden="false" customHeight="true" outlineLevel="0" collapsed="false">
      <c r="A271" s="12" t="n">
        <v>226</v>
      </c>
      <c r="B271" s="12" t="s">
        <v>3442</v>
      </c>
      <c r="C271" s="12" t="s">
        <v>2557</v>
      </c>
      <c r="D271" s="12" t="s">
        <v>491</v>
      </c>
      <c r="E271" s="12" t="s">
        <v>83</v>
      </c>
      <c r="F271" s="12"/>
      <c r="G271" s="12"/>
      <c r="H271" s="12"/>
      <c r="I271" s="12"/>
      <c r="J271" s="12"/>
      <c r="K271" s="12"/>
      <c r="L271" s="12"/>
      <c r="M271" s="12"/>
      <c r="N271" s="12"/>
      <c r="O271" s="13" t="s">
        <v>3443</v>
      </c>
      <c r="P271" s="13" t="s">
        <v>3444</v>
      </c>
      <c r="Q271" s="13"/>
      <c r="R271" s="13"/>
      <c r="S271" s="13" t="s">
        <v>3445</v>
      </c>
      <c r="T271" s="12" t="s">
        <v>94</v>
      </c>
      <c r="U271" s="12" t="s">
        <v>3446</v>
      </c>
    </row>
    <row r="272" customFormat="false" ht="31.5" hidden="false" customHeight="true" outlineLevel="0" collapsed="false">
      <c r="A272" s="12" t="n">
        <v>227</v>
      </c>
      <c r="B272" s="12" t="s">
        <v>634</v>
      </c>
      <c r="C272" s="12" t="s">
        <v>2521</v>
      </c>
      <c r="D272" s="12" t="s">
        <v>635</v>
      </c>
      <c r="E272" s="12" t="s">
        <v>83</v>
      </c>
      <c r="F272" s="12" t="n">
        <v>0.955</v>
      </c>
      <c r="G272" s="12"/>
      <c r="H272" s="12" t="s">
        <v>637</v>
      </c>
      <c r="I272" s="12" t="n">
        <v>0.892</v>
      </c>
      <c r="J272" s="12"/>
      <c r="K272" s="12"/>
      <c r="L272" s="12"/>
      <c r="M272" s="12"/>
      <c r="N272" s="12"/>
      <c r="O272" s="13"/>
      <c r="P272" s="13" t="s">
        <v>3447</v>
      </c>
      <c r="Q272" s="13"/>
      <c r="R272" s="13"/>
      <c r="S272" s="13" t="s">
        <v>3448</v>
      </c>
      <c r="T272" s="12" t="s">
        <v>94</v>
      </c>
      <c r="U272" s="12" t="s">
        <v>643</v>
      </c>
    </row>
    <row r="273" customFormat="false" ht="31.5" hidden="false" customHeight="true" outlineLevel="0" collapsed="false">
      <c r="A273" s="12" t="n">
        <v>228</v>
      </c>
      <c r="B273" s="12" t="s">
        <v>3449</v>
      </c>
      <c r="C273" s="12" t="s">
        <v>2557</v>
      </c>
      <c r="D273" s="12" t="s">
        <v>113</v>
      </c>
      <c r="E273" s="12" t="s">
        <v>83</v>
      </c>
      <c r="F273" s="12"/>
      <c r="G273" s="12"/>
      <c r="H273" s="12" t="s">
        <v>3450</v>
      </c>
      <c r="I273" s="12"/>
      <c r="J273" s="12" t="n">
        <v>20</v>
      </c>
      <c r="K273" s="12"/>
      <c r="L273" s="12"/>
      <c r="M273" s="12"/>
      <c r="N273" s="12"/>
      <c r="O273" s="13" t="s">
        <v>3451</v>
      </c>
      <c r="P273" s="13" t="s">
        <v>3452</v>
      </c>
      <c r="Q273" s="13"/>
      <c r="R273" s="13"/>
      <c r="S273" s="13" t="s">
        <v>3453</v>
      </c>
      <c r="T273" s="12" t="s">
        <v>94</v>
      </c>
      <c r="U273" s="12" t="s">
        <v>3454</v>
      </c>
    </row>
    <row r="274" customFormat="false" ht="31.5" hidden="false" customHeight="true" outlineLevel="0" collapsed="false">
      <c r="A274" s="12" t="n">
        <v>229</v>
      </c>
      <c r="B274" s="12" t="s">
        <v>3455</v>
      </c>
      <c r="C274" s="12" t="s">
        <v>2557</v>
      </c>
      <c r="D274" s="12" t="s">
        <v>596</v>
      </c>
      <c r="E274" s="12" t="s">
        <v>83</v>
      </c>
      <c r="F274" s="12"/>
      <c r="G274" s="12"/>
      <c r="H274" s="12" t="s">
        <v>3456</v>
      </c>
      <c r="I274" s="12"/>
      <c r="J274" s="12"/>
      <c r="K274" s="12"/>
      <c r="L274" s="12" t="n">
        <v>2.5</v>
      </c>
      <c r="M274" s="12"/>
      <c r="N274" s="12"/>
      <c r="O274" s="13" t="s">
        <v>3457</v>
      </c>
      <c r="P274" s="13" t="s">
        <v>3458</v>
      </c>
      <c r="Q274" s="13"/>
      <c r="R274" s="13"/>
      <c r="S274" s="13" t="s">
        <v>3459</v>
      </c>
      <c r="T274" s="12" t="s">
        <v>94</v>
      </c>
      <c r="U274" s="12" t="s">
        <v>3460</v>
      </c>
    </row>
    <row r="275" customFormat="false" ht="31.5" hidden="false" customHeight="true" outlineLevel="0" collapsed="false">
      <c r="A275" s="12" t="n">
        <v>230</v>
      </c>
      <c r="B275" s="12" t="s">
        <v>3461</v>
      </c>
      <c r="C275" s="12" t="s">
        <v>2666</v>
      </c>
      <c r="D275" s="12" t="s">
        <v>596</v>
      </c>
      <c r="E275" s="12" t="s">
        <v>83</v>
      </c>
      <c r="F275" s="12"/>
      <c r="G275" s="12"/>
      <c r="H275" s="12" t="s">
        <v>3456</v>
      </c>
      <c r="I275" s="12"/>
      <c r="J275" s="12"/>
      <c r="K275" s="12"/>
      <c r="L275" s="12" t="n">
        <v>3</v>
      </c>
      <c r="M275" s="12"/>
      <c r="N275" s="12"/>
      <c r="O275" s="13"/>
      <c r="P275" s="13" t="s">
        <v>3462</v>
      </c>
      <c r="Q275" s="13"/>
      <c r="R275" s="13"/>
      <c r="S275" s="13" t="s">
        <v>3463</v>
      </c>
      <c r="T275" s="12" t="s">
        <v>94</v>
      </c>
      <c r="U275" s="12" t="s">
        <v>3464</v>
      </c>
    </row>
    <row r="276" customFormat="false" ht="31.5" hidden="false" customHeight="true" outlineLevel="0" collapsed="false">
      <c r="A276" s="12" t="n">
        <v>230</v>
      </c>
      <c r="B276" s="12" t="s">
        <v>3461</v>
      </c>
      <c r="C276" s="12" t="s">
        <v>2506</v>
      </c>
      <c r="D276" s="12" t="s">
        <v>596</v>
      </c>
      <c r="E276" s="12"/>
      <c r="F276" s="12"/>
      <c r="G276" s="12"/>
      <c r="H276" s="12"/>
      <c r="I276" s="12"/>
      <c r="J276" s="12" t="n">
        <v>100</v>
      </c>
      <c r="K276" s="12"/>
      <c r="L276" s="12" t="n">
        <v>1.1</v>
      </c>
      <c r="M276" s="12"/>
      <c r="N276" s="12"/>
      <c r="O276" s="13"/>
      <c r="P276" s="13" t="s">
        <v>3465</v>
      </c>
      <c r="Q276" s="13"/>
      <c r="R276" s="13"/>
      <c r="S276" s="13" t="s">
        <v>3466</v>
      </c>
      <c r="T276" s="12" t="s">
        <v>94</v>
      </c>
      <c r="U276" s="12" t="s">
        <v>3464</v>
      </c>
    </row>
    <row r="277" customFormat="false" ht="31.5" hidden="false" customHeight="true" outlineLevel="0" collapsed="false">
      <c r="A277" s="12" t="n">
        <v>231</v>
      </c>
      <c r="B277" s="12" t="s">
        <v>3467</v>
      </c>
      <c r="C277" s="12" t="s">
        <v>2666</v>
      </c>
      <c r="D277" s="12" t="s">
        <v>491</v>
      </c>
      <c r="E277" s="12" t="s">
        <v>83</v>
      </c>
      <c r="F277" s="12"/>
      <c r="G277" s="12"/>
      <c r="H277" s="12"/>
      <c r="I277" s="12"/>
      <c r="J277" s="12"/>
      <c r="K277" s="12"/>
      <c r="L277" s="12"/>
      <c r="M277" s="12"/>
      <c r="N277" s="12"/>
      <c r="O277" s="13"/>
      <c r="P277" s="13" t="s">
        <v>3468</v>
      </c>
      <c r="Q277" s="13"/>
      <c r="R277" s="13"/>
      <c r="S277" s="13" t="s">
        <v>3469</v>
      </c>
      <c r="T277" s="12" t="s">
        <v>94</v>
      </c>
      <c r="U277" s="12" t="s">
        <v>3470</v>
      </c>
    </row>
    <row r="278" customFormat="false" ht="31.5" hidden="false" customHeight="true" outlineLevel="0" collapsed="false">
      <c r="A278" s="12" t="n">
        <v>232</v>
      </c>
      <c r="B278" s="12" t="s">
        <v>3471</v>
      </c>
      <c r="C278" s="12" t="s">
        <v>2581</v>
      </c>
      <c r="D278" s="12" t="s">
        <v>491</v>
      </c>
      <c r="E278" s="12" t="s">
        <v>83</v>
      </c>
      <c r="F278" s="12" t="n">
        <v>1.0014</v>
      </c>
      <c r="G278" s="12"/>
      <c r="H278" s="12"/>
      <c r="I278" s="12"/>
      <c r="J278" s="12"/>
      <c r="K278" s="12" t="n">
        <v>100</v>
      </c>
      <c r="L278" s="12"/>
      <c r="M278" s="12" t="n">
        <v>524.3</v>
      </c>
      <c r="N278" s="12" t="n">
        <v>1.0539</v>
      </c>
      <c r="O278" s="13"/>
      <c r="P278" s="13" t="s">
        <v>3472</v>
      </c>
      <c r="Q278" s="13"/>
      <c r="R278" s="13"/>
      <c r="S278" s="13" t="s">
        <v>3473</v>
      </c>
      <c r="T278" s="12" t="s">
        <v>94</v>
      </c>
      <c r="U278" s="12" t="s">
        <v>3474</v>
      </c>
    </row>
    <row r="279" customFormat="false" ht="31.5" hidden="false" customHeight="true" outlineLevel="0" collapsed="false">
      <c r="A279" s="12" t="n">
        <v>233</v>
      </c>
      <c r="B279" s="12" t="s">
        <v>3475</v>
      </c>
      <c r="C279" s="12" t="s">
        <v>2557</v>
      </c>
      <c r="D279" s="12" t="s">
        <v>491</v>
      </c>
      <c r="E279" s="12" t="s">
        <v>83</v>
      </c>
      <c r="F279" s="12"/>
      <c r="G279" s="12"/>
      <c r="H279" s="12"/>
      <c r="I279" s="12"/>
      <c r="J279" s="12"/>
      <c r="K279" s="12"/>
      <c r="L279" s="12"/>
      <c r="M279" s="12"/>
      <c r="N279" s="12"/>
      <c r="O279" s="13"/>
      <c r="P279" s="13" t="s">
        <v>3476</v>
      </c>
      <c r="Q279" s="13"/>
      <c r="R279" s="13" t="s">
        <v>3477</v>
      </c>
      <c r="S279" s="13" t="s">
        <v>3478</v>
      </c>
      <c r="T279" s="12" t="s">
        <v>108</v>
      </c>
      <c r="U279" s="12" t="s">
        <v>3479</v>
      </c>
    </row>
    <row r="280" customFormat="false" ht="31.5" hidden="false" customHeight="true" outlineLevel="0" collapsed="false">
      <c r="A280" s="12" t="n">
        <v>234</v>
      </c>
      <c r="B280" s="12" t="s">
        <v>638</v>
      </c>
      <c r="C280" s="12" t="s">
        <v>2666</v>
      </c>
      <c r="D280" s="12" t="s">
        <v>635</v>
      </c>
      <c r="E280" s="12" t="s">
        <v>83</v>
      </c>
      <c r="F280" s="12" t="n">
        <v>0.955</v>
      </c>
      <c r="G280" s="12"/>
      <c r="H280" s="12" t="s">
        <v>637</v>
      </c>
      <c r="I280" s="12"/>
      <c r="J280" s="12" t="n">
        <v>100</v>
      </c>
      <c r="K280" s="12" t="n">
        <v>3</v>
      </c>
      <c r="L280" s="12"/>
      <c r="M280" s="12" t="n">
        <v>14.13</v>
      </c>
      <c r="N280" s="12"/>
      <c r="O280" s="13"/>
      <c r="P280" s="13" t="s">
        <v>3480</v>
      </c>
      <c r="Q280" s="13"/>
      <c r="R280" s="13"/>
      <c r="S280" s="13" t="s">
        <v>3481</v>
      </c>
      <c r="T280" s="12" t="s">
        <v>94</v>
      </c>
      <c r="U280" s="12" t="s">
        <v>3482</v>
      </c>
    </row>
    <row r="281" customFormat="false" ht="31.5" hidden="false" customHeight="true" outlineLevel="0" collapsed="false">
      <c r="A281" s="12" t="n">
        <v>235</v>
      </c>
      <c r="B281" s="12" t="s">
        <v>3483</v>
      </c>
      <c r="C281" s="12" t="s">
        <v>2557</v>
      </c>
      <c r="D281" s="12" t="s">
        <v>113</v>
      </c>
      <c r="E281" s="12" t="s">
        <v>83</v>
      </c>
      <c r="F281" s="12" t="n">
        <v>75197.2</v>
      </c>
      <c r="G281" s="12"/>
      <c r="H281" s="12"/>
      <c r="I281" s="12"/>
      <c r="J281" s="12"/>
      <c r="K281" s="12" t="n">
        <v>150</v>
      </c>
      <c r="L281" s="12"/>
      <c r="M281" s="12" t="n">
        <v>340.42</v>
      </c>
      <c r="N281" s="12" t="n">
        <v>76903.8</v>
      </c>
      <c r="O281" s="13" t="s">
        <v>3484</v>
      </c>
      <c r="P281" s="13" t="s">
        <v>3485</v>
      </c>
      <c r="Q281" s="13"/>
      <c r="R281" s="13"/>
      <c r="S281" s="13" t="s">
        <v>3486</v>
      </c>
      <c r="T281" s="12" t="s">
        <v>94</v>
      </c>
      <c r="U281" s="12" t="s">
        <v>3487</v>
      </c>
    </row>
    <row r="282" customFormat="false" ht="31.5" hidden="false" customHeight="true" outlineLevel="0" collapsed="false">
      <c r="A282" s="12" t="n">
        <v>236</v>
      </c>
      <c r="B282" s="12" t="s">
        <v>3488</v>
      </c>
      <c r="C282" s="12" t="s">
        <v>2557</v>
      </c>
      <c r="D282" s="12" t="s">
        <v>491</v>
      </c>
      <c r="E282" s="12" t="s">
        <v>83</v>
      </c>
      <c r="F282" s="12" t="n">
        <v>1.0014</v>
      </c>
      <c r="G282" s="12"/>
      <c r="H282" s="12" t="s">
        <v>611</v>
      </c>
      <c r="I282" s="12"/>
      <c r="J282" s="12"/>
      <c r="K282" s="12" t="n">
        <v>100</v>
      </c>
      <c r="L282" s="12"/>
      <c r="M282" s="12" t="n">
        <v>788.77</v>
      </c>
      <c r="N282" s="12" t="n">
        <v>1.0803</v>
      </c>
      <c r="O282" s="13"/>
      <c r="P282" s="13" t="s">
        <v>3489</v>
      </c>
      <c r="Q282" s="13"/>
      <c r="R282" s="13"/>
      <c r="S282" s="13" t="s">
        <v>3490</v>
      </c>
      <c r="T282" s="12" t="s">
        <v>94</v>
      </c>
      <c r="U282" s="12" t="s">
        <v>3491</v>
      </c>
    </row>
    <row r="283" customFormat="false" ht="31.5" hidden="false" customHeight="true" outlineLevel="0" collapsed="false">
      <c r="A283" s="12" t="n">
        <v>238</v>
      </c>
      <c r="B283" s="12" t="s">
        <v>3492</v>
      </c>
      <c r="C283" s="12" t="s">
        <v>2527</v>
      </c>
      <c r="D283" s="12"/>
      <c r="E283" s="12"/>
      <c r="F283" s="12"/>
      <c r="G283" s="12"/>
      <c r="H283" s="12"/>
      <c r="I283" s="12"/>
      <c r="J283" s="12"/>
      <c r="K283" s="12"/>
      <c r="L283" s="12"/>
      <c r="M283" s="12"/>
      <c r="N283" s="12"/>
      <c r="O283" s="13"/>
      <c r="P283" s="13" t="s">
        <v>3493</v>
      </c>
      <c r="Q283" s="13" t="s">
        <v>336</v>
      </c>
      <c r="R283" s="13" t="s">
        <v>3494</v>
      </c>
      <c r="S283" s="13" t="s">
        <v>3495</v>
      </c>
      <c r="T283" s="12" t="s">
        <v>94</v>
      </c>
      <c r="U283" s="12" t="s">
        <v>3496</v>
      </c>
    </row>
    <row r="284" customFormat="false" ht="31.5" hidden="false" customHeight="true" outlineLevel="0" collapsed="false">
      <c r="A284" s="12" t="n">
        <v>239</v>
      </c>
      <c r="B284" s="12" t="s">
        <v>3497</v>
      </c>
      <c r="C284" s="12" t="s">
        <v>2557</v>
      </c>
      <c r="D284" s="12" t="s">
        <v>113</v>
      </c>
      <c r="E284" s="12" t="s">
        <v>83</v>
      </c>
      <c r="F284" s="12" t="n">
        <v>75166.5</v>
      </c>
      <c r="G284" s="12"/>
      <c r="H284" s="12"/>
      <c r="I284" s="12" t="n">
        <v>72220</v>
      </c>
      <c r="J284" s="12"/>
      <c r="K284" s="12" t="n">
        <v>200</v>
      </c>
      <c r="L284" s="12"/>
      <c r="M284" s="12" t="n">
        <v>507.03</v>
      </c>
      <c r="N284" s="12" t="n">
        <v>77072.3</v>
      </c>
      <c r="O284" s="13"/>
      <c r="P284" s="13" t="s">
        <v>3498</v>
      </c>
      <c r="Q284" s="13"/>
      <c r="R284" s="13"/>
      <c r="S284" s="13" t="s">
        <v>3499</v>
      </c>
      <c r="T284" s="12" t="s">
        <v>94</v>
      </c>
      <c r="U284" s="12" t="s">
        <v>3500</v>
      </c>
    </row>
    <row r="285" customFormat="false" ht="31.5" hidden="false" customHeight="true" outlineLevel="0" collapsed="false">
      <c r="A285" s="12" t="n">
        <v>240</v>
      </c>
      <c r="B285" s="12" t="s">
        <v>3501</v>
      </c>
      <c r="C285" s="12" t="s">
        <v>2557</v>
      </c>
      <c r="D285" s="12" t="s">
        <v>113</v>
      </c>
      <c r="E285" s="12" t="s">
        <v>83</v>
      </c>
      <c r="F285" s="12" t="n">
        <v>75197.2</v>
      </c>
      <c r="G285" s="12"/>
      <c r="H285" s="12"/>
      <c r="I285" s="12"/>
      <c r="J285" s="12"/>
      <c r="K285" s="12" t="n">
        <v>150</v>
      </c>
      <c r="L285" s="12"/>
      <c r="M285" s="12" t="n">
        <v>429.13</v>
      </c>
      <c r="N285" s="12" t="n">
        <v>77348.4</v>
      </c>
      <c r="O285" s="13"/>
      <c r="P285" s="13" t="s">
        <v>3502</v>
      </c>
      <c r="Q285" s="13"/>
      <c r="R285" s="13" t="s">
        <v>3503</v>
      </c>
      <c r="S285" s="13" t="s">
        <v>3504</v>
      </c>
      <c r="T285" s="12" t="s">
        <v>94</v>
      </c>
      <c r="U285" s="12" t="s">
        <v>3505</v>
      </c>
    </row>
    <row r="286" customFormat="false" ht="31.5" hidden="false" customHeight="true" outlineLevel="0" collapsed="false">
      <c r="A286" s="12" t="n">
        <v>241</v>
      </c>
      <c r="B286" s="12" t="s">
        <v>613</v>
      </c>
      <c r="C286" s="12" t="s">
        <v>2666</v>
      </c>
      <c r="D286" s="12" t="s">
        <v>491</v>
      </c>
      <c r="E286" s="12" t="s">
        <v>83</v>
      </c>
      <c r="F286" s="12" t="n">
        <v>1.0006</v>
      </c>
      <c r="G286" s="12"/>
      <c r="H286" s="12"/>
      <c r="I286" s="12"/>
      <c r="J286" s="12"/>
      <c r="K286" s="12" t="n">
        <v>250</v>
      </c>
      <c r="L286" s="12" t="n">
        <v>2</v>
      </c>
      <c r="M286" s="12" t="n">
        <v>2148.71</v>
      </c>
      <c r="N286" s="12" t="n">
        <v>1.0909</v>
      </c>
      <c r="O286" s="13"/>
      <c r="P286" s="13" t="s">
        <v>3506</v>
      </c>
      <c r="Q286" s="13"/>
      <c r="R286" s="13"/>
      <c r="S286" s="13" t="s">
        <v>3507</v>
      </c>
      <c r="T286" s="12" t="s">
        <v>94</v>
      </c>
      <c r="U286" s="12" t="s">
        <v>3508</v>
      </c>
    </row>
    <row r="287" customFormat="false" ht="31.5" hidden="false" customHeight="true" outlineLevel="0" collapsed="false">
      <c r="A287" s="12" t="n">
        <v>242</v>
      </c>
      <c r="B287" s="12" t="s">
        <v>3509</v>
      </c>
      <c r="C287" s="12" t="s">
        <v>2630</v>
      </c>
      <c r="D287" s="12" t="s">
        <v>491</v>
      </c>
      <c r="E287" s="12" t="s">
        <v>83</v>
      </c>
      <c r="F287" s="12" t="n">
        <v>1.0014</v>
      </c>
      <c r="G287" s="12"/>
      <c r="H287" s="12"/>
      <c r="I287" s="12"/>
      <c r="J287" s="12" t="n">
        <v>100</v>
      </c>
      <c r="K287" s="12" t="n">
        <v>100</v>
      </c>
      <c r="L287" s="12"/>
      <c r="M287" s="12" t="n">
        <v>874.77</v>
      </c>
      <c r="N287" s="12" t="n">
        <v>1.089</v>
      </c>
      <c r="O287" s="13"/>
      <c r="P287" s="13" t="s">
        <v>3510</v>
      </c>
      <c r="Q287" s="13"/>
      <c r="R287" s="13"/>
      <c r="S287" s="13" t="s">
        <v>3511</v>
      </c>
      <c r="T287" s="12" t="s">
        <v>94</v>
      </c>
      <c r="U287" s="12" t="s">
        <v>3512</v>
      </c>
    </row>
    <row r="288" customFormat="false" ht="31.5" hidden="false" customHeight="true" outlineLevel="0" collapsed="false">
      <c r="A288" s="12" t="n">
        <v>243</v>
      </c>
      <c r="B288" s="12" t="s">
        <v>3513</v>
      </c>
      <c r="C288" s="12" t="s">
        <v>2511</v>
      </c>
      <c r="D288" s="12"/>
      <c r="E288" s="12"/>
      <c r="F288" s="12"/>
      <c r="G288" s="12"/>
      <c r="H288" s="12"/>
      <c r="I288" s="12"/>
      <c r="J288" s="12"/>
      <c r="K288" s="12"/>
      <c r="L288" s="12" t="n">
        <v>5</v>
      </c>
      <c r="M288" s="12"/>
      <c r="N288" s="12"/>
      <c r="O288" s="13"/>
      <c r="P288" s="13" t="s">
        <v>3514</v>
      </c>
      <c r="Q288" s="13"/>
      <c r="R288" s="13"/>
      <c r="S288" s="13" t="s">
        <v>3515</v>
      </c>
      <c r="T288" s="12" t="s">
        <v>94</v>
      </c>
      <c r="U288" s="12" t="s">
        <v>3516</v>
      </c>
    </row>
    <row r="289" customFormat="false" ht="31.5" hidden="false" customHeight="true" outlineLevel="0" collapsed="false">
      <c r="A289" s="12" t="n">
        <v>244</v>
      </c>
      <c r="B289" s="12" t="s">
        <v>3517</v>
      </c>
      <c r="C289" s="12" t="s">
        <v>2511</v>
      </c>
      <c r="D289" s="12"/>
      <c r="E289" s="12"/>
      <c r="F289" s="12"/>
      <c r="G289" s="12"/>
      <c r="H289" s="12"/>
      <c r="I289" s="12"/>
      <c r="J289" s="12"/>
      <c r="K289" s="12"/>
      <c r="L289" s="12" t="n">
        <v>8</v>
      </c>
      <c r="M289" s="12"/>
      <c r="N289" s="12"/>
      <c r="O289" s="13"/>
      <c r="P289" s="13" t="s">
        <v>3518</v>
      </c>
      <c r="Q289" s="13"/>
      <c r="R289" s="13"/>
      <c r="S289" s="13" t="s">
        <v>3519</v>
      </c>
      <c r="T289" s="12" t="s">
        <v>94</v>
      </c>
      <c r="U289" s="12" t="s">
        <v>3520</v>
      </c>
    </row>
    <row r="290" customFormat="false" ht="31.5" hidden="false" customHeight="true" outlineLevel="0" collapsed="false">
      <c r="A290" s="12" t="n">
        <v>245</v>
      </c>
      <c r="B290" s="12" t="s">
        <v>3521</v>
      </c>
      <c r="C290" s="12" t="s">
        <v>2502</v>
      </c>
      <c r="D290" s="12"/>
      <c r="E290" s="12"/>
      <c r="F290" s="12"/>
      <c r="G290" s="12"/>
      <c r="H290" s="12"/>
      <c r="I290" s="12"/>
      <c r="J290" s="12"/>
      <c r="K290" s="12"/>
      <c r="L290" s="12"/>
      <c r="M290" s="12"/>
      <c r="N290" s="12"/>
      <c r="O290" s="13"/>
      <c r="P290" s="13" t="s">
        <v>3522</v>
      </c>
      <c r="Q290" s="13"/>
      <c r="R290" s="13"/>
      <c r="S290" s="13" t="s">
        <v>3523</v>
      </c>
      <c r="T290" s="12" t="s">
        <v>94</v>
      </c>
      <c r="U290" s="12" t="s">
        <v>3524</v>
      </c>
    </row>
    <row r="291" customFormat="false" ht="31.5" hidden="false" customHeight="true" outlineLevel="0" collapsed="false">
      <c r="A291" s="12" t="n">
        <v>246</v>
      </c>
      <c r="B291" s="12" t="s">
        <v>627</v>
      </c>
      <c r="C291" s="12" t="s">
        <v>2581</v>
      </c>
      <c r="D291" s="12" t="s">
        <v>113</v>
      </c>
      <c r="E291" s="12" t="s">
        <v>83</v>
      </c>
      <c r="F291" s="12" t="n">
        <v>75197.2</v>
      </c>
      <c r="G291" s="12"/>
      <c r="H291" s="12"/>
      <c r="I291" s="12"/>
      <c r="J291" s="12" t="n">
        <v>25</v>
      </c>
      <c r="K291" s="12" t="n">
        <v>150</v>
      </c>
      <c r="L291" s="12"/>
      <c r="M291" s="12"/>
      <c r="N291" s="12" t="n">
        <v>77000</v>
      </c>
      <c r="O291" s="13"/>
      <c r="P291" s="13" t="s">
        <v>3525</v>
      </c>
      <c r="Q291" s="13"/>
      <c r="R291" s="13"/>
      <c r="S291" s="13" t="s">
        <v>3526</v>
      </c>
      <c r="T291" s="12" t="s">
        <v>94</v>
      </c>
      <c r="U291" s="12" t="s">
        <v>3527</v>
      </c>
    </row>
    <row r="292" customFormat="false" ht="31.5" hidden="false" customHeight="true" outlineLevel="0" collapsed="false">
      <c r="A292" s="12" t="n">
        <v>246</v>
      </c>
      <c r="B292" s="12" t="s">
        <v>627</v>
      </c>
      <c r="C292" s="12" t="s">
        <v>2630</v>
      </c>
      <c r="D292" s="12" t="s">
        <v>113</v>
      </c>
      <c r="E292" s="12" t="s">
        <v>83</v>
      </c>
      <c r="F292" s="12" t="n">
        <v>75197.2</v>
      </c>
      <c r="G292" s="12"/>
      <c r="H292" s="12"/>
      <c r="I292" s="12"/>
      <c r="J292" s="12" t="n">
        <v>100</v>
      </c>
      <c r="K292" s="12" t="n">
        <v>150</v>
      </c>
      <c r="L292" s="12"/>
      <c r="M292" s="12" t="n">
        <v>281.65</v>
      </c>
      <c r="N292" s="12" t="n">
        <v>76609.2</v>
      </c>
      <c r="O292" s="13"/>
      <c r="P292" s="13" t="s">
        <v>3528</v>
      </c>
      <c r="Q292" s="13"/>
      <c r="R292" s="13"/>
      <c r="S292" s="13" t="s">
        <v>3529</v>
      </c>
      <c r="T292" s="12" t="s">
        <v>94</v>
      </c>
      <c r="U292" s="12" t="s">
        <v>3527</v>
      </c>
    </row>
    <row r="293" customFormat="false" ht="31.5" hidden="false" customHeight="true" outlineLevel="0" collapsed="false">
      <c r="A293" s="12" t="n">
        <v>247</v>
      </c>
      <c r="B293" s="12" t="s">
        <v>3530</v>
      </c>
      <c r="C293" s="12" t="s">
        <v>2630</v>
      </c>
      <c r="D293" s="12" t="s">
        <v>113</v>
      </c>
      <c r="E293" s="12" t="s">
        <v>83</v>
      </c>
      <c r="F293" s="12"/>
      <c r="G293" s="12"/>
      <c r="H293" s="12"/>
      <c r="I293" s="12"/>
      <c r="J293" s="12" t="n">
        <v>100</v>
      </c>
      <c r="K293" s="12" t="n">
        <v>200</v>
      </c>
      <c r="L293" s="12"/>
      <c r="M293" s="12"/>
      <c r="N293" s="12" t="n">
        <v>76609.2</v>
      </c>
      <c r="O293" s="13"/>
      <c r="P293" s="13" t="s">
        <v>3531</v>
      </c>
      <c r="Q293" s="13"/>
      <c r="R293" s="13"/>
      <c r="S293" s="13" t="s">
        <v>3532</v>
      </c>
      <c r="T293" s="12" t="s">
        <v>94</v>
      </c>
      <c r="U293" s="12" t="s">
        <v>3533</v>
      </c>
    </row>
    <row r="294" customFormat="false" ht="31.5" hidden="false" customHeight="true" outlineLevel="0" collapsed="false">
      <c r="A294" s="12" t="n">
        <v>248</v>
      </c>
      <c r="B294" s="12" t="s">
        <v>3534</v>
      </c>
      <c r="C294" s="12" t="s">
        <v>2527</v>
      </c>
      <c r="D294" s="12" t="s">
        <v>113</v>
      </c>
      <c r="E294" s="12"/>
      <c r="F294" s="12"/>
      <c r="G294" s="12"/>
      <c r="H294" s="12"/>
      <c r="I294" s="12"/>
      <c r="J294" s="12"/>
      <c r="K294" s="12"/>
      <c r="L294" s="12"/>
      <c r="M294" s="12"/>
      <c r="N294" s="12"/>
      <c r="O294" s="13"/>
      <c r="P294" s="13" t="s">
        <v>3535</v>
      </c>
      <c r="Q294" s="13"/>
      <c r="R294" s="13"/>
      <c r="S294" s="13" t="s">
        <v>3536</v>
      </c>
      <c r="T294" s="12" t="s">
        <v>94</v>
      </c>
      <c r="U294" s="12" t="s">
        <v>655</v>
      </c>
    </row>
    <row r="295" customFormat="false" ht="31.5" hidden="false" customHeight="true" outlineLevel="0" collapsed="false">
      <c r="A295" s="12" t="n">
        <v>248</v>
      </c>
      <c r="B295" s="12" t="s">
        <v>3534</v>
      </c>
      <c r="C295" s="12" t="s">
        <v>2516</v>
      </c>
      <c r="D295" s="12" t="s">
        <v>113</v>
      </c>
      <c r="E295" s="12" t="s">
        <v>83</v>
      </c>
      <c r="F295" s="12" t="n">
        <v>75700</v>
      </c>
      <c r="G295" s="12"/>
      <c r="H295" s="12"/>
      <c r="I295" s="12"/>
      <c r="J295" s="12"/>
      <c r="K295" s="12"/>
      <c r="L295" s="12"/>
      <c r="M295" s="12"/>
      <c r="N295" s="12"/>
      <c r="O295" s="13"/>
      <c r="P295" s="13" t="s">
        <v>3537</v>
      </c>
      <c r="Q295" s="13"/>
      <c r="R295" s="13"/>
      <c r="S295" s="13" t="s">
        <v>3538</v>
      </c>
      <c r="T295" s="12" t="s">
        <v>94</v>
      </c>
      <c r="U295" s="12" t="s">
        <v>655</v>
      </c>
    </row>
    <row r="296" customFormat="false" ht="31.5" hidden="false" customHeight="true" outlineLevel="0" collapsed="false">
      <c r="A296" s="12" t="n">
        <v>249</v>
      </c>
      <c r="B296" s="12" t="s">
        <v>644</v>
      </c>
      <c r="C296" s="12" t="s">
        <v>2549</v>
      </c>
      <c r="D296" s="12" t="s">
        <v>113</v>
      </c>
      <c r="E296" s="12" t="s">
        <v>83</v>
      </c>
      <c r="F296" s="12" t="n">
        <v>76754.6</v>
      </c>
      <c r="G296" s="12"/>
      <c r="H296" s="12"/>
      <c r="I296" s="12" t="n">
        <v>74000</v>
      </c>
      <c r="J296" s="12"/>
      <c r="K296" s="12" t="n">
        <v>200</v>
      </c>
      <c r="L296" s="12"/>
      <c r="M296" s="12" t="n">
        <v>3.2</v>
      </c>
      <c r="N296" s="12" t="n">
        <v>76767</v>
      </c>
      <c r="O296" s="13"/>
      <c r="P296" s="13" t="s">
        <v>3539</v>
      </c>
      <c r="Q296" s="13"/>
      <c r="R296" s="13"/>
      <c r="S296" s="13" t="s">
        <v>3540</v>
      </c>
      <c r="T296" s="12" t="s">
        <v>94</v>
      </c>
      <c r="U296" s="12" t="s">
        <v>3541</v>
      </c>
    </row>
    <row r="297" customFormat="false" ht="31.5" hidden="false" customHeight="true" outlineLevel="0" collapsed="false">
      <c r="A297" s="12" t="n">
        <v>250</v>
      </c>
      <c r="B297" s="12" t="s">
        <v>3542</v>
      </c>
      <c r="C297" s="12" t="s">
        <v>2521</v>
      </c>
      <c r="D297" s="12" t="s">
        <v>113</v>
      </c>
      <c r="E297" s="12" t="s">
        <v>83</v>
      </c>
      <c r="F297" s="12" t="n">
        <v>76750</v>
      </c>
      <c r="G297" s="12" t="n">
        <v>75500</v>
      </c>
      <c r="H297" s="12"/>
      <c r="I297" s="12" t="n">
        <v>74000</v>
      </c>
      <c r="J297" s="12"/>
      <c r="K297" s="12"/>
      <c r="L297" s="12"/>
      <c r="M297" s="12"/>
      <c r="N297" s="12"/>
      <c r="O297" s="13"/>
      <c r="P297" s="13" t="s">
        <v>3543</v>
      </c>
      <c r="Q297" s="13"/>
      <c r="R297" s="13"/>
      <c r="S297" s="13" t="s">
        <v>3544</v>
      </c>
      <c r="T297" s="12" t="s">
        <v>94</v>
      </c>
      <c r="U297" s="12" t="s">
        <v>3545</v>
      </c>
    </row>
    <row r="298" customFormat="false" ht="31.5" hidden="false" customHeight="true" outlineLevel="0" collapsed="false">
      <c r="A298" s="12" t="n">
        <v>251</v>
      </c>
      <c r="B298" s="12" t="s">
        <v>3546</v>
      </c>
      <c r="C298" s="12" t="s">
        <v>2557</v>
      </c>
      <c r="D298" s="12" t="s">
        <v>113</v>
      </c>
      <c r="E298" s="12" t="s">
        <v>83</v>
      </c>
      <c r="F298" s="12"/>
      <c r="G298" s="12"/>
      <c r="H298" s="12"/>
      <c r="I298" s="12"/>
      <c r="J298" s="12"/>
      <c r="K298" s="12"/>
      <c r="L298" s="12"/>
      <c r="M298" s="12"/>
      <c r="N298" s="12"/>
      <c r="O298" s="13"/>
      <c r="P298" s="13" t="s">
        <v>3547</v>
      </c>
      <c r="Q298" s="13"/>
      <c r="R298" s="13"/>
      <c r="S298" s="13" t="s">
        <v>3548</v>
      </c>
      <c r="T298" s="12" t="s">
        <v>94</v>
      </c>
      <c r="U298" s="12" t="s">
        <v>3549</v>
      </c>
    </row>
    <row r="299" customFormat="false" ht="31.5" hidden="false" customHeight="true" outlineLevel="0" collapsed="false">
      <c r="A299" s="12" t="n">
        <v>252</v>
      </c>
      <c r="B299" s="12" t="s">
        <v>3550</v>
      </c>
      <c r="C299" s="12" t="s">
        <v>2670</v>
      </c>
      <c r="D299" s="12" t="s">
        <v>113</v>
      </c>
      <c r="E299" s="12" t="s">
        <v>83</v>
      </c>
      <c r="F299" s="12"/>
      <c r="G299" s="12"/>
      <c r="H299" s="12" t="s">
        <v>3551</v>
      </c>
      <c r="I299" s="12"/>
      <c r="J299" s="12"/>
      <c r="K299" s="12"/>
      <c r="L299" s="12"/>
      <c r="M299" s="12"/>
      <c r="N299" s="12"/>
      <c r="O299" s="13"/>
      <c r="P299" s="13" t="s">
        <v>3552</v>
      </c>
      <c r="Q299" s="13"/>
      <c r="R299" s="13"/>
      <c r="S299" s="13" t="s">
        <v>3553</v>
      </c>
      <c r="T299" s="12" t="s">
        <v>94</v>
      </c>
      <c r="U299" s="12" t="s">
        <v>3554</v>
      </c>
    </row>
    <row r="300" customFormat="false" ht="31.5" hidden="false" customHeight="true" outlineLevel="0" collapsed="false">
      <c r="A300" s="12" t="n">
        <v>253</v>
      </c>
      <c r="B300" s="12" t="s">
        <v>3555</v>
      </c>
      <c r="C300" s="12" t="s">
        <v>2527</v>
      </c>
      <c r="D300" s="12" t="s">
        <v>113</v>
      </c>
      <c r="E300" s="12"/>
      <c r="F300" s="12"/>
      <c r="G300" s="12"/>
      <c r="H300" s="12"/>
      <c r="I300" s="12"/>
      <c r="J300" s="12"/>
      <c r="K300" s="12"/>
      <c r="L300" s="12"/>
      <c r="M300" s="12"/>
      <c r="N300" s="12" t="n">
        <v>78300</v>
      </c>
      <c r="O300" s="13"/>
      <c r="P300" s="13" t="s">
        <v>3556</v>
      </c>
      <c r="Q300" s="13" t="s">
        <v>191</v>
      </c>
      <c r="R300" s="13"/>
      <c r="S300" s="13" t="s">
        <v>3557</v>
      </c>
      <c r="T300" s="12" t="s">
        <v>94</v>
      </c>
      <c r="U300" s="12" t="s">
        <v>3558</v>
      </c>
    </row>
    <row r="301" customFormat="false" ht="31.5" hidden="false" customHeight="true" outlineLevel="0" collapsed="false">
      <c r="A301" s="12" t="n">
        <v>254</v>
      </c>
      <c r="B301" s="12" t="s">
        <v>3559</v>
      </c>
      <c r="C301" s="12" t="s">
        <v>2527</v>
      </c>
      <c r="D301" s="12" t="s">
        <v>113</v>
      </c>
      <c r="E301" s="12"/>
      <c r="F301" s="12"/>
      <c r="G301" s="12"/>
      <c r="H301" s="12"/>
      <c r="I301" s="12"/>
      <c r="J301" s="12"/>
      <c r="K301" s="12"/>
      <c r="L301" s="12"/>
      <c r="M301" s="12"/>
      <c r="N301" s="12"/>
      <c r="O301" s="13"/>
      <c r="P301" s="13" t="s">
        <v>3560</v>
      </c>
      <c r="Q301" s="13"/>
      <c r="R301" s="13"/>
      <c r="S301" s="13" t="s">
        <v>3561</v>
      </c>
      <c r="T301" s="12" t="s">
        <v>94</v>
      </c>
      <c r="U301" s="12" t="s">
        <v>3562</v>
      </c>
    </row>
    <row r="302" customFormat="false" ht="31.5" hidden="false" customHeight="true" outlineLevel="0" collapsed="false">
      <c r="A302" s="12" t="n">
        <v>255</v>
      </c>
      <c r="B302" s="12" t="s">
        <v>3563</v>
      </c>
      <c r="C302" s="12" t="s">
        <v>2527</v>
      </c>
      <c r="D302" s="12" t="s">
        <v>113</v>
      </c>
      <c r="E302" s="12"/>
      <c r="F302" s="12"/>
      <c r="G302" s="12"/>
      <c r="H302" s="12"/>
      <c r="I302" s="12"/>
      <c r="J302" s="12"/>
      <c r="K302" s="12"/>
      <c r="L302" s="12"/>
      <c r="M302" s="12"/>
      <c r="N302" s="12"/>
      <c r="O302" s="13"/>
      <c r="P302" s="13" t="s">
        <v>3564</v>
      </c>
      <c r="Q302" s="13"/>
      <c r="R302" s="13"/>
      <c r="S302" s="13" t="s">
        <v>3565</v>
      </c>
      <c r="T302" s="12" t="s">
        <v>94</v>
      </c>
      <c r="U302" s="12" t="s">
        <v>3566</v>
      </c>
    </row>
    <row r="303" customFormat="false" ht="31.5" hidden="false" customHeight="true" outlineLevel="0" collapsed="false">
      <c r="A303" s="12" t="n">
        <v>256</v>
      </c>
      <c r="B303" s="12" t="s">
        <v>3567</v>
      </c>
      <c r="C303" s="12" t="s">
        <v>2537</v>
      </c>
      <c r="D303" s="12" t="s">
        <v>113</v>
      </c>
      <c r="E303" s="12" t="s">
        <v>83</v>
      </c>
      <c r="F303" s="12"/>
      <c r="G303" s="12" t="n">
        <v>75500</v>
      </c>
      <c r="H303" s="12"/>
      <c r="I303" s="12"/>
      <c r="J303" s="12" t="n">
        <v>25</v>
      </c>
      <c r="K303" s="12"/>
      <c r="L303" s="12"/>
      <c r="M303" s="12"/>
      <c r="N303" s="12"/>
      <c r="O303" s="13" t="s">
        <v>3568</v>
      </c>
      <c r="P303" s="13" t="s">
        <v>3569</v>
      </c>
      <c r="Q303" s="13"/>
      <c r="R303" s="13"/>
      <c r="S303" s="13" t="s">
        <v>3570</v>
      </c>
      <c r="T303" s="12" t="s">
        <v>94</v>
      </c>
      <c r="U303" s="12" t="s">
        <v>3571</v>
      </c>
    </row>
    <row r="304" customFormat="false" ht="31.5" hidden="false" customHeight="true" outlineLevel="0" collapsed="false">
      <c r="A304" s="12" t="n">
        <v>257</v>
      </c>
      <c r="B304" s="12" t="s">
        <v>3572</v>
      </c>
      <c r="C304" s="12" t="s">
        <v>2557</v>
      </c>
      <c r="D304" s="12" t="s">
        <v>113</v>
      </c>
      <c r="E304" s="12" t="s">
        <v>83</v>
      </c>
      <c r="F304" s="12" t="n">
        <v>76754.6</v>
      </c>
      <c r="G304" s="12"/>
      <c r="H304" s="12"/>
      <c r="I304" s="12"/>
      <c r="J304" s="12"/>
      <c r="K304" s="12" t="n">
        <v>150</v>
      </c>
      <c r="L304" s="12"/>
      <c r="M304" s="12" t="n">
        <v>59.7</v>
      </c>
      <c r="N304" s="12" t="n">
        <v>77060</v>
      </c>
      <c r="O304" s="13"/>
      <c r="P304" s="13" t="s">
        <v>3573</v>
      </c>
      <c r="Q304" s="13"/>
      <c r="R304" s="13"/>
      <c r="S304" s="13" t="s">
        <v>3574</v>
      </c>
      <c r="T304" s="12" t="s">
        <v>94</v>
      </c>
      <c r="U304" s="12" t="s">
        <v>3575</v>
      </c>
    </row>
    <row r="305" customFormat="false" ht="31.5" hidden="false" customHeight="true" outlineLevel="0" collapsed="false">
      <c r="A305" s="12" t="n">
        <v>258</v>
      </c>
      <c r="B305" s="12" t="s">
        <v>3576</v>
      </c>
      <c r="C305" s="12" t="s">
        <v>2557</v>
      </c>
      <c r="D305" s="12" t="s">
        <v>113</v>
      </c>
      <c r="E305" s="12" t="s">
        <v>83</v>
      </c>
      <c r="F305" s="12" t="n">
        <v>76754.6</v>
      </c>
      <c r="G305" s="12"/>
      <c r="H305" s="12"/>
      <c r="I305" s="12"/>
      <c r="J305" s="12"/>
      <c r="K305" s="12" t="n">
        <v>150</v>
      </c>
      <c r="L305" s="12"/>
      <c r="M305" s="12" t="n">
        <v>129.35</v>
      </c>
      <c r="N305" s="12" t="n">
        <v>77416.5</v>
      </c>
      <c r="O305" s="13"/>
      <c r="P305" s="13" t="s">
        <v>3577</v>
      </c>
      <c r="Q305" s="13" t="s">
        <v>3578</v>
      </c>
      <c r="R305" s="13"/>
      <c r="S305" s="13" t="s">
        <v>3579</v>
      </c>
      <c r="T305" s="12" t="s">
        <v>94</v>
      </c>
      <c r="U305" s="12" t="s">
        <v>3580</v>
      </c>
    </row>
    <row r="306" customFormat="false" ht="31.5" hidden="false" customHeight="true" outlineLevel="0" collapsed="false">
      <c r="A306" s="12" t="n">
        <v>259</v>
      </c>
      <c r="B306" s="12" t="s">
        <v>656</v>
      </c>
      <c r="C306" s="12" t="s">
        <v>2516</v>
      </c>
      <c r="D306" s="12" t="s">
        <v>527</v>
      </c>
      <c r="E306" s="12" t="s">
        <v>83</v>
      </c>
      <c r="F306" s="12"/>
      <c r="G306" s="12"/>
      <c r="H306" s="12"/>
      <c r="I306" s="12" t="n">
        <v>0.28</v>
      </c>
      <c r="J306" s="12"/>
      <c r="K306" s="12"/>
      <c r="L306" s="12"/>
      <c r="M306" s="12"/>
      <c r="N306" s="12"/>
      <c r="O306" s="13"/>
      <c r="P306" s="13" t="s">
        <v>3581</v>
      </c>
      <c r="Q306" s="13"/>
      <c r="R306" s="13"/>
      <c r="S306" s="13" t="s">
        <v>3582</v>
      </c>
      <c r="T306" s="12" t="s">
        <v>94</v>
      </c>
      <c r="U306" s="12" t="s">
        <v>667</v>
      </c>
    </row>
    <row r="307" customFormat="false" ht="31.5" hidden="false" customHeight="true" outlineLevel="0" collapsed="false">
      <c r="A307" s="12" t="n">
        <v>260</v>
      </c>
      <c r="B307" s="12" t="s">
        <v>661</v>
      </c>
      <c r="C307" s="12" t="s">
        <v>2549</v>
      </c>
      <c r="D307" s="12" t="s">
        <v>527</v>
      </c>
      <c r="E307" s="12" t="s">
        <v>83</v>
      </c>
      <c r="F307" s="12" t="n">
        <v>0.302</v>
      </c>
      <c r="G307" s="12"/>
      <c r="H307" s="12"/>
      <c r="I307" s="12" t="n">
        <v>0.28</v>
      </c>
      <c r="J307" s="12"/>
      <c r="K307" s="12"/>
      <c r="L307" s="12"/>
      <c r="M307" s="12"/>
      <c r="N307" s="12"/>
      <c r="O307" s="13" t="s">
        <v>1464</v>
      </c>
      <c r="P307" s="13" t="s">
        <v>3583</v>
      </c>
      <c r="Q307" s="13"/>
      <c r="R307" s="13"/>
      <c r="S307" s="13" t="s">
        <v>3584</v>
      </c>
      <c r="T307" s="12" t="s">
        <v>94</v>
      </c>
      <c r="U307" s="12" t="s">
        <v>3585</v>
      </c>
    </row>
    <row r="308" customFormat="false" ht="31.5" hidden="false" customHeight="true" outlineLevel="0" collapsed="false">
      <c r="A308" s="12" t="n">
        <v>261</v>
      </c>
      <c r="B308" s="12" t="s">
        <v>3586</v>
      </c>
      <c r="C308" s="12" t="s">
        <v>2557</v>
      </c>
      <c r="D308" s="12" t="s">
        <v>527</v>
      </c>
      <c r="E308" s="12" t="s">
        <v>83</v>
      </c>
      <c r="F308" s="12"/>
      <c r="G308" s="12"/>
      <c r="H308" s="12"/>
      <c r="I308" s="12"/>
      <c r="J308" s="12"/>
      <c r="K308" s="12"/>
      <c r="L308" s="12"/>
      <c r="M308" s="12"/>
      <c r="N308" s="12"/>
      <c r="O308" s="13" t="s">
        <v>3587</v>
      </c>
      <c r="P308" s="13" t="s">
        <v>3588</v>
      </c>
      <c r="Q308" s="13"/>
      <c r="R308" s="13"/>
      <c r="S308" s="13" t="s">
        <v>3589</v>
      </c>
      <c r="T308" s="12" t="s">
        <v>94</v>
      </c>
      <c r="U308" s="12" t="s">
        <v>3590</v>
      </c>
    </row>
    <row r="309" customFormat="false" ht="31.5" hidden="false" customHeight="true" outlineLevel="0" collapsed="false">
      <c r="A309" s="12" t="n">
        <v>262</v>
      </c>
      <c r="B309" s="12" t="s">
        <v>3591</v>
      </c>
      <c r="C309" s="12" t="s">
        <v>2581</v>
      </c>
      <c r="D309" s="12" t="s">
        <v>527</v>
      </c>
      <c r="E309" s="12" t="s">
        <v>83</v>
      </c>
      <c r="F309" s="12" t="n">
        <v>0.3023</v>
      </c>
      <c r="G309" s="12"/>
      <c r="H309" s="12"/>
      <c r="I309" s="12"/>
      <c r="J309" s="12" t="n">
        <v>30</v>
      </c>
      <c r="K309" s="12" t="n">
        <v>75</v>
      </c>
      <c r="L309" s="12"/>
      <c r="M309" s="12" t="n">
        <v>233.55</v>
      </c>
      <c r="N309" s="12" t="n">
        <v>0.3117</v>
      </c>
      <c r="O309" s="13" t="s">
        <v>3592</v>
      </c>
      <c r="P309" s="13" t="s">
        <v>3593</v>
      </c>
      <c r="Q309" s="13"/>
      <c r="R309" s="13"/>
      <c r="S309" s="13" t="s">
        <v>3594</v>
      </c>
      <c r="T309" s="12" t="s">
        <v>94</v>
      </c>
      <c r="U309" s="12" t="s">
        <v>3595</v>
      </c>
    </row>
    <row r="310" customFormat="false" ht="31.5" hidden="false" customHeight="true" outlineLevel="0" collapsed="false">
      <c r="A310" s="12" t="n">
        <v>262</v>
      </c>
      <c r="B310" s="12" t="s">
        <v>3591</v>
      </c>
      <c r="C310" s="12" t="s">
        <v>2670</v>
      </c>
      <c r="D310" s="12" t="s">
        <v>527</v>
      </c>
      <c r="E310" s="12" t="s">
        <v>83</v>
      </c>
      <c r="F310" s="12"/>
      <c r="G310" s="12"/>
      <c r="H310" s="12" t="s">
        <v>3596</v>
      </c>
      <c r="I310" s="12"/>
      <c r="J310" s="12"/>
      <c r="K310" s="12"/>
      <c r="L310" s="12"/>
      <c r="M310" s="12"/>
      <c r="N310" s="12"/>
      <c r="O310" s="13"/>
      <c r="P310" s="13" t="s">
        <v>3597</v>
      </c>
      <c r="Q310" s="13"/>
      <c r="R310" s="13"/>
      <c r="S310" s="13" t="s">
        <v>3598</v>
      </c>
      <c r="T310" s="12" t="s">
        <v>94</v>
      </c>
      <c r="U310" s="12" t="s">
        <v>3595</v>
      </c>
    </row>
    <row r="311" customFormat="false" ht="31.5" hidden="false" customHeight="true" outlineLevel="0" collapsed="false">
      <c r="A311" s="12" t="n">
        <v>263</v>
      </c>
      <c r="B311" s="12" t="s">
        <v>3599</v>
      </c>
      <c r="C311" s="12" t="s">
        <v>2516</v>
      </c>
      <c r="D311" s="12" t="s">
        <v>527</v>
      </c>
      <c r="E311" s="12" t="s">
        <v>83</v>
      </c>
      <c r="F311" s="12"/>
      <c r="G311" s="12"/>
      <c r="H311" s="12" t="s">
        <v>3596</v>
      </c>
      <c r="I311" s="12"/>
      <c r="J311" s="12" t="n">
        <v>50</v>
      </c>
      <c r="K311" s="12"/>
      <c r="L311" s="12"/>
      <c r="M311" s="12"/>
      <c r="N311" s="12"/>
      <c r="O311" s="13"/>
      <c r="P311" s="13" t="s">
        <v>3600</v>
      </c>
      <c r="Q311" s="13"/>
      <c r="R311" s="13"/>
      <c r="S311" s="13" t="s">
        <v>3601</v>
      </c>
      <c r="T311" s="12" t="s">
        <v>94</v>
      </c>
      <c r="U311" s="12" t="s">
        <v>3602</v>
      </c>
    </row>
    <row r="312" customFormat="false" ht="31.5" hidden="false" customHeight="true" outlineLevel="0" collapsed="false">
      <c r="A312" s="12" t="n">
        <v>264</v>
      </c>
      <c r="B312" s="12" t="s">
        <v>3603</v>
      </c>
      <c r="C312" s="12" t="s">
        <v>2666</v>
      </c>
      <c r="D312" s="12" t="s">
        <v>527</v>
      </c>
      <c r="E312" s="12" t="s">
        <v>83</v>
      </c>
      <c r="F312" s="12"/>
      <c r="G312" s="12"/>
      <c r="H312" s="12" t="s">
        <v>3604</v>
      </c>
      <c r="I312" s="12"/>
      <c r="J312" s="12"/>
      <c r="K312" s="12"/>
      <c r="L312" s="12"/>
      <c r="M312" s="12"/>
      <c r="N312" s="12"/>
      <c r="O312" s="13"/>
      <c r="P312" s="13" t="s">
        <v>3605</v>
      </c>
      <c r="Q312" s="13"/>
      <c r="R312" s="13"/>
      <c r="S312" s="13" t="s">
        <v>3606</v>
      </c>
      <c r="T312" s="12" t="s">
        <v>94</v>
      </c>
      <c r="U312" s="12" t="s">
        <v>3607</v>
      </c>
    </row>
    <row r="313" customFormat="false" ht="31.5" hidden="false" customHeight="true" outlineLevel="0" collapsed="false">
      <c r="A313" s="12" t="n">
        <v>265</v>
      </c>
      <c r="B313" s="12" t="s">
        <v>662</v>
      </c>
      <c r="C313" s="12" t="s">
        <v>2630</v>
      </c>
      <c r="D313" s="12" t="s">
        <v>527</v>
      </c>
      <c r="E313" s="12" t="s">
        <v>83</v>
      </c>
      <c r="F313" s="12" t="n">
        <v>0.3023</v>
      </c>
      <c r="G313" s="12"/>
      <c r="H313" s="12" t="s">
        <v>3608</v>
      </c>
      <c r="I313" s="12"/>
      <c r="J313" s="12" t="n">
        <v>100</v>
      </c>
      <c r="K313" s="12" t="n">
        <v>75</v>
      </c>
      <c r="L313" s="12" t="n">
        <v>1</v>
      </c>
      <c r="M313" s="12" t="n">
        <v>416.8</v>
      </c>
      <c r="N313" s="12" t="n">
        <v>0.3191</v>
      </c>
      <c r="O313" s="13" t="s">
        <v>3609</v>
      </c>
      <c r="P313" s="13" t="s">
        <v>3610</v>
      </c>
      <c r="Q313" s="13"/>
      <c r="R313" s="13"/>
      <c r="S313" s="13" t="s">
        <v>3611</v>
      </c>
      <c r="T313" s="12" t="s">
        <v>94</v>
      </c>
      <c r="U313" s="12" t="s">
        <v>3612</v>
      </c>
    </row>
    <row r="314" customFormat="false" ht="31.5" hidden="false" customHeight="true" outlineLevel="0" collapsed="false">
      <c r="A314" s="12" t="n">
        <v>266</v>
      </c>
      <c r="B314" s="12" t="s">
        <v>3613</v>
      </c>
      <c r="C314" s="12" t="s">
        <v>2557</v>
      </c>
      <c r="D314" s="12" t="s">
        <v>527</v>
      </c>
      <c r="E314" s="12" t="s">
        <v>83</v>
      </c>
      <c r="F314" s="12"/>
      <c r="G314" s="12"/>
      <c r="H314" s="12"/>
      <c r="I314" s="12"/>
      <c r="J314" s="12"/>
      <c r="K314" s="12"/>
      <c r="L314" s="12" t="n">
        <v>1.5</v>
      </c>
      <c r="M314" s="12"/>
      <c r="N314" s="12" t="n">
        <v>0.3321</v>
      </c>
      <c r="O314" s="13"/>
      <c r="P314" s="13" t="s">
        <v>3614</v>
      </c>
      <c r="Q314" s="13"/>
      <c r="R314" s="13"/>
      <c r="S314" s="13" t="s">
        <v>3615</v>
      </c>
      <c r="T314" s="12" t="s">
        <v>94</v>
      </c>
      <c r="U314" s="12" t="s">
        <v>3616</v>
      </c>
    </row>
    <row r="315" customFormat="false" ht="31.5" hidden="false" customHeight="true" outlineLevel="0" collapsed="false">
      <c r="A315" s="12" t="n">
        <v>267</v>
      </c>
      <c r="B315" s="12" t="s">
        <v>3617</v>
      </c>
      <c r="C315" s="12" t="s">
        <v>2502</v>
      </c>
      <c r="D315" s="12"/>
      <c r="E315" s="12"/>
      <c r="F315" s="12"/>
      <c r="G315" s="12"/>
      <c r="H315" s="12"/>
      <c r="I315" s="12"/>
      <c r="J315" s="12"/>
      <c r="K315" s="12"/>
      <c r="L315" s="12"/>
      <c r="M315" s="12"/>
      <c r="N315" s="12"/>
      <c r="O315" s="13"/>
      <c r="P315" s="13" t="s">
        <v>3618</v>
      </c>
      <c r="Q315" s="13"/>
      <c r="R315" s="13"/>
      <c r="S315" s="13" t="s">
        <v>3619</v>
      </c>
      <c r="T315" s="12" t="s">
        <v>94</v>
      </c>
      <c r="U315" s="12" t="s">
        <v>3620</v>
      </c>
    </row>
    <row r="316" customFormat="false" ht="31.5" hidden="false" customHeight="true" outlineLevel="0" collapsed="false">
      <c r="A316" s="12" t="n">
        <v>268</v>
      </c>
      <c r="B316" s="12" t="s">
        <v>668</v>
      </c>
      <c r="C316" s="12" t="s">
        <v>2521</v>
      </c>
      <c r="D316" s="12" t="s">
        <v>669</v>
      </c>
      <c r="E316" s="12" t="s">
        <v>83</v>
      </c>
      <c r="F316" s="12" t="n">
        <v>287</v>
      </c>
      <c r="G316" s="12"/>
      <c r="H316" s="12" t="s">
        <v>671</v>
      </c>
      <c r="I316" s="12" t="n">
        <v>268</v>
      </c>
      <c r="J316" s="12"/>
      <c r="K316" s="12"/>
      <c r="L316" s="12"/>
      <c r="M316" s="12"/>
      <c r="N316" s="12"/>
      <c r="O316" s="13"/>
      <c r="P316" s="13" t="s">
        <v>3621</v>
      </c>
      <c r="Q316" s="13"/>
      <c r="R316" s="13"/>
      <c r="S316" s="13" t="s">
        <v>3622</v>
      </c>
      <c r="T316" s="12" t="s">
        <v>94</v>
      </c>
      <c r="U316" s="12" t="s">
        <v>683</v>
      </c>
    </row>
    <row r="317" customFormat="false" ht="31.5" hidden="false" customHeight="true" outlineLevel="0" collapsed="false">
      <c r="A317" s="12" t="n">
        <v>269</v>
      </c>
      <c r="B317" s="12" t="s">
        <v>3623</v>
      </c>
      <c r="C317" s="12" t="s">
        <v>2537</v>
      </c>
      <c r="D317" s="12" t="s">
        <v>669</v>
      </c>
      <c r="E317" s="12" t="s">
        <v>83</v>
      </c>
      <c r="F317" s="12"/>
      <c r="G317" s="12"/>
      <c r="H317" s="12"/>
      <c r="I317" s="12"/>
      <c r="J317" s="12" t="n">
        <v>50</v>
      </c>
      <c r="K317" s="12"/>
      <c r="L317" s="12"/>
      <c r="M317" s="12"/>
      <c r="N317" s="12"/>
      <c r="O317" s="13" t="s">
        <v>3624</v>
      </c>
      <c r="P317" s="13" t="s">
        <v>3625</v>
      </c>
      <c r="Q317" s="13"/>
      <c r="R317" s="13"/>
      <c r="S317" s="13" t="s">
        <v>3626</v>
      </c>
      <c r="T317" s="12" t="s">
        <v>94</v>
      </c>
      <c r="U317" s="12" t="s">
        <v>3627</v>
      </c>
    </row>
    <row r="318" customFormat="false" ht="31.5" hidden="false" customHeight="true" outlineLevel="0" collapsed="false">
      <c r="A318" s="12" t="n">
        <v>270</v>
      </c>
      <c r="B318" s="12" t="s">
        <v>684</v>
      </c>
      <c r="C318" s="12" t="s">
        <v>2521</v>
      </c>
      <c r="D318" s="12" t="s">
        <v>685</v>
      </c>
      <c r="E318" s="12" t="s">
        <v>83</v>
      </c>
      <c r="F318" s="12" t="n">
        <v>2.33</v>
      </c>
      <c r="G318" s="12"/>
      <c r="H318" s="12"/>
      <c r="I318" s="12" t="n">
        <v>2.13</v>
      </c>
      <c r="J318" s="12" t="n">
        <v>50</v>
      </c>
      <c r="K318" s="12"/>
      <c r="L318" s="12"/>
      <c r="M318" s="12"/>
      <c r="N318" s="12"/>
      <c r="O318" s="13" t="s">
        <v>3628</v>
      </c>
      <c r="P318" s="13" t="s">
        <v>3629</v>
      </c>
      <c r="Q318" s="13" t="s">
        <v>692</v>
      </c>
      <c r="R318" s="13" t="s">
        <v>3630</v>
      </c>
      <c r="S318" s="13" t="s">
        <v>3631</v>
      </c>
      <c r="T318" s="12" t="s">
        <v>94</v>
      </c>
      <c r="U318" s="12" t="s">
        <v>696</v>
      </c>
    </row>
    <row r="319" customFormat="false" ht="31.5" hidden="false" customHeight="true" outlineLevel="0" collapsed="false">
      <c r="A319" s="12" t="n">
        <v>271</v>
      </c>
      <c r="B319" s="12" t="s">
        <v>3632</v>
      </c>
      <c r="C319" s="12" t="s">
        <v>2516</v>
      </c>
      <c r="D319" s="12" t="s">
        <v>685</v>
      </c>
      <c r="E319" s="12" t="s">
        <v>83</v>
      </c>
      <c r="F319" s="12"/>
      <c r="G319" s="12"/>
      <c r="H319" s="12"/>
      <c r="I319" s="12"/>
      <c r="J319" s="12"/>
      <c r="K319" s="12"/>
      <c r="L319" s="12" t="n">
        <v>0.5</v>
      </c>
      <c r="M319" s="12"/>
      <c r="N319" s="12"/>
      <c r="O319" s="13"/>
      <c r="P319" s="13" t="s">
        <v>3633</v>
      </c>
      <c r="Q319" s="13"/>
      <c r="R319" s="13"/>
      <c r="S319" s="13" t="s">
        <v>3634</v>
      </c>
      <c r="T319" s="12" t="s">
        <v>312</v>
      </c>
      <c r="U319" s="12" t="s">
        <v>3635</v>
      </c>
    </row>
    <row r="320" customFormat="false" ht="31.5" hidden="false" customHeight="true" outlineLevel="0" collapsed="false">
      <c r="A320" s="12" t="n">
        <v>272</v>
      </c>
      <c r="B320" s="12" t="s">
        <v>3636</v>
      </c>
      <c r="C320" s="12" t="s">
        <v>2527</v>
      </c>
      <c r="D320" s="12"/>
      <c r="E320" s="12"/>
      <c r="F320" s="12"/>
      <c r="G320" s="12"/>
      <c r="H320" s="12"/>
      <c r="I320" s="12"/>
      <c r="J320" s="12"/>
      <c r="K320" s="12"/>
      <c r="L320" s="12"/>
      <c r="M320" s="12"/>
      <c r="N320" s="12"/>
      <c r="O320" s="13"/>
      <c r="P320" s="13" t="s">
        <v>3637</v>
      </c>
      <c r="Q320" s="13"/>
      <c r="R320" s="13" t="s">
        <v>3638</v>
      </c>
      <c r="S320" s="13" t="s">
        <v>3639</v>
      </c>
      <c r="T320" s="12" t="s">
        <v>108</v>
      </c>
      <c r="U320" s="12" t="s">
        <v>3640</v>
      </c>
    </row>
    <row r="321" customFormat="false" ht="31.5" hidden="false" customHeight="true" outlineLevel="0" collapsed="false">
      <c r="A321" s="12" t="n">
        <v>273</v>
      </c>
      <c r="B321" s="12" t="s">
        <v>3641</v>
      </c>
      <c r="C321" s="12" t="s">
        <v>2581</v>
      </c>
      <c r="D321" s="12" t="s">
        <v>685</v>
      </c>
      <c r="E321" s="12" t="s">
        <v>83</v>
      </c>
      <c r="F321" s="12" t="n">
        <v>2.333</v>
      </c>
      <c r="G321" s="12"/>
      <c r="H321" s="12"/>
      <c r="I321" s="12"/>
      <c r="J321" s="12" t="n">
        <v>50</v>
      </c>
      <c r="K321" s="12" t="n">
        <v>90</v>
      </c>
      <c r="L321" s="12"/>
      <c r="M321" s="12" t="n">
        <v>320.66</v>
      </c>
      <c r="N321" s="12" t="n">
        <v>2.416</v>
      </c>
      <c r="O321" s="13"/>
      <c r="P321" s="13" t="s">
        <v>3642</v>
      </c>
      <c r="Q321" s="13"/>
      <c r="R321" s="13"/>
      <c r="S321" s="13" t="s">
        <v>3643</v>
      </c>
      <c r="T321" s="12" t="s">
        <v>94</v>
      </c>
      <c r="U321" s="12" t="s">
        <v>3644</v>
      </c>
    </row>
    <row r="322" customFormat="false" ht="31.5" hidden="false" customHeight="true" outlineLevel="0" collapsed="false">
      <c r="A322" s="12" t="n">
        <v>274</v>
      </c>
      <c r="B322" s="12" t="s">
        <v>689</v>
      </c>
      <c r="C322" s="12" t="s">
        <v>2557</v>
      </c>
      <c r="D322" s="12" t="s">
        <v>113</v>
      </c>
      <c r="E322" s="12" t="s">
        <v>83</v>
      </c>
      <c r="F322" s="12"/>
      <c r="G322" s="12"/>
      <c r="H322" s="12"/>
      <c r="I322" s="12"/>
      <c r="J322" s="12"/>
      <c r="K322" s="12"/>
      <c r="L322" s="12"/>
      <c r="M322" s="12"/>
      <c r="N322" s="12"/>
      <c r="O322" s="13"/>
      <c r="P322" s="13" t="s">
        <v>3645</v>
      </c>
      <c r="Q322" s="13"/>
      <c r="R322" s="13"/>
      <c r="S322" s="13" t="s">
        <v>3646</v>
      </c>
      <c r="T322" s="12" t="s">
        <v>94</v>
      </c>
      <c r="U322" s="12" t="s">
        <v>3647</v>
      </c>
    </row>
    <row r="323" customFormat="false" ht="31.5" hidden="false" customHeight="true" outlineLevel="0" collapsed="false">
      <c r="A323" s="12" t="n">
        <v>274</v>
      </c>
      <c r="B323" s="12" t="s">
        <v>689</v>
      </c>
      <c r="C323" s="12" t="s">
        <v>2564</v>
      </c>
      <c r="D323" s="12" t="s">
        <v>685</v>
      </c>
      <c r="E323" s="12" t="s">
        <v>83</v>
      </c>
      <c r="F323" s="12"/>
      <c r="G323" s="12"/>
      <c r="H323" s="12"/>
      <c r="I323" s="12" t="n">
        <v>2.13</v>
      </c>
      <c r="J323" s="12" t="n">
        <v>50</v>
      </c>
      <c r="K323" s="12"/>
      <c r="L323" s="12"/>
      <c r="M323" s="12"/>
      <c r="N323" s="12"/>
      <c r="O323" s="13"/>
      <c r="P323" s="13" t="s">
        <v>3648</v>
      </c>
      <c r="Q323" s="13"/>
      <c r="R323" s="13"/>
      <c r="S323" s="13" t="s">
        <v>3649</v>
      </c>
      <c r="T323" s="12" t="s">
        <v>94</v>
      </c>
      <c r="U323" s="12" t="s">
        <v>3647</v>
      </c>
    </row>
    <row r="324" customFormat="false" ht="31.5" hidden="false" customHeight="true" outlineLevel="0" collapsed="false">
      <c r="A324" s="12" t="n">
        <v>274</v>
      </c>
      <c r="B324" s="12" t="s">
        <v>689</v>
      </c>
      <c r="C324" s="12" t="s">
        <v>2516</v>
      </c>
      <c r="D324" s="12" t="s">
        <v>685</v>
      </c>
      <c r="E324" s="12" t="s">
        <v>83</v>
      </c>
      <c r="F324" s="12"/>
      <c r="G324" s="12"/>
      <c r="H324" s="12" t="s">
        <v>3650</v>
      </c>
      <c r="I324" s="12" t="n">
        <v>2.26</v>
      </c>
      <c r="J324" s="12"/>
      <c r="K324" s="12"/>
      <c r="L324" s="12"/>
      <c r="M324" s="12"/>
      <c r="N324" s="12"/>
      <c r="O324" s="13"/>
      <c r="P324" s="13" t="s">
        <v>3651</v>
      </c>
      <c r="Q324" s="13"/>
      <c r="R324" s="13"/>
      <c r="S324" s="13" t="s">
        <v>3652</v>
      </c>
      <c r="T324" s="12" t="s">
        <v>94</v>
      </c>
      <c r="U324" s="12" t="s">
        <v>3647</v>
      </c>
    </row>
    <row r="325" customFormat="false" ht="31.5" hidden="false" customHeight="true" outlineLevel="0" collapsed="false">
      <c r="A325" s="12" t="n">
        <v>274</v>
      </c>
      <c r="B325" s="12" t="s">
        <v>689</v>
      </c>
      <c r="C325" s="12" t="s">
        <v>2557</v>
      </c>
      <c r="D325" s="12" t="s">
        <v>669</v>
      </c>
      <c r="E325" s="12" t="s">
        <v>83</v>
      </c>
      <c r="F325" s="12"/>
      <c r="G325" s="12"/>
      <c r="H325" s="12"/>
      <c r="I325" s="12"/>
      <c r="J325" s="12"/>
      <c r="K325" s="12"/>
      <c r="L325" s="12"/>
      <c r="M325" s="12"/>
      <c r="N325" s="12"/>
      <c r="O325" s="13"/>
      <c r="P325" s="13" t="s">
        <v>3653</v>
      </c>
      <c r="Q325" s="13"/>
      <c r="R325" s="13"/>
      <c r="S325" s="13" t="s">
        <v>3646</v>
      </c>
      <c r="T325" s="12" t="s">
        <v>94</v>
      </c>
      <c r="U325" s="12" t="s">
        <v>3647</v>
      </c>
    </row>
    <row r="326" customFormat="false" ht="31.5" hidden="false" customHeight="true" outlineLevel="0" collapsed="false">
      <c r="A326" s="12" t="n">
        <v>275</v>
      </c>
      <c r="B326" s="12" t="s">
        <v>648</v>
      </c>
      <c r="C326" s="12" t="s">
        <v>2630</v>
      </c>
      <c r="D326" s="12" t="s">
        <v>113</v>
      </c>
      <c r="E326" s="12" t="s">
        <v>83</v>
      </c>
      <c r="F326" s="12"/>
      <c r="G326" s="12"/>
      <c r="H326" s="12"/>
      <c r="I326" s="12"/>
      <c r="J326" s="12" t="n">
        <v>100</v>
      </c>
      <c r="K326" s="12"/>
      <c r="L326" s="12"/>
      <c r="M326" s="12"/>
      <c r="N326" s="12"/>
      <c r="O326" s="13"/>
      <c r="P326" s="13" t="s">
        <v>3654</v>
      </c>
      <c r="Q326" s="13"/>
      <c r="R326" s="13"/>
      <c r="S326" s="13" t="s">
        <v>2826</v>
      </c>
      <c r="T326" s="12" t="s">
        <v>94</v>
      </c>
      <c r="U326" s="12" t="s">
        <v>3655</v>
      </c>
    </row>
    <row r="327" customFormat="false" ht="31.5" hidden="false" customHeight="true" outlineLevel="0" collapsed="false">
      <c r="A327" s="12" t="n">
        <v>276</v>
      </c>
      <c r="B327" s="12" t="s">
        <v>3656</v>
      </c>
      <c r="C327" s="12" t="s">
        <v>2630</v>
      </c>
      <c r="D327" s="12" t="s">
        <v>113</v>
      </c>
      <c r="E327" s="12" t="s">
        <v>83</v>
      </c>
      <c r="F327" s="12" t="n">
        <v>76754.6</v>
      </c>
      <c r="G327" s="12"/>
      <c r="H327" s="12"/>
      <c r="I327" s="12"/>
      <c r="J327" s="12" t="n">
        <v>100</v>
      </c>
      <c r="K327" s="12" t="n">
        <v>150</v>
      </c>
      <c r="L327" s="12"/>
      <c r="M327" s="12" t="n">
        <v>225.07</v>
      </c>
      <c r="N327" s="12" t="n">
        <v>77906.3</v>
      </c>
      <c r="O327" s="13"/>
      <c r="P327" s="13" t="s">
        <v>3657</v>
      </c>
      <c r="Q327" s="13"/>
      <c r="R327" s="13"/>
      <c r="S327" s="13" t="s">
        <v>3658</v>
      </c>
      <c r="T327" s="12" t="s">
        <v>94</v>
      </c>
      <c r="U327" s="12" t="s">
        <v>3659</v>
      </c>
    </row>
    <row r="328" customFormat="false" ht="31.5" hidden="false" customHeight="true" outlineLevel="0" collapsed="false">
      <c r="A328" s="12" t="n">
        <v>277</v>
      </c>
      <c r="B328" s="12" t="s">
        <v>3660</v>
      </c>
      <c r="C328" s="12" t="s">
        <v>2666</v>
      </c>
      <c r="D328" s="12" t="s">
        <v>113</v>
      </c>
      <c r="E328" s="12" t="s">
        <v>83</v>
      </c>
      <c r="F328" s="12" t="n">
        <v>76754.6</v>
      </c>
      <c r="G328" s="12"/>
      <c r="H328" s="12" t="s">
        <v>3551</v>
      </c>
      <c r="I328" s="12"/>
      <c r="J328" s="12"/>
      <c r="K328" s="12"/>
      <c r="L328" s="12"/>
      <c r="M328" s="12"/>
      <c r="N328" s="12" t="n">
        <v>78012.9</v>
      </c>
      <c r="O328" s="13"/>
      <c r="P328" s="13" t="s">
        <v>3661</v>
      </c>
      <c r="Q328" s="13"/>
      <c r="R328" s="13"/>
      <c r="S328" s="13" t="s">
        <v>3662</v>
      </c>
      <c r="T328" s="12" t="s">
        <v>94</v>
      </c>
      <c r="U328" s="12" t="s">
        <v>3663</v>
      </c>
    </row>
    <row r="329" customFormat="false" ht="31.5" hidden="false" customHeight="true" outlineLevel="0" collapsed="false">
      <c r="A329" s="12" t="n">
        <v>278</v>
      </c>
      <c r="B329" s="12" t="s">
        <v>3664</v>
      </c>
      <c r="C329" s="12" t="s">
        <v>2511</v>
      </c>
      <c r="D329" s="12" t="s">
        <v>113</v>
      </c>
      <c r="E329" s="12"/>
      <c r="F329" s="12"/>
      <c r="G329" s="12"/>
      <c r="H329" s="12"/>
      <c r="I329" s="12"/>
      <c r="J329" s="12"/>
      <c r="K329" s="12"/>
      <c r="L329" s="12"/>
      <c r="M329" s="12"/>
      <c r="N329" s="12"/>
      <c r="O329" s="13"/>
      <c r="P329" s="13" t="s">
        <v>3665</v>
      </c>
      <c r="Q329" s="13"/>
      <c r="R329" s="13"/>
      <c r="S329" s="13" t="s">
        <v>3666</v>
      </c>
      <c r="T329" s="12" t="s">
        <v>94</v>
      </c>
      <c r="U329" s="12" t="s">
        <v>3667</v>
      </c>
    </row>
    <row r="330" customFormat="false" ht="31.5" hidden="false" customHeight="true" outlineLevel="0" collapsed="false">
      <c r="A330" s="12" t="n">
        <v>279</v>
      </c>
      <c r="B330" s="12" t="s">
        <v>3668</v>
      </c>
      <c r="C330" s="12" t="s">
        <v>2630</v>
      </c>
      <c r="D330" s="12" t="s">
        <v>113</v>
      </c>
      <c r="E330" s="12" t="s">
        <v>83</v>
      </c>
      <c r="F330" s="12"/>
      <c r="G330" s="12"/>
      <c r="H330" s="12"/>
      <c r="I330" s="12"/>
      <c r="J330" s="12" t="n">
        <v>100</v>
      </c>
      <c r="K330" s="12" t="n">
        <v>200</v>
      </c>
      <c r="L330" s="12"/>
      <c r="M330" s="12"/>
      <c r="N330" s="12" t="n">
        <v>78012.9</v>
      </c>
      <c r="O330" s="13"/>
      <c r="P330" s="13" t="s">
        <v>3669</v>
      </c>
      <c r="Q330" s="13"/>
      <c r="R330" s="13"/>
      <c r="S330" s="13" t="s">
        <v>3670</v>
      </c>
      <c r="T330" s="12" t="s">
        <v>94</v>
      </c>
      <c r="U330" s="12" t="s">
        <v>3671</v>
      </c>
    </row>
    <row r="331" customFormat="false" ht="31.5" hidden="false" customHeight="true" outlineLevel="0" collapsed="false">
      <c r="A331" s="12" t="n">
        <v>280</v>
      </c>
      <c r="B331" s="12" t="s">
        <v>3672</v>
      </c>
      <c r="C331" s="12" t="s">
        <v>2557</v>
      </c>
      <c r="D331" s="12" t="s">
        <v>113</v>
      </c>
      <c r="E331" s="12" t="s">
        <v>83</v>
      </c>
      <c r="F331" s="12"/>
      <c r="G331" s="12"/>
      <c r="H331" s="12"/>
      <c r="I331" s="12"/>
      <c r="J331" s="12"/>
      <c r="K331" s="12"/>
      <c r="L331" s="12"/>
      <c r="M331" s="12"/>
      <c r="N331" s="12" t="n">
        <v>78049.1</v>
      </c>
      <c r="O331" s="13"/>
      <c r="P331" s="13" t="s">
        <v>3673</v>
      </c>
      <c r="Q331" s="13"/>
      <c r="R331" s="13"/>
      <c r="S331" s="13" t="s">
        <v>3674</v>
      </c>
      <c r="T331" s="12" t="s">
        <v>94</v>
      </c>
      <c r="U331" s="12" t="s">
        <v>3675</v>
      </c>
    </row>
    <row r="332" customFormat="false" ht="31.5" hidden="false" customHeight="true" outlineLevel="0" collapsed="false">
      <c r="A332" s="12" t="n">
        <v>281</v>
      </c>
      <c r="B332" s="12" t="s">
        <v>697</v>
      </c>
      <c r="C332" s="12" t="s">
        <v>2521</v>
      </c>
      <c r="D332" s="12" t="s">
        <v>113</v>
      </c>
      <c r="E332" s="12" t="s">
        <v>83</v>
      </c>
      <c r="F332" s="12" t="n">
        <v>75900</v>
      </c>
      <c r="G332" s="12" t="n">
        <v>75000</v>
      </c>
      <c r="H332" s="12" t="s">
        <v>700</v>
      </c>
      <c r="I332" s="12" t="n">
        <v>73500</v>
      </c>
      <c r="J332" s="12" t="n">
        <v>50</v>
      </c>
      <c r="K332" s="12"/>
      <c r="L332" s="12"/>
      <c r="M332" s="12"/>
      <c r="N332" s="12"/>
      <c r="O332" s="13" t="s">
        <v>3676</v>
      </c>
      <c r="P332" s="13" t="s">
        <v>3677</v>
      </c>
      <c r="Q332" s="13"/>
      <c r="R332" s="13"/>
      <c r="S332" s="13" t="s">
        <v>3678</v>
      </c>
      <c r="T332" s="12" t="s">
        <v>94</v>
      </c>
      <c r="U332" s="12" t="s">
        <v>707</v>
      </c>
    </row>
    <row r="333" customFormat="false" ht="31.5" hidden="false" customHeight="true" outlineLevel="0" collapsed="false">
      <c r="A333" s="12" t="n">
        <v>281</v>
      </c>
      <c r="B333" s="12" t="s">
        <v>697</v>
      </c>
      <c r="C333" s="12" t="s">
        <v>2537</v>
      </c>
      <c r="D333" s="12" t="s">
        <v>113</v>
      </c>
      <c r="E333" s="12" t="s">
        <v>83</v>
      </c>
      <c r="F333" s="12"/>
      <c r="G333" s="12" t="n">
        <v>75000</v>
      </c>
      <c r="H333" s="12"/>
      <c r="I333" s="12"/>
      <c r="J333" s="12" t="n">
        <v>25</v>
      </c>
      <c r="K333" s="12"/>
      <c r="L333" s="12"/>
      <c r="M333" s="12"/>
      <c r="N333" s="12"/>
      <c r="O333" s="13" t="s">
        <v>3679</v>
      </c>
      <c r="P333" s="13" t="s">
        <v>3680</v>
      </c>
      <c r="Q333" s="13"/>
      <c r="R333" s="13"/>
      <c r="S333" s="13" t="s">
        <v>3681</v>
      </c>
      <c r="T333" s="12" t="s">
        <v>94</v>
      </c>
      <c r="U333" s="12" t="s">
        <v>707</v>
      </c>
    </row>
    <row r="334" customFormat="false" ht="31.5" hidden="false" customHeight="true" outlineLevel="0" collapsed="false">
      <c r="A334" s="12" t="n">
        <v>282</v>
      </c>
      <c r="B334" s="12" t="s">
        <v>3682</v>
      </c>
      <c r="C334" s="12" t="s">
        <v>2557</v>
      </c>
      <c r="D334" s="12" t="s">
        <v>113</v>
      </c>
      <c r="E334" s="12" t="s">
        <v>83</v>
      </c>
      <c r="F334" s="12"/>
      <c r="G334" s="12"/>
      <c r="H334" s="12"/>
      <c r="I334" s="12"/>
      <c r="J334" s="12"/>
      <c r="K334" s="12"/>
      <c r="L334" s="12"/>
      <c r="M334" s="12"/>
      <c r="N334" s="12"/>
      <c r="O334" s="13" t="s">
        <v>3683</v>
      </c>
      <c r="P334" s="13" t="s">
        <v>3684</v>
      </c>
      <c r="Q334" s="13"/>
      <c r="R334" s="13"/>
      <c r="S334" s="13" t="s">
        <v>3685</v>
      </c>
      <c r="T334" s="12" t="s">
        <v>108</v>
      </c>
      <c r="U334" s="12" t="s">
        <v>3686</v>
      </c>
    </row>
    <row r="335" customFormat="false" ht="31.5" hidden="false" customHeight="true" outlineLevel="0" collapsed="false">
      <c r="A335" s="12" t="n">
        <v>283</v>
      </c>
      <c r="B335" s="12" t="s">
        <v>3687</v>
      </c>
      <c r="C335" s="12" t="s">
        <v>2521</v>
      </c>
      <c r="D335" s="12" t="s">
        <v>113</v>
      </c>
      <c r="E335" s="12" t="s">
        <v>83</v>
      </c>
      <c r="F335" s="12" t="n">
        <v>75900</v>
      </c>
      <c r="G335" s="12"/>
      <c r="H335" s="12"/>
      <c r="I335" s="12" t="n">
        <v>74000</v>
      </c>
      <c r="J335" s="12"/>
      <c r="K335" s="12"/>
      <c r="L335" s="12"/>
      <c r="M335" s="12"/>
      <c r="N335" s="12"/>
      <c r="O335" s="13" t="s">
        <v>3688</v>
      </c>
      <c r="P335" s="13" t="s">
        <v>3689</v>
      </c>
      <c r="Q335" s="13"/>
      <c r="R335" s="13"/>
      <c r="S335" s="13" t="s">
        <v>3690</v>
      </c>
      <c r="T335" s="12" t="s">
        <v>94</v>
      </c>
      <c r="U335" s="12" t="s">
        <v>3691</v>
      </c>
    </row>
    <row r="336" customFormat="false" ht="31.5" hidden="false" customHeight="true" outlineLevel="0" collapsed="false">
      <c r="A336" s="12" t="n">
        <v>284</v>
      </c>
      <c r="B336" s="12" t="s">
        <v>3692</v>
      </c>
      <c r="C336" s="12" t="s">
        <v>2502</v>
      </c>
      <c r="D336" s="12"/>
      <c r="E336" s="12"/>
      <c r="F336" s="12"/>
      <c r="G336" s="12"/>
      <c r="H336" s="12"/>
      <c r="I336" s="12"/>
      <c r="J336" s="12"/>
      <c r="K336" s="12"/>
      <c r="L336" s="12"/>
      <c r="M336" s="12"/>
      <c r="N336" s="12"/>
      <c r="O336" s="13"/>
      <c r="P336" s="13" t="s">
        <v>3693</v>
      </c>
      <c r="Q336" s="13"/>
      <c r="R336" s="13"/>
      <c r="S336" s="13" t="s">
        <v>3694</v>
      </c>
      <c r="T336" s="12" t="s">
        <v>94</v>
      </c>
      <c r="U336" s="12" t="s">
        <v>3695</v>
      </c>
    </row>
    <row r="337" customFormat="false" ht="31.5" hidden="false" customHeight="true" outlineLevel="0" collapsed="false">
      <c r="A337" s="12" t="n">
        <v>285</v>
      </c>
      <c r="B337" s="12" t="s">
        <v>3696</v>
      </c>
      <c r="C337" s="12" t="s">
        <v>2537</v>
      </c>
      <c r="D337" s="12" t="s">
        <v>669</v>
      </c>
      <c r="E337" s="12" t="s">
        <v>83</v>
      </c>
      <c r="F337" s="12"/>
      <c r="G337" s="12" t="n">
        <v>271.1</v>
      </c>
      <c r="H337" s="12"/>
      <c r="I337" s="12"/>
      <c r="J337" s="12" t="n">
        <v>50</v>
      </c>
      <c r="K337" s="12"/>
      <c r="L337" s="12"/>
      <c r="M337" s="12"/>
      <c r="N337" s="12"/>
      <c r="O337" s="13"/>
      <c r="P337" s="13" t="s">
        <v>3697</v>
      </c>
      <c r="Q337" s="13"/>
      <c r="R337" s="13"/>
      <c r="S337" s="13" t="s">
        <v>3698</v>
      </c>
      <c r="T337" s="12" t="s">
        <v>94</v>
      </c>
      <c r="U337" s="12" t="s">
        <v>3699</v>
      </c>
    </row>
    <row r="338" customFormat="false" ht="31.5" hidden="false" customHeight="true" outlineLevel="0" collapsed="false">
      <c r="A338" s="12" t="n">
        <v>285</v>
      </c>
      <c r="B338" s="12" t="s">
        <v>3696</v>
      </c>
      <c r="C338" s="12" t="s">
        <v>2588</v>
      </c>
      <c r="D338" s="12" t="s">
        <v>669</v>
      </c>
      <c r="E338" s="12" t="s">
        <v>83</v>
      </c>
      <c r="F338" s="12"/>
      <c r="G338" s="12"/>
      <c r="H338" s="12"/>
      <c r="I338" s="12" t="n">
        <v>265</v>
      </c>
      <c r="J338" s="12"/>
      <c r="K338" s="12"/>
      <c r="L338" s="12"/>
      <c r="M338" s="12"/>
      <c r="N338" s="12"/>
      <c r="O338" s="13"/>
      <c r="P338" s="13" t="s">
        <v>3700</v>
      </c>
      <c r="Q338" s="13"/>
      <c r="R338" s="13"/>
      <c r="S338" s="13" t="s">
        <v>3701</v>
      </c>
      <c r="T338" s="12" t="s">
        <v>94</v>
      </c>
      <c r="U338" s="12" t="s">
        <v>3699</v>
      </c>
    </row>
    <row r="339" customFormat="false" ht="31.5" hidden="false" customHeight="true" outlineLevel="0" collapsed="false">
      <c r="A339" s="12" t="n">
        <v>286</v>
      </c>
      <c r="B339" s="12" t="s">
        <v>3702</v>
      </c>
      <c r="C339" s="12" t="s">
        <v>2537</v>
      </c>
      <c r="D339" s="12" t="s">
        <v>669</v>
      </c>
      <c r="E339" s="12" t="s">
        <v>83</v>
      </c>
      <c r="F339" s="12" t="n">
        <v>276.63</v>
      </c>
      <c r="G339" s="12"/>
      <c r="H339" s="12"/>
      <c r="I339" s="12"/>
      <c r="J339" s="12"/>
      <c r="K339" s="12" t="n">
        <v>100</v>
      </c>
      <c r="L339" s="12"/>
      <c r="M339" s="12" t="n">
        <v>10.43</v>
      </c>
      <c r="N339" s="12" t="n">
        <v>276.92</v>
      </c>
      <c r="O339" s="13"/>
      <c r="P339" s="13" t="s">
        <v>3703</v>
      </c>
      <c r="Q339" s="13"/>
      <c r="R339" s="13"/>
      <c r="S339" s="13" t="s">
        <v>3704</v>
      </c>
      <c r="T339" s="12" t="s">
        <v>94</v>
      </c>
      <c r="U339" s="12" t="s">
        <v>3705</v>
      </c>
    </row>
    <row r="340" customFormat="false" ht="31.5" hidden="false" customHeight="true" outlineLevel="0" collapsed="false">
      <c r="A340" s="12" t="n">
        <v>286</v>
      </c>
      <c r="B340" s="12" t="s">
        <v>3702</v>
      </c>
      <c r="C340" s="12" t="s">
        <v>2516</v>
      </c>
      <c r="D340" s="12" t="s">
        <v>669</v>
      </c>
      <c r="E340" s="12" t="s">
        <v>83</v>
      </c>
      <c r="F340" s="12"/>
      <c r="G340" s="12"/>
      <c r="H340" s="12" t="s">
        <v>3706</v>
      </c>
      <c r="I340" s="12"/>
      <c r="J340" s="12"/>
      <c r="K340" s="12"/>
      <c r="L340" s="12"/>
      <c r="M340" s="12"/>
      <c r="N340" s="12"/>
      <c r="O340" s="13"/>
      <c r="P340" s="13" t="s">
        <v>3707</v>
      </c>
      <c r="Q340" s="13"/>
      <c r="R340" s="13"/>
      <c r="S340" s="13" t="s">
        <v>3708</v>
      </c>
      <c r="T340" s="12" t="s">
        <v>94</v>
      </c>
      <c r="U340" s="12" t="s">
        <v>3705</v>
      </c>
    </row>
    <row r="341" customFormat="false" ht="31.5" hidden="false" customHeight="true" outlineLevel="0" collapsed="false">
      <c r="A341" s="12" t="n">
        <v>287</v>
      </c>
      <c r="B341" s="12" t="s">
        <v>3709</v>
      </c>
      <c r="C341" s="12" t="s">
        <v>2581</v>
      </c>
      <c r="D341" s="12" t="s">
        <v>669</v>
      </c>
      <c r="E341" s="12" t="s">
        <v>83</v>
      </c>
      <c r="F341" s="12" t="n">
        <v>276.63</v>
      </c>
      <c r="G341" s="12"/>
      <c r="H341" s="12"/>
      <c r="I341" s="12"/>
      <c r="J341" s="12" t="n">
        <v>10</v>
      </c>
      <c r="K341" s="12" t="n">
        <v>100</v>
      </c>
      <c r="L341" s="12"/>
      <c r="M341" s="12" t="n">
        <v>121.68</v>
      </c>
      <c r="N341" s="12" t="n">
        <v>280</v>
      </c>
      <c r="O341" s="13" t="s">
        <v>3710</v>
      </c>
      <c r="P341" s="13" t="s">
        <v>3711</v>
      </c>
      <c r="Q341" s="13"/>
      <c r="R341" s="13"/>
      <c r="S341" s="13" t="s">
        <v>3712</v>
      </c>
      <c r="T341" s="12" t="s">
        <v>94</v>
      </c>
      <c r="U341" s="12" t="s">
        <v>3713</v>
      </c>
    </row>
    <row r="342" customFormat="false" ht="31.5" hidden="false" customHeight="true" outlineLevel="0" collapsed="false">
      <c r="A342" s="12" t="n">
        <v>287</v>
      </c>
      <c r="B342" s="12" t="s">
        <v>3709</v>
      </c>
      <c r="C342" s="12" t="s">
        <v>2618</v>
      </c>
      <c r="D342" s="12" t="s">
        <v>669</v>
      </c>
      <c r="E342" s="12" t="s">
        <v>83</v>
      </c>
      <c r="F342" s="12"/>
      <c r="G342" s="12"/>
      <c r="H342" s="12" t="s">
        <v>3714</v>
      </c>
      <c r="I342" s="12"/>
      <c r="J342" s="12"/>
      <c r="K342" s="12"/>
      <c r="L342" s="12"/>
      <c r="M342" s="12"/>
      <c r="N342" s="12"/>
      <c r="O342" s="13"/>
      <c r="P342" s="13" t="s">
        <v>3715</v>
      </c>
      <c r="Q342" s="13"/>
      <c r="R342" s="13"/>
      <c r="S342" s="13" t="s">
        <v>3716</v>
      </c>
      <c r="T342" s="12" t="s">
        <v>94</v>
      </c>
      <c r="U342" s="12" t="s">
        <v>3713</v>
      </c>
    </row>
    <row r="343" customFormat="false" ht="31.5" hidden="false" customHeight="true" outlineLevel="0" collapsed="false">
      <c r="A343" s="12" t="n">
        <v>288</v>
      </c>
      <c r="B343" s="12" t="s">
        <v>3717</v>
      </c>
      <c r="C343" s="12" t="s">
        <v>2527</v>
      </c>
      <c r="D343" s="12" t="s">
        <v>113</v>
      </c>
      <c r="E343" s="12"/>
      <c r="F343" s="12"/>
      <c r="G343" s="12"/>
      <c r="H343" s="12"/>
      <c r="I343" s="12"/>
      <c r="J343" s="12"/>
      <c r="K343" s="12"/>
      <c r="L343" s="12"/>
      <c r="M343" s="12"/>
      <c r="N343" s="12"/>
      <c r="O343" s="13"/>
      <c r="P343" s="13" t="s">
        <v>3718</v>
      </c>
      <c r="Q343" s="13"/>
      <c r="R343" s="13" t="s">
        <v>3719</v>
      </c>
      <c r="S343" s="13" t="s">
        <v>3720</v>
      </c>
      <c r="T343" s="12" t="s">
        <v>94</v>
      </c>
      <c r="U343" s="12" t="s">
        <v>3721</v>
      </c>
    </row>
    <row r="344" customFormat="false" ht="31.5" hidden="false" customHeight="true" outlineLevel="0" collapsed="false">
      <c r="A344" s="12" t="n">
        <v>288</v>
      </c>
      <c r="B344" s="12" t="s">
        <v>3717</v>
      </c>
      <c r="C344" s="12" t="s">
        <v>2588</v>
      </c>
      <c r="D344" s="12" t="s">
        <v>669</v>
      </c>
      <c r="E344" s="12" t="s">
        <v>83</v>
      </c>
      <c r="F344" s="12"/>
      <c r="G344" s="12"/>
      <c r="H344" s="12"/>
      <c r="I344" s="12" t="n">
        <v>263</v>
      </c>
      <c r="J344" s="12"/>
      <c r="K344" s="12"/>
      <c r="L344" s="12"/>
      <c r="M344" s="12"/>
      <c r="N344" s="12"/>
      <c r="O344" s="13"/>
      <c r="P344" s="13" t="s">
        <v>3722</v>
      </c>
      <c r="Q344" s="13"/>
      <c r="R344" s="13" t="s">
        <v>3719</v>
      </c>
      <c r="S344" s="13" t="s">
        <v>3723</v>
      </c>
      <c r="T344" s="12" t="s">
        <v>108</v>
      </c>
      <c r="U344" s="12" t="s">
        <v>3721</v>
      </c>
    </row>
    <row r="345" customFormat="false" ht="31.5" hidden="false" customHeight="true" outlineLevel="0" collapsed="false">
      <c r="A345" s="12" t="n">
        <v>290</v>
      </c>
      <c r="B345" s="12" t="s">
        <v>677</v>
      </c>
      <c r="C345" s="12" t="s">
        <v>2564</v>
      </c>
      <c r="D345" s="12" t="s">
        <v>113</v>
      </c>
      <c r="E345" s="12" t="s">
        <v>83</v>
      </c>
      <c r="F345" s="12"/>
      <c r="G345" s="12"/>
      <c r="H345" s="12"/>
      <c r="I345" s="12"/>
      <c r="J345" s="12"/>
      <c r="K345" s="12"/>
      <c r="L345" s="12"/>
      <c r="M345" s="12"/>
      <c r="N345" s="12"/>
      <c r="O345" s="13"/>
      <c r="P345" s="13" t="s">
        <v>3724</v>
      </c>
      <c r="Q345" s="13"/>
      <c r="R345" s="13" t="s">
        <v>3725</v>
      </c>
      <c r="S345" s="13" t="s">
        <v>3726</v>
      </c>
      <c r="T345" s="12" t="s">
        <v>94</v>
      </c>
      <c r="U345" s="12" t="s">
        <v>3727</v>
      </c>
    </row>
    <row r="346" customFormat="false" ht="31.5" hidden="false" customHeight="true" outlineLevel="0" collapsed="false">
      <c r="A346" s="12" t="n">
        <v>290</v>
      </c>
      <c r="B346" s="12" t="s">
        <v>677</v>
      </c>
      <c r="C346" s="12" t="s">
        <v>2564</v>
      </c>
      <c r="D346" s="12" t="s">
        <v>669</v>
      </c>
      <c r="E346" s="12" t="s">
        <v>83</v>
      </c>
      <c r="F346" s="12"/>
      <c r="G346" s="12"/>
      <c r="H346" s="12"/>
      <c r="I346" s="12"/>
      <c r="J346" s="12"/>
      <c r="K346" s="12"/>
      <c r="L346" s="12"/>
      <c r="M346" s="12"/>
      <c r="N346" s="12"/>
      <c r="O346" s="13"/>
      <c r="P346" s="13" t="s">
        <v>3728</v>
      </c>
      <c r="Q346" s="13"/>
      <c r="R346" s="13" t="s">
        <v>3725</v>
      </c>
      <c r="S346" s="13" t="s">
        <v>3729</v>
      </c>
      <c r="T346" s="12" t="s">
        <v>94</v>
      </c>
      <c r="U346" s="12" t="s">
        <v>3727</v>
      </c>
    </row>
    <row r="347" customFormat="false" ht="31.5" hidden="false" customHeight="true" outlineLevel="0" collapsed="false">
      <c r="A347" s="12" t="n">
        <v>291</v>
      </c>
      <c r="B347" s="12" t="s">
        <v>708</v>
      </c>
      <c r="C347" s="12" t="s">
        <v>2521</v>
      </c>
      <c r="D347" s="12" t="s">
        <v>113</v>
      </c>
      <c r="E347" s="12" t="s">
        <v>83</v>
      </c>
      <c r="F347" s="12" t="n">
        <v>73000</v>
      </c>
      <c r="G347" s="12"/>
      <c r="H347" s="12"/>
      <c r="I347" s="12" t="n">
        <v>72000</v>
      </c>
      <c r="J347" s="12"/>
      <c r="K347" s="12"/>
      <c r="L347" s="12"/>
      <c r="M347" s="12"/>
      <c r="N347" s="12"/>
      <c r="O347" s="13" t="s">
        <v>3730</v>
      </c>
      <c r="P347" s="13" t="s">
        <v>3731</v>
      </c>
      <c r="Q347" s="13"/>
      <c r="R347" s="13"/>
      <c r="S347" s="13" t="s">
        <v>3732</v>
      </c>
      <c r="T347" s="12" t="s">
        <v>94</v>
      </c>
      <c r="U347" s="12" t="s">
        <v>720</v>
      </c>
    </row>
    <row r="348" customFormat="false" ht="31.5" hidden="false" customHeight="true" outlineLevel="0" collapsed="false">
      <c r="A348" s="12" t="n">
        <v>292</v>
      </c>
      <c r="B348" s="12" t="s">
        <v>3733</v>
      </c>
      <c r="C348" s="12" t="s">
        <v>2557</v>
      </c>
      <c r="D348" s="12" t="s">
        <v>113</v>
      </c>
      <c r="E348" s="12" t="s">
        <v>83</v>
      </c>
      <c r="F348" s="12"/>
      <c r="G348" s="12"/>
      <c r="H348" s="12"/>
      <c r="I348" s="12"/>
      <c r="J348" s="12"/>
      <c r="K348" s="12"/>
      <c r="L348" s="12"/>
      <c r="M348" s="12"/>
      <c r="N348" s="12"/>
      <c r="O348" s="13" t="s">
        <v>3734</v>
      </c>
      <c r="P348" s="13" t="s">
        <v>3735</v>
      </c>
      <c r="Q348" s="13"/>
      <c r="R348" s="13"/>
      <c r="S348" s="13" t="s">
        <v>3736</v>
      </c>
      <c r="T348" s="12" t="s">
        <v>108</v>
      </c>
      <c r="U348" s="12" t="s">
        <v>3737</v>
      </c>
    </row>
    <row r="349" customFormat="false" ht="31.5" hidden="false" customHeight="true" outlineLevel="0" collapsed="false">
      <c r="A349" s="12" t="n">
        <v>293</v>
      </c>
      <c r="B349" s="12" t="s">
        <v>3738</v>
      </c>
      <c r="C349" s="12" t="s">
        <v>2670</v>
      </c>
      <c r="D349" s="12" t="s">
        <v>113</v>
      </c>
      <c r="E349" s="12" t="s">
        <v>83</v>
      </c>
      <c r="F349" s="12"/>
      <c r="G349" s="12"/>
      <c r="H349" s="12" t="s">
        <v>710</v>
      </c>
      <c r="I349" s="12"/>
      <c r="J349" s="12"/>
      <c r="K349" s="12"/>
      <c r="L349" s="12"/>
      <c r="M349" s="12"/>
      <c r="N349" s="12"/>
      <c r="O349" s="13" t="s">
        <v>3739</v>
      </c>
      <c r="P349" s="13" t="s">
        <v>3740</v>
      </c>
      <c r="Q349" s="13"/>
      <c r="R349" s="13"/>
      <c r="S349" s="13" t="s">
        <v>3741</v>
      </c>
      <c r="T349" s="12" t="s">
        <v>94</v>
      </c>
      <c r="U349" s="12" t="s">
        <v>3742</v>
      </c>
    </row>
    <row r="350" customFormat="false" ht="31.5" hidden="false" customHeight="true" outlineLevel="0" collapsed="false">
      <c r="A350" s="12" t="n">
        <v>294</v>
      </c>
      <c r="B350" s="12" t="s">
        <v>721</v>
      </c>
      <c r="C350" s="12" t="s">
        <v>2527</v>
      </c>
      <c r="D350" s="12" t="s">
        <v>113</v>
      </c>
      <c r="E350" s="12"/>
      <c r="F350" s="12"/>
      <c r="G350" s="12"/>
      <c r="H350" s="12"/>
      <c r="I350" s="12"/>
      <c r="J350" s="12"/>
      <c r="K350" s="12"/>
      <c r="L350" s="12"/>
      <c r="M350" s="12"/>
      <c r="N350" s="12" t="n">
        <v>75000</v>
      </c>
      <c r="O350" s="13"/>
      <c r="P350" s="13" t="s">
        <v>3743</v>
      </c>
      <c r="Q350" s="13"/>
      <c r="R350" s="13"/>
      <c r="S350" s="13" t="s">
        <v>3744</v>
      </c>
      <c r="T350" s="12" t="s">
        <v>94</v>
      </c>
      <c r="U350" s="12" t="s">
        <v>726</v>
      </c>
    </row>
    <row r="351" customFormat="false" ht="31.5" hidden="false" customHeight="true" outlineLevel="0" collapsed="false">
      <c r="A351" s="12" t="n">
        <v>294</v>
      </c>
      <c r="B351" s="12" t="s">
        <v>721</v>
      </c>
      <c r="C351" s="12" t="s">
        <v>2630</v>
      </c>
      <c r="D351" s="12" t="s">
        <v>142</v>
      </c>
      <c r="E351" s="12"/>
      <c r="F351" s="12"/>
      <c r="G351" s="12"/>
      <c r="H351" s="12"/>
      <c r="I351" s="12"/>
      <c r="J351" s="12"/>
      <c r="K351" s="12"/>
      <c r="L351" s="12" t="n">
        <v>3</v>
      </c>
      <c r="M351" s="12"/>
      <c r="N351" s="12"/>
      <c r="O351" s="13"/>
      <c r="P351" s="13" t="s">
        <v>3745</v>
      </c>
      <c r="Q351" s="13"/>
      <c r="R351" s="13"/>
      <c r="S351" s="13" t="s">
        <v>3746</v>
      </c>
      <c r="T351" s="12" t="s">
        <v>108</v>
      </c>
      <c r="U351" s="12" t="s">
        <v>726</v>
      </c>
    </row>
    <row r="352" customFormat="false" ht="31.5" hidden="false" customHeight="true" outlineLevel="0" collapsed="false">
      <c r="A352" s="12" t="n">
        <v>295</v>
      </c>
      <c r="B352" s="12" t="s">
        <v>3747</v>
      </c>
      <c r="C352" s="12" t="s">
        <v>2527</v>
      </c>
      <c r="D352" s="12"/>
      <c r="E352" s="12"/>
      <c r="F352" s="12"/>
      <c r="G352" s="12"/>
      <c r="H352" s="12"/>
      <c r="I352" s="12"/>
      <c r="J352" s="12"/>
      <c r="K352" s="12"/>
      <c r="L352" s="12"/>
      <c r="M352" s="12"/>
      <c r="N352" s="12"/>
      <c r="O352" s="13"/>
      <c r="P352" s="13" t="s">
        <v>3748</v>
      </c>
      <c r="Q352" s="13"/>
      <c r="R352" s="13" t="s">
        <v>3749</v>
      </c>
      <c r="S352" s="13" t="s">
        <v>3750</v>
      </c>
      <c r="T352" s="12" t="s">
        <v>94</v>
      </c>
      <c r="U352" s="12" t="s">
        <v>3751</v>
      </c>
    </row>
    <row r="353" customFormat="false" ht="31.5" hidden="false" customHeight="true" outlineLevel="0" collapsed="false">
      <c r="A353" s="12" t="n">
        <v>296</v>
      </c>
      <c r="B353" s="12" t="s">
        <v>727</v>
      </c>
      <c r="C353" s="12" t="s">
        <v>2521</v>
      </c>
      <c r="D353" s="12" t="s">
        <v>99</v>
      </c>
      <c r="E353" s="12" t="s">
        <v>83</v>
      </c>
      <c r="F353" s="12"/>
      <c r="G353" s="12"/>
      <c r="H353" s="12"/>
      <c r="I353" s="12" t="n">
        <v>1950</v>
      </c>
      <c r="J353" s="12"/>
      <c r="K353" s="12"/>
      <c r="L353" s="12"/>
      <c r="M353" s="12"/>
      <c r="N353" s="12"/>
      <c r="O353" s="13" t="s">
        <v>3752</v>
      </c>
      <c r="P353" s="13" t="s">
        <v>3753</v>
      </c>
      <c r="Q353" s="13"/>
      <c r="R353" s="13" t="s">
        <v>3754</v>
      </c>
      <c r="S353" s="13" t="s">
        <v>3755</v>
      </c>
      <c r="T353" s="12" t="s">
        <v>94</v>
      </c>
      <c r="U353" s="12" t="s">
        <v>740</v>
      </c>
    </row>
    <row r="354" customFormat="false" ht="31.5" hidden="false" customHeight="true" outlineLevel="0" collapsed="false">
      <c r="A354" s="12" t="n">
        <v>297</v>
      </c>
      <c r="B354" s="12" t="s">
        <v>741</v>
      </c>
      <c r="C354" s="12" t="s">
        <v>2521</v>
      </c>
      <c r="D354" s="12" t="s">
        <v>742</v>
      </c>
      <c r="E354" s="12" t="s">
        <v>83</v>
      </c>
      <c r="F354" s="12" t="n">
        <v>0.234</v>
      </c>
      <c r="G354" s="12"/>
      <c r="H354" s="12"/>
      <c r="I354" s="12" t="n">
        <v>0.226</v>
      </c>
      <c r="J354" s="12"/>
      <c r="K354" s="12"/>
      <c r="L354" s="12"/>
      <c r="M354" s="12"/>
      <c r="N354" s="12"/>
      <c r="O354" s="13"/>
      <c r="P354" s="13" t="s">
        <v>3756</v>
      </c>
      <c r="Q354" s="13"/>
      <c r="R354" s="13"/>
      <c r="S354" s="13" t="s">
        <v>3757</v>
      </c>
      <c r="T354" s="12" t="s">
        <v>94</v>
      </c>
      <c r="U354" s="12" t="s">
        <v>752</v>
      </c>
    </row>
    <row r="355" customFormat="false" ht="31.5" hidden="false" customHeight="true" outlineLevel="0" collapsed="false">
      <c r="A355" s="12" t="n">
        <v>298</v>
      </c>
      <c r="B355" s="12" t="s">
        <v>734</v>
      </c>
      <c r="C355" s="12" t="s">
        <v>2549</v>
      </c>
      <c r="D355" s="12" t="s">
        <v>99</v>
      </c>
      <c r="E355" s="12" t="s">
        <v>83</v>
      </c>
      <c r="F355" s="12" t="n">
        <v>1988.23</v>
      </c>
      <c r="G355" s="12"/>
      <c r="H355" s="12"/>
      <c r="I355" s="12"/>
      <c r="J355" s="12"/>
      <c r="K355" s="12" t="n">
        <v>100</v>
      </c>
      <c r="L355" s="12"/>
      <c r="M355" s="12" t="n">
        <v>165.82</v>
      </c>
      <c r="N355" s="12" t="n">
        <v>2021.86</v>
      </c>
      <c r="O355" s="13"/>
      <c r="P355" s="13" t="s">
        <v>3758</v>
      </c>
      <c r="Q355" s="13"/>
      <c r="R355" s="13"/>
      <c r="S355" s="13" t="s">
        <v>3759</v>
      </c>
      <c r="T355" s="12" t="s">
        <v>108</v>
      </c>
      <c r="U355" s="12" t="s">
        <v>3760</v>
      </c>
    </row>
    <row r="356" customFormat="false" ht="31.5" hidden="false" customHeight="true" outlineLevel="0" collapsed="false">
      <c r="A356" s="12" t="n">
        <v>299</v>
      </c>
      <c r="B356" s="12" t="s">
        <v>3761</v>
      </c>
      <c r="C356" s="12" t="s">
        <v>2670</v>
      </c>
      <c r="D356" s="12" t="s">
        <v>742</v>
      </c>
      <c r="E356" s="12" t="s">
        <v>83</v>
      </c>
      <c r="F356" s="12"/>
      <c r="G356" s="12"/>
      <c r="H356" s="12" t="s">
        <v>744</v>
      </c>
      <c r="I356" s="12"/>
      <c r="J356" s="12" t="n">
        <v>50</v>
      </c>
      <c r="K356" s="12"/>
      <c r="L356" s="12" t="n">
        <v>0.6</v>
      </c>
      <c r="M356" s="12"/>
      <c r="N356" s="12"/>
      <c r="O356" s="13"/>
      <c r="P356" s="13" t="s">
        <v>3762</v>
      </c>
      <c r="Q356" s="13"/>
      <c r="R356" s="13"/>
      <c r="S356" s="13" t="s">
        <v>3763</v>
      </c>
      <c r="T356" s="12" t="s">
        <v>94</v>
      </c>
      <c r="U356" s="12" t="s">
        <v>3764</v>
      </c>
    </row>
    <row r="357" customFormat="false" ht="31.5" hidden="false" customHeight="true" outlineLevel="0" collapsed="false">
      <c r="A357" s="12" t="n">
        <v>300</v>
      </c>
      <c r="B357" s="12" t="s">
        <v>3765</v>
      </c>
      <c r="C357" s="12" t="s">
        <v>2557</v>
      </c>
      <c r="D357" s="12" t="s">
        <v>742</v>
      </c>
      <c r="E357" s="12" t="s">
        <v>83</v>
      </c>
      <c r="F357" s="12"/>
      <c r="G357" s="12"/>
      <c r="H357" s="12"/>
      <c r="I357" s="12"/>
      <c r="J357" s="12"/>
      <c r="K357" s="12"/>
      <c r="L357" s="12"/>
      <c r="M357" s="12"/>
      <c r="N357" s="12"/>
      <c r="O357" s="13"/>
      <c r="P357" s="13" t="s">
        <v>3766</v>
      </c>
      <c r="Q357" s="13"/>
      <c r="R357" s="13"/>
      <c r="S357" s="13" t="s">
        <v>3767</v>
      </c>
      <c r="T357" s="12" t="s">
        <v>94</v>
      </c>
      <c r="U357" s="12" t="s">
        <v>3768</v>
      </c>
    </row>
    <row r="358" customFormat="false" ht="31.5" hidden="false" customHeight="true" outlineLevel="0" collapsed="false">
      <c r="A358" s="12" t="n">
        <v>300</v>
      </c>
      <c r="B358" s="12" t="s">
        <v>3765</v>
      </c>
      <c r="C358" s="12" t="s">
        <v>2588</v>
      </c>
      <c r="D358" s="12" t="s">
        <v>99</v>
      </c>
      <c r="E358" s="12" t="s">
        <v>83</v>
      </c>
      <c r="F358" s="12" t="n">
        <v>1988.23</v>
      </c>
      <c r="G358" s="12"/>
      <c r="H358" s="12"/>
      <c r="I358" s="12" t="n">
        <v>1988.23</v>
      </c>
      <c r="J358" s="12"/>
      <c r="K358" s="12"/>
      <c r="L358" s="12"/>
      <c r="M358" s="12"/>
      <c r="N358" s="12"/>
      <c r="O358" s="13"/>
      <c r="P358" s="13" t="s">
        <v>3769</v>
      </c>
      <c r="Q358" s="13"/>
      <c r="R358" s="13" t="s">
        <v>3770</v>
      </c>
      <c r="S358" s="13" t="s">
        <v>3771</v>
      </c>
      <c r="T358" s="12" t="s">
        <v>108</v>
      </c>
      <c r="U358" s="12" t="s">
        <v>3768</v>
      </c>
    </row>
    <row r="359" customFormat="false" ht="31.5" hidden="false" customHeight="true" outlineLevel="0" collapsed="false">
      <c r="A359" s="12" t="n">
        <v>301</v>
      </c>
      <c r="B359" s="12" t="s">
        <v>3772</v>
      </c>
      <c r="C359" s="12" t="s">
        <v>2557</v>
      </c>
      <c r="D359" s="12" t="s">
        <v>742</v>
      </c>
      <c r="E359" s="12" t="s">
        <v>83</v>
      </c>
      <c r="F359" s="12"/>
      <c r="G359" s="12"/>
      <c r="H359" s="12"/>
      <c r="I359" s="12"/>
      <c r="J359" s="12"/>
      <c r="K359" s="12"/>
      <c r="L359" s="12"/>
      <c r="M359" s="12"/>
      <c r="N359" s="12"/>
      <c r="O359" s="13"/>
      <c r="P359" s="13" t="s">
        <v>3773</v>
      </c>
      <c r="Q359" s="13"/>
      <c r="R359" s="13"/>
      <c r="S359" s="13" t="s">
        <v>3774</v>
      </c>
      <c r="T359" s="12" t="s">
        <v>94</v>
      </c>
      <c r="U359" s="12" t="s">
        <v>3775</v>
      </c>
    </row>
    <row r="360" customFormat="false" ht="31.5" hidden="false" customHeight="true" outlineLevel="0" collapsed="false">
      <c r="A360" s="12" t="n">
        <v>301</v>
      </c>
      <c r="B360" s="12" t="s">
        <v>3772</v>
      </c>
      <c r="C360" s="12" t="s">
        <v>2557</v>
      </c>
      <c r="D360" s="12" t="s">
        <v>113</v>
      </c>
      <c r="E360" s="12" t="s">
        <v>83</v>
      </c>
      <c r="F360" s="12"/>
      <c r="G360" s="12"/>
      <c r="H360" s="12"/>
      <c r="I360" s="12"/>
      <c r="J360" s="12"/>
      <c r="K360" s="12"/>
      <c r="L360" s="12"/>
      <c r="M360" s="12"/>
      <c r="N360" s="12"/>
      <c r="O360" s="13"/>
      <c r="P360" s="13" t="s">
        <v>3776</v>
      </c>
      <c r="Q360" s="13"/>
      <c r="R360" s="13"/>
      <c r="S360" s="13" t="s">
        <v>3774</v>
      </c>
      <c r="T360" s="12" t="s">
        <v>94</v>
      </c>
      <c r="U360" s="12" t="s">
        <v>3775</v>
      </c>
    </row>
    <row r="361" customFormat="false" ht="31.5" hidden="false" customHeight="true" outlineLevel="0" collapsed="false">
      <c r="A361" s="12" t="n">
        <v>301</v>
      </c>
      <c r="B361" s="12" t="s">
        <v>3772</v>
      </c>
      <c r="C361" s="12" t="s">
        <v>2557</v>
      </c>
      <c r="D361" s="12" t="s">
        <v>99</v>
      </c>
      <c r="E361" s="12" t="s">
        <v>83</v>
      </c>
      <c r="F361" s="12"/>
      <c r="G361" s="12"/>
      <c r="H361" s="12"/>
      <c r="I361" s="12"/>
      <c r="J361" s="12"/>
      <c r="K361" s="12"/>
      <c r="L361" s="12"/>
      <c r="M361" s="12"/>
      <c r="N361" s="12"/>
      <c r="O361" s="13"/>
      <c r="P361" s="13" t="s">
        <v>3777</v>
      </c>
      <c r="Q361" s="13"/>
      <c r="R361" s="13"/>
      <c r="S361" s="13" t="s">
        <v>3774</v>
      </c>
      <c r="T361" s="12" t="s">
        <v>94</v>
      </c>
      <c r="U361" s="12" t="s">
        <v>3775</v>
      </c>
    </row>
    <row r="362" customFormat="false" ht="31.5" hidden="false" customHeight="true" outlineLevel="0" collapsed="false">
      <c r="A362" s="12" t="n">
        <v>301</v>
      </c>
      <c r="B362" s="12" t="s">
        <v>3772</v>
      </c>
      <c r="C362" s="12" t="s">
        <v>2527</v>
      </c>
      <c r="D362" s="12" t="s">
        <v>685</v>
      </c>
      <c r="E362" s="12"/>
      <c r="F362" s="12"/>
      <c r="G362" s="12"/>
      <c r="H362" s="12"/>
      <c r="I362" s="12"/>
      <c r="J362" s="12"/>
      <c r="K362" s="12"/>
      <c r="L362" s="12"/>
      <c r="M362" s="12"/>
      <c r="N362" s="12"/>
      <c r="O362" s="13"/>
      <c r="P362" s="13" t="s">
        <v>3778</v>
      </c>
      <c r="Q362" s="13"/>
      <c r="R362" s="13"/>
      <c r="S362" s="13" t="s">
        <v>3779</v>
      </c>
      <c r="T362" s="12" t="s">
        <v>94</v>
      </c>
      <c r="U362" s="12" t="s">
        <v>3775</v>
      </c>
    </row>
    <row r="363" customFormat="false" ht="31.5" hidden="false" customHeight="true" outlineLevel="0" collapsed="false">
      <c r="A363" s="12" t="n">
        <v>302</v>
      </c>
      <c r="B363" s="12" t="s">
        <v>3780</v>
      </c>
      <c r="C363" s="12" t="s">
        <v>2581</v>
      </c>
      <c r="D363" s="12" t="s">
        <v>99</v>
      </c>
      <c r="E363" s="12" t="s">
        <v>83</v>
      </c>
      <c r="F363" s="12" t="n">
        <v>1988.23</v>
      </c>
      <c r="G363" s="12"/>
      <c r="H363" s="12"/>
      <c r="I363" s="12"/>
      <c r="J363" s="12" t="n">
        <v>20</v>
      </c>
      <c r="K363" s="12" t="n">
        <v>100</v>
      </c>
      <c r="L363" s="12"/>
      <c r="M363" s="12" t="n">
        <v>132.39</v>
      </c>
      <c r="N363" s="12" t="n">
        <v>2015.08</v>
      </c>
      <c r="O363" s="13"/>
      <c r="P363" s="13" t="s">
        <v>3781</v>
      </c>
      <c r="Q363" s="13"/>
      <c r="R363" s="13"/>
      <c r="S363" s="13" t="s">
        <v>3782</v>
      </c>
      <c r="T363" s="12" t="s">
        <v>108</v>
      </c>
      <c r="U363" s="12" t="s">
        <v>3783</v>
      </c>
    </row>
    <row r="364" customFormat="false" ht="31.5" hidden="false" customHeight="true" outlineLevel="0" collapsed="false">
      <c r="A364" s="12" t="n">
        <v>302</v>
      </c>
      <c r="B364" s="12" t="s">
        <v>3780</v>
      </c>
      <c r="C364" s="12" t="s">
        <v>2670</v>
      </c>
      <c r="D364" s="12" t="s">
        <v>99</v>
      </c>
      <c r="E364" s="12" t="s">
        <v>83</v>
      </c>
      <c r="F364" s="12"/>
      <c r="G364" s="12"/>
      <c r="H364" s="12" t="s">
        <v>729</v>
      </c>
      <c r="I364" s="12"/>
      <c r="J364" s="12"/>
      <c r="K364" s="12"/>
      <c r="L364" s="12"/>
      <c r="M364" s="12"/>
      <c r="N364" s="12"/>
      <c r="O364" s="13"/>
      <c r="P364" s="13" t="s">
        <v>3784</v>
      </c>
      <c r="Q364" s="13"/>
      <c r="R364" s="13"/>
      <c r="S364" s="13" t="s">
        <v>3785</v>
      </c>
      <c r="T364" s="12" t="s">
        <v>94</v>
      </c>
      <c r="U364" s="12" t="s">
        <v>3783</v>
      </c>
    </row>
    <row r="365" customFormat="false" ht="31.5" hidden="false" customHeight="true" outlineLevel="0" collapsed="false">
      <c r="A365" s="12" t="n">
        <v>303</v>
      </c>
      <c r="B365" s="12" t="s">
        <v>3786</v>
      </c>
      <c r="C365" s="12" t="s">
        <v>2557</v>
      </c>
      <c r="D365" s="12" t="s">
        <v>113</v>
      </c>
      <c r="E365" s="12" t="s">
        <v>83</v>
      </c>
      <c r="F365" s="12" t="n">
        <v>73141.2</v>
      </c>
      <c r="G365" s="12"/>
      <c r="H365" s="12"/>
      <c r="I365" s="12"/>
      <c r="J365" s="12"/>
      <c r="K365" s="12" t="n">
        <v>150</v>
      </c>
      <c r="L365" s="12" t="n">
        <v>1</v>
      </c>
      <c r="M365" s="12" t="n">
        <v>183.52</v>
      </c>
      <c r="N365" s="12" t="n">
        <v>74036</v>
      </c>
      <c r="O365" s="13"/>
      <c r="P365" s="13" t="s">
        <v>3787</v>
      </c>
      <c r="Q365" s="13"/>
      <c r="R365" s="13" t="s">
        <v>3788</v>
      </c>
      <c r="S365" s="13" t="s">
        <v>3789</v>
      </c>
      <c r="T365" s="12" t="s">
        <v>94</v>
      </c>
      <c r="U365" s="12" t="s">
        <v>3790</v>
      </c>
    </row>
    <row r="366" customFormat="false" ht="31.5" hidden="false" customHeight="true" outlineLevel="0" collapsed="false">
      <c r="A366" s="12" t="n">
        <v>303</v>
      </c>
      <c r="B366" s="12" t="s">
        <v>3786</v>
      </c>
      <c r="C366" s="12" t="s">
        <v>2670</v>
      </c>
      <c r="D366" s="12" t="s">
        <v>113</v>
      </c>
      <c r="E366" s="12" t="s">
        <v>83</v>
      </c>
      <c r="F366" s="12"/>
      <c r="G366" s="12"/>
      <c r="H366" s="12" t="s">
        <v>3791</v>
      </c>
      <c r="I366" s="12"/>
      <c r="J366" s="12"/>
      <c r="K366" s="12"/>
      <c r="L366" s="12"/>
      <c r="M366" s="12"/>
      <c r="N366" s="12"/>
      <c r="O366" s="13"/>
      <c r="P366" s="13" t="s">
        <v>3792</v>
      </c>
      <c r="Q366" s="13"/>
      <c r="R366" s="13" t="s">
        <v>1649</v>
      </c>
      <c r="S366" s="13" t="s">
        <v>3793</v>
      </c>
      <c r="T366" s="12" t="s">
        <v>94</v>
      </c>
      <c r="U366" s="12" t="s">
        <v>3790</v>
      </c>
    </row>
    <row r="367" customFormat="false" ht="31.5" hidden="false" customHeight="true" outlineLevel="0" collapsed="false">
      <c r="A367" s="12" t="n">
        <v>304</v>
      </c>
      <c r="B367" s="12" t="s">
        <v>753</v>
      </c>
      <c r="C367" s="12" t="s">
        <v>2521</v>
      </c>
      <c r="D367" s="12" t="s">
        <v>754</v>
      </c>
      <c r="E367" s="12" t="s">
        <v>83</v>
      </c>
      <c r="F367" s="12" t="n">
        <v>2.56</v>
      </c>
      <c r="G367" s="12"/>
      <c r="H367" s="12"/>
      <c r="I367" s="12" t="n">
        <v>2.392</v>
      </c>
      <c r="J367" s="12"/>
      <c r="K367" s="12"/>
      <c r="L367" s="12"/>
      <c r="M367" s="12"/>
      <c r="N367" s="12"/>
      <c r="O367" s="13"/>
      <c r="P367" s="13" t="s">
        <v>3794</v>
      </c>
      <c r="Q367" s="13"/>
      <c r="R367" s="13"/>
      <c r="S367" s="13" t="s">
        <v>3795</v>
      </c>
      <c r="T367" s="12" t="s">
        <v>94</v>
      </c>
      <c r="U367" s="12" t="s">
        <v>760</v>
      </c>
    </row>
    <row r="368" customFormat="false" ht="31.5" hidden="false" customHeight="true" outlineLevel="0" collapsed="false">
      <c r="A368" s="12" t="n">
        <v>305</v>
      </c>
      <c r="B368" s="12" t="s">
        <v>3796</v>
      </c>
      <c r="C368" s="12" t="s">
        <v>2557</v>
      </c>
      <c r="D368" s="12" t="s">
        <v>754</v>
      </c>
      <c r="E368" s="12" t="s">
        <v>83</v>
      </c>
      <c r="F368" s="12" t="n">
        <v>2.565</v>
      </c>
      <c r="G368" s="12"/>
      <c r="H368" s="12"/>
      <c r="I368" s="12"/>
      <c r="J368" s="12"/>
      <c r="K368" s="12"/>
      <c r="L368" s="12"/>
      <c r="M368" s="12"/>
      <c r="N368" s="12" t="n">
        <v>2.603</v>
      </c>
      <c r="O368" s="13"/>
      <c r="P368" s="13" t="s">
        <v>3797</v>
      </c>
      <c r="Q368" s="13"/>
      <c r="R368" s="13"/>
      <c r="S368" s="13" t="s">
        <v>3798</v>
      </c>
      <c r="T368" s="12" t="s">
        <v>108</v>
      </c>
      <c r="U368" s="12" t="s">
        <v>3799</v>
      </c>
    </row>
    <row r="369" customFormat="false" ht="31.5" hidden="false" customHeight="true" outlineLevel="0" collapsed="false">
      <c r="A369" s="12" t="n">
        <v>306</v>
      </c>
      <c r="B369" s="12" t="s">
        <v>3800</v>
      </c>
      <c r="C369" s="12" t="s">
        <v>2581</v>
      </c>
      <c r="D369" s="12" t="s">
        <v>113</v>
      </c>
      <c r="E369" s="12" t="s">
        <v>83</v>
      </c>
      <c r="F369" s="12"/>
      <c r="G369" s="12"/>
      <c r="H369" s="12"/>
      <c r="I369" s="12"/>
      <c r="J369" s="12" t="n">
        <v>25</v>
      </c>
      <c r="K369" s="12"/>
      <c r="L369" s="12"/>
      <c r="M369" s="12"/>
      <c r="N369" s="12" t="n">
        <v>74200</v>
      </c>
      <c r="O369" s="13"/>
      <c r="P369" s="13" t="s">
        <v>3801</v>
      </c>
      <c r="Q369" s="13"/>
      <c r="R369" s="13"/>
      <c r="S369" s="13" t="s">
        <v>3802</v>
      </c>
      <c r="T369" s="12" t="s">
        <v>94</v>
      </c>
      <c r="U369" s="12" t="s">
        <v>3803</v>
      </c>
    </row>
    <row r="370" customFormat="false" ht="31.5" hidden="false" customHeight="true" outlineLevel="0" collapsed="false">
      <c r="A370" s="12" t="n">
        <v>306</v>
      </c>
      <c r="B370" s="12" t="s">
        <v>3800</v>
      </c>
      <c r="C370" s="12" t="s">
        <v>2516</v>
      </c>
      <c r="D370" s="12" t="s">
        <v>113</v>
      </c>
      <c r="E370" s="12" t="s">
        <v>83</v>
      </c>
      <c r="F370" s="12"/>
      <c r="G370" s="12"/>
      <c r="H370" s="12"/>
      <c r="I370" s="12"/>
      <c r="J370" s="12"/>
      <c r="K370" s="12"/>
      <c r="L370" s="12"/>
      <c r="M370" s="12"/>
      <c r="N370" s="12"/>
      <c r="O370" s="13"/>
      <c r="P370" s="13" t="s">
        <v>3804</v>
      </c>
      <c r="Q370" s="13"/>
      <c r="R370" s="13"/>
      <c r="S370" s="13" t="s">
        <v>3805</v>
      </c>
      <c r="T370" s="12" t="s">
        <v>94</v>
      </c>
      <c r="U370" s="12" t="s">
        <v>3803</v>
      </c>
    </row>
    <row r="371" customFormat="false" ht="31.5" hidden="false" customHeight="true" outlineLevel="0" collapsed="false">
      <c r="A371" s="12" t="n">
        <v>307</v>
      </c>
      <c r="B371" s="12" t="s">
        <v>747</v>
      </c>
      <c r="C371" s="12" t="s">
        <v>2666</v>
      </c>
      <c r="D371" s="12" t="s">
        <v>742</v>
      </c>
      <c r="E371" s="12" t="s">
        <v>83</v>
      </c>
      <c r="F371" s="12" t="n">
        <v>0.2343</v>
      </c>
      <c r="G371" s="12"/>
      <c r="H371" s="12" t="s">
        <v>3806</v>
      </c>
      <c r="I371" s="12"/>
      <c r="J371" s="12"/>
      <c r="K371" s="12" t="n">
        <v>75</v>
      </c>
      <c r="L371" s="12"/>
      <c r="M371" s="12" t="n">
        <v>134.44</v>
      </c>
      <c r="N371" s="12" t="n">
        <v>0.2385</v>
      </c>
      <c r="O371" s="13"/>
      <c r="P371" s="13" t="s">
        <v>3807</v>
      </c>
      <c r="Q371" s="13"/>
      <c r="R371" s="13"/>
      <c r="S371" s="13" t="s">
        <v>3808</v>
      </c>
      <c r="T371" s="12" t="s">
        <v>94</v>
      </c>
      <c r="U371" s="12" t="s">
        <v>3809</v>
      </c>
    </row>
    <row r="372" customFormat="false" ht="31.5" hidden="false" customHeight="true" outlineLevel="0" collapsed="false">
      <c r="A372" s="12" t="n">
        <v>308</v>
      </c>
      <c r="B372" s="12" t="s">
        <v>761</v>
      </c>
      <c r="C372" s="12" t="s">
        <v>2521</v>
      </c>
      <c r="D372" s="12" t="s">
        <v>542</v>
      </c>
      <c r="E372" s="12" t="s">
        <v>83</v>
      </c>
      <c r="F372" s="12" t="n">
        <v>0.0916</v>
      </c>
      <c r="G372" s="12"/>
      <c r="H372" s="12"/>
      <c r="I372" s="12" t="n">
        <v>0.0846</v>
      </c>
      <c r="J372" s="12"/>
      <c r="K372" s="12"/>
      <c r="L372" s="12"/>
      <c r="M372" s="12"/>
      <c r="N372" s="12"/>
      <c r="O372" s="13" t="s">
        <v>3810</v>
      </c>
      <c r="P372" s="13" t="s">
        <v>3811</v>
      </c>
      <c r="Q372" s="13"/>
      <c r="R372" s="13"/>
      <c r="S372" s="13" t="s">
        <v>3812</v>
      </c>
      <c r="T372" s="12" t="s">
        <v>94</v>
      </c>
      <c r="U372" s="12" t="s">
        <v>771</v>
      </c>
    </row>
    <row r="373" customFormat="false" ht="31.5" hidden="false" customHeight="true" outlineLevel="0" collapsed="false">
      <c r="A373" s="12" t="n">
        <v>309</v>
      </c>
      <c r="B373" s="12" t="s">
        <v>3813</v>
      </c>
      <c r="C373" s="12" t="s">
        <v>2670</v>
      </c>
      <c r="D373" s="12" t="s">
        <v>542</v>
      </c>
      <c r="E373" s="12" t="s">
        <v>83</v>
      </c>
      <c r="F373" s="12"/>
      <c r="G373" s="12"/>
      <c r="H373" s="12" t="s">
        <v>764</v>
      </c>
      <c r="I373" s="12"/>
      <c r="J373" s="12"/>
      <c r="K373" s="12"/>
      <c r="L373" s="12"/>
      <c r="M373" s="12"/>
      <c r="N373" s="12"/>
      <c r="O373" s="13"/>
      <c r="P373" s="13" t="s">
        <v>3814</v>
      </c>
      <c r="Q373" s="13"/>
      <c r="R373" s="13"/>
      <c r="S373" s="13" t="s">
        <v>3815</v>
      </c>
      <c r="T373" s="12" t="s">
        <v>94</v>
      </c>
      <c r="U373" s="12" t="s">
        <v>3816</v>
      </c>
    </row>
    <row r="374" customFormat="false" ht="31.5" hidden="false" customHeight="true" outlineLevel="0" collapsed="false">
      <c r="A374" s="12" t="n">
        <v>310</v>
      </c>
      <c r="B374" s="12" t="s">
        <v>772</v>
      </c>
      <c r="C374" s="12" t="s">
        <v>2521</v>
      </c>
      <c r="D374" s="12" t="s">
        <v>317</v>
      </c>
      <c r="E374" s="12" t="s">
        <v>83</v>
      </c>
      <c r="F374" s="12" t="n">
        <v>82.69</v>
      </c>
      <c r="G374" s="12"/>
      <c r="H374" s="12" t="s">
        <v>774</v>
      </c>
      <c r="I374" s="12" t="n">
        <v>78</v>
      </c>
      <c r="J374" s="12"/>
      <c r="K374" s="12"/>
      <c r="L374" s="12"/>
      <c r="M374" s="12"/>
      <c r="N374" s="12"/>
      <c r="O374" s="13"/>
      <c r="P374" s="13" t="s">
        <v>3817</v>
      </c>
      <c r="Q374" s="13"/>
      <c r="R374" s="13"/>
      <c r="S374" s="13" t="s">
        <v>3818</v>
      </c>
      <c r="T374" s="12" t="s">
        <v>94</v>
      </c>
      <c r="U374" s="12" t="s">
        <v>779</v>
      </c>
    </row>
    <row r="375" customFormat="false" ht="31.5" hidden="false" customHeight="true" outlineLevel="0" collapsed="false">
      <c r="A375" s="12" t="n">
        <v>311</v>
      </c>
      <c r="B375" s="12" t="s">
        <v>3819</v>
      </c>
      <c r="C375" s="12" t="s">
        <v>2670</v>
      </c>
      <c r="D375" s="12" t="s">
        <v>113</v>
      </c>
      <c r="E375" s="12" t="s">
        <v>83</v>
      </c>
      <c r="F375" s="12"/>
      <c r="G375" s="12"/>
      <c r="H375" s="12" t="s">
        <v>3820</v>
      </c>
      <c r="I375" s="12"/>
      <c r="J375" s="12"/>
      <c r="K375" s="12"/>
      <c r="L375" s="12"/>
      <c r="M375" s="12"/>
      <c r="N375" s="12"/>
      <c r="O375" s="13"/>
      <c r="P375" s="13" t="s">
        <v>3821</v>
      </c>
      <c r="Q375" s="13"/>
      <c r="R375" s="13"/>
      <c r="S375" s="13" t="s">
        <v>3822</v>
      </c>
      <c r="T375" s="12" t="s">
        <v>94</v>
      </c>
      <c r="U375" s="12" t="s">
        <v>3823</v>
      </c>
    </row>
    <row r="376" customFormat="false" ht="31.5" hidden="false" customHeight="true" outlineLevel="0" collapsed="false">
      <c r="A376" s="12" t="n">
        <v>312</v>
      </c>
      <c r="B376" s="12" t="s">
        <v>3824</v>
      </c>
      <c r="C376" s="12" t="s">
        <v>2618</v>
      </c>
      <c r="D376" s="12" t="s">
        <v>113</v>
      </c>
      <c r="E376" s="12" t="s">
        <v>83</v>
      </c>
      <c r="F376" s="12"/>
      <c r="G376" s="12"/>
      <c r="H376" s="12" t="s">
        <v>3825</v>
      </c>
      <c r="I376" s="12"/>
      <c r="J376" s="12" t="n">
        <v>25</v>
      </c>
      <c r="K376" s="12"/>
      <c r="L376" s="12"/>
      <c r="M376" s="12"/>
      <c r="N376" s="12"/>
      <c r="O376" s="13"/>
      <c r="P376" s="13" t="s">
        <v>3826</v>
      </c>
      <c r="Q376" s="13"/>
      <c r="R376" s="13"/>
      <c r="S376" s="13" t="s">
        <v>3827</v>
      </c>
      <c r="T376" s="12" t="s">
        <v>94</v>
      </c>
      <c r="U376" s="12" t="s">
        <v>3828</v>
      </c>
    </row>
    <row r="377" customFormat="false" ht="31.5" hidden="false" customHeight="true" outlineLevel="0" collapsed="false">
      <c r="A377" s="12" t="n">
        <v>313</v>
      </c>
      <c r="B377" s="12" t="s">
        <v>714</v>
      </c>
      <c r="C377" s="12" t="s">
        <v>2564</v>
      </c>
      <c r="D377" s="12" t="s">
        <v>113</v>
      </c>
      <c r="E377" s="12" t="s">
        <v>83</v>
      </c>
      <c r="F377" s="12"/>
      <c r="G377" s="12"/>
      <c r="H377" s="12"/>
      <c r="I377" s="12"/>
      <c r="J377" s="12"/>
      <c r="K377" s="12"/>
      <c r="L377" s="12"/>
      <c r="M377" s="12"/>
      <c r="N377" s="12"/>
      <c r="O377" s="13"/>
      <c r="P377" s="13" t="s">
        <v>3829</v>
      </c>
      <c r="Q377" s="13"/>
      <c r="R377" s="13"/>
      <c r="S377" s="13" t="s">
        <v>3830</v>
      </c>
      <c r="T377" s="12" t="s">
        <v>94</v>
      </c>
      <c r="U377" s="12" t="s">
        <v>3831</v>
      </c>
    </row>
    <row r="378" customFormat="false" ht="31.5" hidden="false" customHeight="true" outlineLevel="0" collapsed="false">
      <c r="A378" s="12" t="n">
        <v>314</v>
      </c>
      <c r="B378" s="12" t="s">
        <v>780</v>
      </c>
      <c r="C378" s="12" t="s">
        <v>2521</v>
      </c>
      <c r="D378" s="12" t="s">
        <v>781</v>
      </c>
      <c r="E378" s="12" t="s">
        <v>83</v>
      </c>
      <c r="F378" s="12" t="n">
        <v>0.697</v>
      </c>
      <c r="G378" s="12"/>
      <c r="H378" s="12" t="s">
        <v>783</v>
      </c>
      <c r="I378" s="12" t="n">
        <v>0.6746</v>
      </c>
      <c r="J378" s="12"/>
      <c r="K378" s="12"/>
      <c r="L378" s="12"/>
      <c r="M378" s="12"/>
      <c r="N378" s="12"/>
      <c r="O378" s="13"/>
      <c r="P378" s="13" t="s">
        <v>3832</v>
      </c>
      <c r="Q378" s="13"/>
      <c r="R378" s="13"/>
      <c r="S378" s="13" t="s">
        <v>3833</v>
      </c>
      <c r="T378" s="12" t="s">
        <v>94</v>
      </c>
      <c r="U378" s="12" t="s">
        <v>790</v>
      </c>
    </row>
    <row r="379" customFormat="false" ht="31.5" hidden="false" customHeight="true" outlineLevel="0" collapsed="false">
      <c r="A379" s="12" t="n">
        <v>315</v>
      </c>
      <c r="B379" s="12" t="s">
        <v>3834</v>
      </c>
      <c r="C379" s="12" t="s">
        <v>2511</v>
      </c>
      <c r="D379" s="12"/>
      <c r="E379" s="12"/>
      <c r="F379" s="12"/>
      <c r="G379" s="12"/>
      <c r="H379" s="12"/>
      <c r="I379" s="12"/>
      <c r="J379" s="12"/>
      <c r="K379" s="12"/>
      <c r="L379" s="12" t="n">
        <v>23.6</v>
      </c>
      <c r="M379" s="12" t="n">
        <v>159.6</v>
      </c>
      <c r="N379" s="12"/>
      <c r="O379" s="13"/>
      <c r="P379" s="13" t="s">
        <v>3835</v>
      </c>
      <c r="Q379" s="13"/>
      <c r="R379" s="13"/>
      <c r="S379" s="13" t="s">
        <v>3836</v>
      </c>
      <c r="T379" s="12" t="s">
        <v>94</v>
      </c>
      <c r="U379" s="12" t="s">
        <v>3837</v>
      </c>
    </row>
    <row r="380" customFormat="false" ht="31.5" hidden="false" customHeight="true" outlineLevel="0" collapsed="false">
      <c r="A380" s="12" t="n">
        <v>316</v>
      </c>
      <c r="B380" s="12" t="s">
        <v>3838</v>
      </c>
      <c r="C380" s="12" t="s">
        <v>2506</v>
      </c>
      <c r="D380" s="12"/>
      <c r="E380" s="12"/>
      <c r="F380" s="12"/>
      <c r="G380" s="12"/>
      <c r="H380" s="12"/>
      <c r="I380" s="12"/>
      <c r="J380" s="12"/>
      <c r="K380" s="12"/>
      <c r="L380" s="12"/>
      <c r="M380" s="12"/>
      <c r="N380" s="12"/>
      <c r="O380" s="13" t="s">
        <v>3839</v>
      </c>
      <c r="P380" s="13" t="s">
        <v>3840</v>
      </c>
      <c r="Q380" s="13"/>
      <c r="R380" s="13"/>
      <c r="S380" s="13" t="s">
        <v>3841</v>
      </c>
      <c r="T380" s="12" t="s">
        <v>94</v>
      </c>
      <c r="U380" s="12" t="s">
        <v>3842</v>
      </c>
    </row>
    <row r="381" customFormat="false" ht="31.5" hidden="false" customHeight="true" outlineLevel="0" collapsed="false">
      <c r="A381" s="12" t="n">
        <v>317</v>
      </c>
      <c r="B381" s="12" t="s">
        <v>791</v>
      </c>
      <c r="C381" s="12" t="s">
        <v>2521</v>
      </c>
      <c r="D381" s="12" t="s">
        <v>792</v>
      </c>
      <c r="E381" s="12" t="s">
        <v>83</v>
      </c>
      <c r="F381" s="12" t="n">
        <v>680</v>
      </c>
      <c r="G381" s="12"/>
      <c r="H381" s="12"/>
      <c r="I381" s="12" t="n">
        <v>652</v>
      </c>
      <c r="J381" s="12"/>
      <c r="K381" s="12"/>
      <c r="L381" s="12"/>
      <c r="M381" s="12"/>
      <c r="N381" s="12"/>
      <c r="O381" s="13" t="s">
        <v>3843</v>
      </c>
      <c r="P381" s="13" t="s">
        <v>3844</v>
      </c>
      <c r="Q381" s="13"/>
      <c r="R381" s="13"/>
      <c r="S381" s="13" t="s">
        <v>3845</v>
      </c>
      <c r="T381" s="12" t="s">
        <v>94</v>
      </c>
      <c r="U381" s="12" t="s">
        <v>802</v>
      </c>
    </row>
    <row r="382" customFormat="false" ht="31.5" hidden="false" customHeight="true" outlineLevel="0" collapsed="false">
      <c r="A382" s="12" t="n">
        <v>318</v>
      </c>
      <c r="B382" s="12" t="s">
        <v>3846</v>
      </c>
      <c r="C382" s="12" t="s">
        <v>2511</v>
      </c>
      <c r="D382" s="12"/>
      <c r="E382" s="12"/>
      <c r="F382" s="12"/>
      <c r="G382" s="12"/>
      <c r="H382" s="12"/>
      <c r="I382" s="12"/>
      <c r="J382" s="12"/>
      <c r="K382" s="12"/>
      <c r="L382" s="12" t="n">
        <v>23.6</v>
      </c>
      <c r="M382" s="12"/>
      <c r="N382" s="12"/>
      <c r="O382" s="13"/>
      <c r="P382" s="13" t="s">
        <v>3847</v>
      </c>
      <c r="Q382" s="13"/>
      <c r="R382" s="13"/>
      <c r="S382" s="13" t="s">
        <v>3848</v>
      </c>
      <c r="T382" s="12" t="s">
        <v>94</v>
      </c>
      <c r="U382" s="12" t="s">
        <v>3849</v>
      </c>
    </row>
    <row r="383" customFormat="false" ht="31.5" hidden="false" customHeight="true" outlineLevel="0" collapsed="false">
      <c r="A383" s="12" t="n">
        <v>319</v>
      </c>
      <c r="B383" s="12" t="s">
        <v>797</v>
      </c>
      <c r="C383" s="12" t="s">
        <v>2549</v>
      </c>
      <c r="D383" s="12" t="s">
        <v>792</v>
      </c>
      <c r="E383" s="12" t="s">
        <v>83</v>
      </c>
      <c r="F383" s="12"/>
      <c r="G383" s="12"/>
      <c r="H383" s="12"/>
      <c r="I383" s="12"/>
      <c r="J383" s="12"/>
      <c r="K383" s="12"/>
      <c r="L383" s="12"/>
      <c r="M383" s="12"/>
      <c r="N383" s="12"/>
      <c r="O383" s="13" t="s">
        <v>3850</v>
      </c>
      <c r="P383" s="13" t="s">
        <v>3851</v>
      </c>
      <c r="Q383" s="13"/>
      <c r="R383" s="13"/>
      <c r="S383" s="13" t="s">
        <v>3852</v>
      </c>
      <c r="T383" s="12" t="s">
        <v>94</v>
      </c>
      <c r="U383" s="12" t="s">
        <v>3853</v>
      </c>
    </row>
    <row r="384" customFormat="false" ht="31.5" hidden="false" customHeight="true" outlineLevel="0" collapsed="false">
      <c r="A384" s="12" t="n">
        <v>320</v>
      </c>
      <c r="B384" s="12" t="s">
        <v>3854</v>
      </c>
      <c r="C384" s="12" t="s">
        <v>2557</v>
      </c>
      <c r="D384" s="12" t="s">
        <v>792</v>
      </c>
      <c r="E384" s="12" t="s">
        <v>83</v>
      </c>
      <c r="F384" s="12"/>
      <c r="G384" s="12"/>
      <c r="H384" s="12"/>
      <c r="I384" s="12"/>
      <c r="J384" s="12"/>
      <c r="K384" s="12"/>
      <c r="L384" s="12"/>
      <c r="M384" s="12"/>
      <c r="N384" s="12"/>
      <c r="O384" s="13"/>
      <c r="P384" s="13" t="s">
        <v>3855</v>
      </c>
      <c r="Q384" s="13"/>
      <c r="R384" s="13"/>
      <c r="S384" s="13" t="s">
        <v>3856</v>
      </c>
      <c r="T384" s="12" t="s">
        <v>94</v>
      </c>
      <c r="U384" s="12" t="s">
        <v>3857</v>
      </c>
    </row>
    <row r="385" customFormat="false" ht="31.5" hidden="false" customHeight="true" outlineLevel="0" collapsed="false">
      <c r="A385" s="12" t="n">
        <v>320</v>
      </c>
      <c r="B385" s="12" t="s">
        <v>3854</v>
      </c>
      <c r="C385" s="12" t="s">
        <v>2557</v>
      </c>
      <c r="D385" s="12" t="s">
        <v>781</v>
      </c>
      <c r="E385" s="12" t="s">
        <v>83</v>
      </c>
      <c r="F385" s="12"/>
      <c r="G385" s="12"/>
      <c r="H385" s="12"/>
      <c r="I385" s="12"/>
      <c r="J385" s="12"/>
      <c r="K385" s="12"/>
      <c r="L385" s="12"/>
      <c r="M385" s="12"/>
      <c r="N385" s="12"/>
      <c r="O385" s="13"/>
      <c r="P385" s="13" t="s">
        <v>3858</v>
      </c>
      <c r="Q385" s="13"/>
      <c r="R385" s="13"/>
      <c r="S385" s="13" t="s">
        <v>3856</v>
      </c>
      <c r="T385" s="12" t="s">
        <v>94</v>
      </c>
      <c r="U385" s="12" t="s">
        <v>3857</v>
      </c>
    </row>
    <row r="386" customFormat="false" ht="31.5" hidden="false" customHeight="true" outlineLevel="0" collapsed="false">
      <c r="A386" s="12" t="n">
        <v>320</v>
      </c>
      <c r="B386" s="12" t="s">
        <v>3854</v>
      </c>
      <c r="C386" s="12" t="s">
        <v>2557</v>
      </c>
      <c r="D386" s="12" t="s">
        <v>542</v>
      </c>
      <c r="E386" s="12" t="s">
        <v>83</v>
      </c>
      <c r="F386" s="12"/>
      <c r="G386" s="12"/>
      <c r="H386" s="12"/>
      <c r="I386" s="12"/>
      <c r="J386" s="12"/>
      <c r="K386" s="12"/>
      <c r="L386" s="12"/>
      <c r="M386" s="12"/>
      <c r="N386" s="12"/>
      <c r="O386" s="13"/>
      <c r="P386" s="13" t="s">
        <v>3859</v>
      </c>
      <c r="Q386" s="13"/>
      <c r="R386" s="13" t="s">
        <v>3860</v>
      </c>
      <c r="S386" s="13" t="s">
        <v>3861</v>
      </c>
      <c r="T386" s="12" t="s">
        <v>94</v>
      </c>
      <c r="U386" s="12" t="s">
        <v>3857</v>
      </c>
    </row>
    <row r="387" customFormat="false" ht="31.5" hidden="false" customHeight="true" outlineLevel="0" collapsed="false">
      <c r="A387" s="12" t="n">
        <v>321</v>
      </c>
      <c r="B387" s="12" t="s">
        <v>803</v>
      </c>
      <c r="C387" s="12" t="s">
        <v>2521</v>
      </c>
      <c r="D387" s="12" t="s">
        <v>113</v>
      </c>
      <c r="E387" s="12" t="s">
        <v>83</v>
      </c>
      <c r="F387" s="12" t="n">
        <v>71500</v>
      </c>
      <c r="G387" s="12"/>
      <c r="H387" s="12" t="s">
        <v>805</v>
      </c>
      <c r="I387" s="12" t="n">
        <v>70000</v>
      </c>
      <c r="J387" s="12"/>
      <c r="K387" s="12"/>
      <c r="L387" s="12"/>
      <c r="M387" s="12"/>
      <c r="N387" s="12"/>
      <c r="O387" s="13"/>
      <c r="P387" s="13" t="s">
        <v>3862</v>
      </c>
      <c r="Q387" s="13"/>
      <c r="R387" s="13" t="s">
        <v>3863</v>
      </c>
      <c r="S387" s="13" t="s">
        <v>3864</v>
      </c>
      <c r="T387" s="12" t="s">
        <v>94</v>
      </c>
      <c r="U387" s="12" t="s">
        <v>814</v>
      </c>
    </row>
    <row r="388" customFormat="false" ht="31.5" hidden="false" customHeight="true" outlineLevel="0" collapsed="false">
      <c r="A388" s="12" t="n">
        <v>322</v>
      </c>
      <c r="B388" s="12" t="s">
        <v>807</v>
      </c>
      <c r="C388" s="12" t="s">
        <v>2630</v>
      </c>
      <c r="D388" s="12" t="s">
        <v>113</v>
      </c>
      <c r="E388" s="12" t="s">
        <v>83</v>
      </c>
      <c r="F388" s="12" t="n">
        <v>71514.9</v>
      </c>
      <c r="G388" s="12"/>
      <c r="H388" s="12"/>
      <c r="I388" s="12"/>
      <c r="J388" s="12" t="n">
        <v>100</v>
      </c>
      <c r="K388" s="12" t="n">
        <v>150</v>
      </c>
      <c r="L388" s="12"/>
      <c r="M388" s="12" t="n">
        <v>7.63</v>
      </c>
      <c r="N388" s="12" t="n">
        <v>71551.3</v>
      </c>
      <c r="O388" s="13" t="s">
        <v>3865</v>
      </c>
      <c r="P388" s="13" t="s">
        <v>3866</v>
      </c>
      <c r="Q388" s="13" t="s">
        <v>810</v>
      </c>
      <c r="R388" s="13"/>
      <c r="S388" s="13" t="s">
        <v>3867</v>
      </c>
      <c r="T388" s="12" t="s">
        <v>94</v>
      </c>
      <c r="U388" s="12" t="s">
        <v>3868</v>
      </c>
    </row>
    <row r="389" customFormat="false" ht="31.5" hidden="false" customHeight="true" outlineLevel="0" collapsed="false">
      <c r="A389" s="12" t="n">
        <v>323</v>
      </c>
      <c r="B389" s="12" t="s">
        <v>784</v>
      </c>
      <c r="C389" s="12" t="s">
        <v>2630</v>
      </c>
      <c r="D389" s="12" t="s">
        <v>781</v>
      </c>
      <c r="E389" s="12" t="s">
        <v>83</v>
      </c>
      <c r="F389" s="12" t="n">
        <v>0.7005</v>
      </c>
      <c r="G389" s="12"/>
      <c r="H389" s="12"/>
      <c r="I389" s="12"/>
      <c r="J389" s="12"/>
      <c r="K389" s="12" t="n">
        <v>20</v>
      </c>
      <c r="L389" s="12"/>
      <c r="M389" s="12" t="n">
        <v>35.2</v>
      </c>
      <c r="N389" s="12" t="n">
        <v>0.7128</v>
      </c>
      <c r="O389" s="13"/>
      <c r="P389" s="13" t="s">
        <v>3869</v>
      </c>
      <c r="Q389" s="13"/>
      <c r="R389" s="13"/>
      <c r="S389" s="13" t="s">
        <v>3870</v>
      </c>
      <c r="T389" s="12" t="s">
        <v>94</v>
      </c>
      <c r="U389" s="12" t="s">
        <v>3871</v>
      </c>
    </row>
    <row r="390" customFormat="false" ht="31.5" hidden="false" customHeight="true" outlineLevel="0" collapsed="false">
      <c r="A390" s="12" t="n">
        <v>324</v>
      </c>
      <c r="B390" s="12" t="s">
        <v>3872</v>
      </c>
      <c r="C390" s="12" t="s">
        <v>2557</v>
      </c>
      <c r="D390" s="12" t="s">
        <v>781</v>
      </c>
      <c r="E390" s="12" t="s">
        <v>83</v>
      </c>
      <c r="F390" s="12"/>
      <c r="G390" s="12"/>
      <c r="H390" s="12"/>
      <c r="I390" s="12"/>
      <c r="J390" s="12"/>
      <c r="K390" s="12"/>
      <c r="L390" s="12"/>
      <c r="M390" s="12"/>
      <c r="N390" s="12" t="n">
        <v>0.69</v>
      </c>
      <c r="O390" s="13"/>
      <c r="P390" s="13" t="s">
        <v>3873</v>
      </c>
      <c r="Q390" s="13"/>
      <c r="R390" s="13" t="s">
        <v>3874</v>
      </c>
      <c r="S390" s="13" t="s">
        <v>3875</v>
      </c>
      <c r="T390" s="12" t="s">
        <v>108</v>
      </c>
      <c r="U390" s="12" t="s">
        <v>3876</v>
      </c>
    </row>
    <row r="391" customFormat="false" ht="31.5" hidden="false" customHeight="true" outlineLevel="0" collapsed="false">
      <c r="A391" s="12" t="n">
        <v>325</v>
      </c>
      <c r="B391" s="12" t="s">
        <v>3877</v>
      </c>
      <c r="C391" s="12" t="s">
        <v>2557</v>
      </c>
      <c r="D391" s="12" t="s">
        <v>792</v>
      </c>
      <c r="E391" s="12" t="s">
        <v>83</v>
      </c>
      <c r="F391" s="12" t="n">
        <v>676.49</v>
      </c>
      <c r="G391" s="12"/>
      <c r="H391" s="12"/>
      <c r="I391" s="12"/>
      <c r="J391" s="12"/>
      <c r="K391" s="12" t="n">
        <v>75</v>
      </c>
      <c r="L391" s="12" t="n">
        <v>1</v>
      </c>
      <c r="M391" s="12" t="n">
        <v>193.7</v>
      </c>
      <c r="N391" s="12" t="n">
        <v>693.96</v>
      </c>
      <c r="O391" s="13"/>
      <c r="P391" s="13" t="s">
        <v>3878</v>
      </c>
      <c r="Q391" s="13"/>
      <c r="R391" s="13"/>
      <c r="S391" s="13" t="s">
        <v>3879</v>
      </c>
      <c r="T391" s="12" t="s">
        <v>94</v>
      </c>
      <c r="U391" s="12" t="s">
        <v>3880</v>
      </c>
    </row>
    <row r="392" customFormat="false" ht="31.5" hidden="false" customHeight="true" outlineLevel="0" collapsed="false">
      <c r="A392" s="12" t="n">
        <v>325</v>
      </c>
      <c r="B392" s="12" t="s">
        <v>3877</v>
      </c>
      <c r="C392" s="12" t="s">
        <v>2670</v>
      </c>
      <c r="D392" s="12" t="s">
        <v>792</v>
      </c>
      <c r="E392" s="12" t="s">
        <v>83</v>
      </c>
      <c r="F392" s="12"/>
      <c r="G392" s="12"/>
      <c r="H392" s="12" t="s">
        <v>795</v>
      </c>
      <c r="I392" s="12"/>
      <c r="J392" s="12"/>
      <c r="K392" s="12"/>
      <c r="L392" s="12"/>
      <c r="M392" s="12"/>
      <c r="N392" s="12"/>
      <c r="O392" s="13"/>
      <c r="P392" s="13" t="s">
        <v>3881</v>
      </c>
      <c r="Q392" s="13"/>
      <c r="R392" s="13"/>
      <c r="S392" s="13" t="s">
        <v>3882</v>
      </c>
      <c r="T392" s="12" t="s">
        <v>94</v>
      </c>
      <c r="U392" s="12" t="s">
        <v>3880</v>
      </c>
    </row>
    <row r="393" customFormat="false" ht="31.5" hidden="false" customHeight="true" outlineLevel="0" collapsed="false">
      <c r="A393" s="12" t="n">
        <v>326</v>
      </c>
      <c r="B393" s="12" t="s">
        <v>3883</v>
      </c>
      <c r="C393" s="12" t="s">
        <v>2581</v>
      </c>
      <c r="D393" s="12" t="s">
        <v>792</v>
      </c>
      <c r="E393" s="12" t="s">
        <v>83</v>
      </c>
      <c r="F393" s="12" t="n">
        <v>676.49</v>
      </c>
      <c r="G393" s="12"/>
      <c r="H393" s="12"/>
      <c r="I393" s="12"/>
      <c r="J393" s="12" t="n">
        <v>20</v>
      </c>
      <c r="K393" s="12" t="n">
        <v>75</v>
      </c>
      <c r="L393" s="12" t="n">
        <v>1.2</v>
      </c>
      <c r="M393" s="12" t="n">
        <v>282.56</v>
      </c>
      <c r="N393" s="12" t="n">
        <v>701.97</v>
      </c>
      <c r="O393" s="13" t="s">
        <v>3884</v>
      </c>
      <c r="P393" s="13" t="s">
        <v>3885</v>
      </c>
      <c r="Q393" s="13"/>
      <c r="R393" s="13"/>
      <c r="S393" s="13" t="s">
        <v>3886</v>
      </c>
      <c r="T393" s="12" t="s">
        <v>108</v>
      </c>
      <c r="U393" s="12" t="s">
        <v>3887</v>
      </c>
    </row>
    <row r="394" customFormat="false" ht="31.5" hidden="false" customHeight="true" outlineLevel="0" collapsed="false">
      <c r="A394" s="12" t="n">
        <v>327</v>
      </c>
      <c r="B394" s="12" t="s">
        <v>765</v>
      </c>
      <c r="C394" s="12" t="s">
        <v>2666</v>
      </c>
      <c r="D394" s="12" t="s">
        <v>542</v>
      </c>
      <c r="E394" s="12" t="s">
        <v>83</v>
      </c>
      <c r="F394" s="12" t="n">
        <v>0.0918</v>
      </c>
      <c r="G394" s="12"/>
      <c r="H394" s="12" t="s">
        <v>764</v>
      </c>
      <c r="I394" s="12"/>
      <c r="J394" s="12"/>
      <c r="K394" s="12" t="n">
        <v>75</v>
      </c>
      <c r="L394" s="12" t="n">
        <v>0.8</v>
      </c>
      <c r="M394" s="12" t="n">
        <v>318.52</v>
      </c>
      <c r="N394" s="12" t="n">
        <v>0.0958</v>
      </c>
      <c r="O394" s="13"/>
      <c r="P394" s="13" t="s">
        <v>3888</v>
      </c>
      <c r="Q394" s="13"/>
      <c r="R394" s="13"/>
      <c r="S394" s="13" t="s">
        <v>3889</v>
      </c>
      <c r="T394" s="12" t="s">
        <v>94</v>
      </c>
      <c r="U394" s="12" t="s">
        <v>3890</v>
      </c>
    </row>
    <row r="395" customFormat="false" ht="31.5" hidden="false" customHeight="true" outlineLevel="0" collapsed="false">
      <c r="A395" s="12" t="n">
        <v>328</v>
      </c>
      <c r="B395" s="12" t="s">
        <v>815</v>
      </c>
      <c r="C395" s="12" t="s">
        <v>2521</v>
      </c>
      <c r="D395" s="12" t="s">
        <v>816</v>
      </c>
      <c r="E395" s="12" t="s">
        <v>83</v>
      </c>
      <c r="F395" s="12" t="n">
        <v>0.276</v>
      </c>
      <c r="G395" s="12"/>
      <c r="H395" s="12" t="s">
        <v>818</v>
      </c>
      <c r="I395" s="12" t="n">
        <v>0.249</v>
      </c>
      <c r="J395" s="12"/>
      <c r="K395" s="12"/>
      <c r="L395" s="12"/>
      <c r="M395" s="12"/>
      <c r="N395" s="12"/>
      <c r="O395" s="13" t="s">
        <v>3891</v>
      </c>
      <c r="P395" s="13" t="s">
        <v>3892</v>
      </c>
      <c r="Q395" s="13"/>
      <c r="R395" s="13"/>
      <c r="S395" s="13" t="s">
        <v>3893</v>
      </c>
      <c r="T395" s="12" t="s">
        <v>94</v>
      </c>
      <c r="U395" s="12" t="s">
        <v>825</v>
      </c>
    </row>
    <row r="396" customFormat="false" ht="31.5" hidden="false" customHeight="true" outlineLevel="0" collapsed="false">
      <c r="A396" s="12" t="n">
        <v>329</v>
      </c>
      <c r="B396" s="12" t="s">
        <v>826</v>
      </c>
      <c r="C396" s="12" t="s">
        <v>2516</v>
      </c>
      <c r="D396" s="12" t="s">
        <v>113</v>
      </c>
      <c r="E396" s="12" t="s">
        <v>83</v>
      </c>
      <c r="F396" s="12" t="n">
        <v>69446</v>
      </c>
      <c r="G396" s="12"/>
      <c r="H396" s="12" t="s">
        <v>3894</v>
      </c>
      <c r="I396" s="12" t="n">
        <v>68000</v>
      </c>
      <c r="J396" s="12"/>
      <c r="K396" s="12"/>
      <c r="L396" s="12"/>
      <c r="M396" s="12"/>
      <c r="N396" s="12"/>
      <c r="O396" s="13" t="s">
        <v>3895</v>
      </c>
      <c r="P396" s="13" t="s">
        <v>3896</v>
      </c>
      <c r="Q396" s="13"/>
      <c r="R396" s="13"/>
      <c r="S396" s="13" t="s">
        <v>3897</v>
      </c>
      <c r="T396" s="12" t="s">
        <v>94</v>
      </c>
      <c r="U396" s="12" t="s">
        <v>836</v>
      </c>
    </row>
    <row r="397" customFormat="false" ht="31.5" hidden="false" customHeight="true" outlineLevel="0" collapsed="false">
      <c r="A397" s="12" t="n">
        <v>330</v>
      </c>
      <c r="B397" s="12" t="s">
        <v>3898</v>
      </c>
      <c r="C397" s="12" t="s">
        <v>2581</v>
      </c>
      <c r="D397" s="12" t="s">
        <v>792</v>
      </c>
      <c r="E397" s="12" t="s">
        <v>83</v>
      </c>
      <c r="F397" s="12"/>
      <c r="G397" s="12"/>
      <c r="H397" s="12"/>
      <c r="I397" s="12"/>
      <c r="J397" s="12" t="n">
        <v>20</v>
      </c>
      <c r="K397" s="12"/>
      <c r="L397" s="12"/>
      <c r="M397" s="12"/>
      <c r="N397" s="12"/>
      <c r="O397" s="13"/>
      <c r="P397" s="13" t="s">
        <v>3899</v>
      </c>
      <c r="Q397" s="13"/>
      <c r="R397" s="13"/>
      <c r="S397" s="13" t="s">
        <v>3900</v>
      </c>
      <c r="T397" s="12" t="s">
        <v>94</v>
      </c>
      <c r="U397" s="12" t="s">
        <v>3901</v>
      </c>
    </row>
    <row r="398" customFormat="false" ht="31.5" hidden="false" customHeight="true" outlineLevel="0" collapsed="false">
      <c r="A398" s="12" t="n">
        <v>331</v>
      </c>
      <c r="B398" s="12" t="s">
        <v>830</v>
      </c>
      <c r="C398" s="12" t="s">
        <v>2521</v>
      </c>
      <c r="D398" s="12" t="s">
        <v>113</v>
      </c>
      <c r="E398" s="12" t="s">
        <v>83</v>
      </c>
      <c r="F398" s="12" t="n">
        <v>69300</v>
      </c>
      <c r="G398" s="12"/>
      <c r="H398" s="12" t="s">
        <v>828</v>
      </c>
      <c r="I398" s="12" t="n">
        <v>66500</v>
      </c>
      <c r="J398" s="12"/>
      <c r="K398" s="12"/>
      <c r="L398" s="12"/>
      <c r="M398" s="12"/>
      <c r="N398" s="12"/>
      <c r="O398" s="13"/>
      <c r="P398" s="13" t="s">
        <v>3902</v>
      </c>
      <c r="Q398" s="13"/>
      <c r="R398" s="13"/>
      <c r="S398" s="13" t="s">
        <v>3903</v>
      </c>
      <c r="T398" s="12" t="s">
        <v>94</v>
      </c>
      <c r="U398" s="12" t="s">
        <v>3904</v>
      </c>
    </row>
    <row r="399" customFormat="false" ht="31.5" hidden="false" customHeight="true" outlineLevel="0" collapsed="false">
      <c r="A399" s="12" t="n">
        <v>332</v>
      </c>
      <c r="B399" s="12" t="s">
        <v>3905</v>
      </c>
      <c r="C399" s="12" t="s">
        <v>2549</v>
      </c>
      <c r="D399" s="12" t="s">
        <v>113</v>
      </c>
      <c r="E399" s="12" t="s">
        <v>83</v>
      </c>
      <c r="F399" s="12" t="n">
        <v>69400</v>
      </c>
      <c r="G399" s="12"/>
      <c r="H399" s="12"/>
      <c r="I399" s="12"/>
      <c r="J399" s="12"/>
      <c r="K399" s="12"/>
      <c r="L399" s="12"/>
      <c r="M399" s="12"/>
      <c r="N399" s="12"/>
      <c r="O399" s="13"/>
      <c r="P399" s="13" t="s">
        <v>3906</v>
      </c>
      <c r="Q399" s="13"/>
      <c r="R399" s="13"/>
      <c r="S399" s="13" t="s">
        <v>3907</v>
      </c>
      <c r="T399" s="12" t="s">
        <v>108</v>
      </c>
      <c r="U399" s="12" t="s">
        <v>3908</v>
      </c>
    </row>
    <row r="400" customFormat="false" ht="31.5" hidden="false" customHeight="true" outlineLevel="0" collapsed="false">
      <c r="A400" s="12" t="n">
        <v>333</v>
      </c>
      <c r="B400" s="12" t="s">
        <v>837</v>
      </c>
      <c r="C400" s="12" t="s">
        <v>2521</v>
      </c>
      <c r="D400" s="12" t="s">
        <v>838</v>
      </c>
      <c r="E400" s="12" t="s">
        <v>83</v>
      </c>
      <c r="F400" s="12" t="n">
        <v>0.067</v>
      </c>
      <c r="G400" s="12"/>
      <c r="H400" s="12" t="s">
        <v>840</v>
      </c>
      <c r="I400" s="12" t="n">
        <v>0.0632</v>
      </c>
      <c r="J400" s="12"/>
      <c r="K400" s="12"/>
      <c r="L400" s="12"/>
      <c r="M400" s="12"/>
      <c r="N400" s="12"/>
      <c r="O400" s="13"/>
      <c r="P400" s="13" t="s">
        <v>3909</v>
      </c>
      <c r="Q400" s="13"/>
      <c r="R400" s="13"/>
      <c r="S400" s="13" t="s">
        <v>3910</v>
      </c>
      <c r="T400" s="12" t="s">
        <v>94</v>
      </c>
      <c r="U400" s="12" t="s">
        <v>848</v>
      </c>
    </row>
    <row r="401" customFormat="false" ht="31.5" hidden="false" customHeight="true" outlineLevel="0" collapsed="false">
      <c r="A401" s="12" t="n">
        <v>334</v>
      </c>
      <c r="B401" s="12" t="s">
        <v>3911</v>
      </c>
      <c r="C401" s="12" t="s">
        <v>2506</v>
      </c>
      <c r="D401" s="12"/>
      <c r="E401" s="12"/>
      <c r="F401" s="12"/>
      <c r="G401" s="12"/>
      <c r="H401" s="12"/>
      <c r="I401" s="12"/>
      <c r="J401" s="12"/>
      <c r="K401" s="12"/>
      <c r="L401" s="12" t="n">
        <v>10</v>
      </c>
      <c r="M401" s="12"/>
      <c r="N401" s="12"/>
      <c r="O401" s="13" t="s">
        <v>3912</v>
      </c>
      <c r="P401" s="13" t="s">
        <v>3913</v>
      </c>
      <c r="Q401" s="13"/>
      <c r="R401" s="13" t="s">
        <v>3914</v>
      </c>
      <c r="S401" s="13" t="s">
        <v>3915</v>
      </c>
      <c r="T401" s="12" t="s">
        <v>94</v>
      </c>
      <c r="U401" s="12" t="s">
        <v>3916</v>
      </c>
    </row>
    <row r="402" customFormat="false" ht="31.5" hidden="false" customHeight="true" outlineLevel="0" collapsed="false">
      <c r="A402" s="12" t="n">
        <v>335</v>
      </c>
      <c r="B402" s="12" t="s">
        <v>3917</v>
      </c>
      <c r="C402" s="12" t="s">
        <v>2511</v>
      </c>
      <c r="D402" s="12"/>
      <c r="E402" s="12"/>
      <c r="F402" s="12"/>
      <c r="G402" s="12"/>
      <c r="H402" s="12"/>
      <c r="I402" s="12"/>
      <c r="J402" s="12"/>
      <c r="K402" s="12"/>
      <c r="L402" s="12"/>
      <c r="M402" s="12"/>
      <c r="N402" s="12"/>
      <c r="O402" s="13"/>
      <c r="P402" s="13" t="s">
        <v>3918</v>
      </c>
      <c r="Q402" s="13"/>
      <c r="R402" s="13"/>
      <c r="S402" s="13" t="s">
        <v>3919</v>
      </c>
      <c r="T402" s="12" t="s">
        <v>94</v>
      </c>
      <c r="U402" s="12" t="s">
        <v>3920</v>
      </c>
    </row>
    <row r="403" customFormat="false" ht="31.5" hidden="false" customHeight="true" outlineLevel="0" collapsed="false">
      <c r="A403" s="12" t="n">
        <v>335</v>
      </c>
      <c r="B403" s="12" t="s">
        <v>3917</v>
      </c>
      <c r="C403" s="12" t="s">
        <v>2564</v>
      </c>
      <c r="D403" s="12" t="s">
        <v>317</v>
      </c>
      <c r="E403" s="12" t="s">
        <v>83</v>
      </c>
      <c r="F403" s="12"/>
      <c r="G403" s="12"/>
      <c r="H403" s="12"/>
      <c r="I403" s="12"/>
      <c r="J403" s="12"/>
      <c r="K403" s="12"/>
      <c r="L403" s="12"/>
      <c r="M403" s="12"/>
      <c r="N403" s="12"/>
      <c r="O403" s="13"/>
      <c r="P403" s="13" t="s">
        <v>3921</v>
      </c>
      <c r="Q403" s="13"/>
      <c r="R403" s="13"/>
      <c r="S403" s="13" t="s">
        <v>3922</v>
      </c>
      <c r="T403" s="12" t="s">
        <v>108</v>
      </c>
      <c r="U403" s="12" t="s">
        <v>3920</v>
      </c>
    </row>
    <row r="404" customFormat="false" ht="31.5" hidden="false" customHeight="true" outlineLevel="0" collapsed="false">
      <c r="A404" s="12" t="n">
        <v>336</v>
      </c>
      <c r="B404" s="12" t="s">
        <v>849</v>
      </c>
      <c r="C404" s="12" t="s">
        <v>2527</v>
      </c>
      <c r="D404" s="12" t="s">
        <v>754</v>
      </c>
      <c r="E404" s="12"/>
      <c r="F404" s="12"/>
      <c r="G404" s="12"/>
      <c r="H404" s="12"/>
      <c r="I404" s="12"/>
      <c r="J404" s="12"/>
      <c r="K404" s="12"/>
      <c r="L404" s="12"/>
      <c r="M404" s="12"/>
      <c r="N404" s="12"/>
      <c r="O404" s="13"/>
      <c r="P404" s="13" t="s">
        <v>3923</v>
      </c>
      <c r="Q404" s="13"/>
      <c r="R404" s="13" t="s">
        <v>3924</v>
      </c>
      <c r="S404" s="13" t="s">
        <v>3925</v>
      </c>
      <c r="T404" s="12" t="s">
        <v>94</v>
      </c>
      <c r="U404" s="12" t="s">
        <v>861</v>
      </c>
    </row>
    <row r="405" customFormat="false" ht="31.5" hidden="false" customHeight="true" outlineLevel="0" collapsed="false">
      <c r="A405" s="12" t="n">
        <v>337</v>
      </c>
      <c r="B405" s="12" t="s">
        <v>3926</v>
      </c>
      <c r="C405" s="12" t="s">
        <v>2516</v>
      </c>
      <c r="D405" s="12" t="s">
        <v>838</v>
      </c>
      <c r="E405" s="12" t="s">
        <v>83</v>
      </c>
      <c r="F405" s="12"/>
      <c r="G405" s="12"/>
      <c r="H405" s="12"/>
      <c r="I405" s="12"/>
      <c r="J405" s="12"/>
      <c r="K405" s="12"/>
      <c r="L405" s="12"/>
      <c r="M405" s="12"/>
      <c r="N405" s="12"/>
      <c r="O405" s="13"/>
      <c r="P405" s="13" t="s">
        <v>3927</v>
      </c>
      <c r="Q405" s="13" t="s">
        <v>3928</v>
      </c>
      <c r="R405" s="13"/>
      <c r="S405" s="13" t="s">
        <v>3929</v>
      </c>
      <c r="T405" s="12" t="s">
        <v>94</v>
      </c>
      <c r="U405" s="12" t="s">
        <v>3930</v>
      </c>
    </row>
    <row r="406" customFormat="false" ht="31.5" hidden="false" customHeight="true" outlineLevel="0" collapsed="false">
      <c r="A406" s="12" t="n">
        <v>338</v>
      </c>
      <c r="B406" s="12" t="s">
        <v>3931</v>
      </c>
      <c r="C406" s="12" t="s">
        <v>2588</v>
      </c>
      <c r="D406" s="12" t="s">
        <v>838</v>
      </c>
      <c r="E406" s="12" t="s">
        <v>83</v>
      </c>
      <c r="F406" s="12"/>
      <c r="G406" s="12"/>
      <c r="H406" s="12"/>
      <c r="I406" s="12" t="n">
        <v>0.0627</v>
      </c>
      <c r="J406" s="12"/>
      <c r="K406" s="12"/>
      <c r="L406" s="12"/>
      <c r="M406" s="12"/>
      <c r="N406" s="12"/>
      <c r="O406" s="13" t="s">
        <v>3932</v>
      </c>
      <c r="P406" s="13" t="s">
        <v>3933</v>
      </c>
      <c r="Q406" s="13"/>
      <c r="R406" s="13"/>
      <c r="S406" s="13" t="s">
        <v>3934</v>
      </c>
      <c r="T406" s="12" t="s">
        <v>108</v>
      </c>
      <c r="U406" s="12" t="s">
        <v>3935</v>
      </c>
    </row>
    <row r="407" customFormat="false" ht="31.5" hidden="false" customHeight="true" outlineLevel="0" collapsed="false">
      <c r="A407" s="12" t="n">
        <v>339</v>
      </c>
      <c r="B407" s="12" t="s">
        <v>853</v>
      </c>
      <c r="C407" s="12" t="s">
        <v>2521</v>
      </c>
      <c r="D407" s="12" t="s">
        <v>754</v>
      </c>
      <c r="E407" s="12" t="s">
        <v>83</v>
      </c>
      <c r="F407" s="12" t="n">
        <v>2.64</v>
      </c>
      <c r="G407" s="12"/>
      <c r="H407" s="12" t="s">
        <v>851</v>
      </c>
      <c r="I407" s="12" t="n">
        <v>2.43</v>
      </c>
      <c r="J407" s="12"/>
      <c r="K407" s="12"/>
      <c r="L407" s="12"/>
      <c r="M407" s="12"/>
      <c r="N407" s="12" t="n">
        <v>2.64</v>
      </c>
      <c r="O407" s="13"/>
      <c r="P407" s="13" t="s">
        <v>3936</v>
      </c>
      <c r="Q407" s="13" t="s">
        <v>857</v>
      </c>
      <c r="R407" s="13"/>
      <c r="S407" s="13" t="s">
        <v>3937</v>
      </c>
      <c r="T407" s="12" t="s">
        <v>94</v>
      </c>
      <c r="U407" s="12" t="s">
        <v>3938</v>
      </c>
    </row>
    <row r="408" customFormat="false" ht="31.5" hidden="false" customHeight="true" outlineLevel="0" collapsed="false">
      <c r="A408" s="12" t="n">
        <v>341</v>
      </c>
      <c r="B408" s="12" t="s">
        <v>3939</v>
      </c>
      <c r="C408" s="12" t="s">
        <v>2564</v>
      </c>
      <c r="D408" s="12"/>
      <c r="E408" s="12" t="s">
        <v>83</v>
      </c>
      <c r="F408" s="12"/>
      <c r="G408" s="12"/>
      <c r="H408" s="12"/>
      <c r="I408" s="12"/>
      <c r="J408" s="12"/>
      <c r="K408" s="12"/>
      <c r="L408" s="12"/>
      <c r="M408" s="12"/>
      <c r="N408" s="12"/>
      <c r="O408" s="13"/>
      <c r="P408" s="13" t="s">
        <v>3940</v>
      </c>
      <c r="Q408" s="13"/>
      <c r="R408" s="13" t="s">
        <v>3941</v>
      </c>
      <c r="S408" s="13" t="s">
        <v>3942</v>
      </c>
      <c r="T408" s="12" t="s">
        <v>108</v>
      </c>
      <c r="U408" s="12" t="s">
        <v>3943</v>
      </c>
    </row>
    <row r="409" customFormat="false" ht="31.5" hidden="false" customHeight="true" outlineLevel="0" collapsed="false">
      <c r="A409" s="12" t="n">
        <v>341</v>
      </c>
      <c r="B409" s="12" t="s">
        <v>3939</v>
      </c>
      <c r="C409" s="12" t="s">
        <v>2511</v>
      </c>
      <c r="D409" s="12"/>
      <c r="E409" s="12"/>
      <c r="F409" s="12"/>
      <c r="G409" s="12"/>
      <c r="H409" s="12"/>
      <c r="I409" s="12"/>
      <c r="J409" s="12"/>
      <c r="K409" s="12"/>
      <c r="L409" s="12" t="n">
        <v>-3</v>
      </c>
      <c r="M409" s="12"/>
      <c r="N409" s="12"/>
      <c r="O409" s="13"/>
      <c r="P409" s="13" t="s">
        <v>3944</v>
      </c>
      <c r="Q409" s="13"/>
      <c r="R409" s="13"/>
      <c r="S409" s="13" t="s">
        <v>3945</v>
      </c>
      <c r="T409" s="12" t="s">
        <v>94</v>
      </c>
      <c r="U409" s="12" t="s">
        <v>3943</v>
      </c>
    </row>
    <row r="410" customFormat="false" ht="31.5" hidden="false" customHeight="true" outlineLevel="0" collapsed="false">
      <c r="A410" s="12" t="n">
        <v>342</v>
      </c>
      <c r="B410" s="12" t="s">
        <v>3946</v>
      </c>
      <c r="C410" s="12" t="s">
        <v>2581</v>
      </c>
      <c r="D410" s="12" t="s">
        <v>754</v>
      </c>
      <c r="E410" s="12" t="s">
        <v>83</v>
      </c>
      <c r="F410" s="12" t="n">
        <v>2.643</v>
      </c>
      <c r="G410" s="12"/>
      <c r="H410" s="12"/>
      <c r="I410" s="12"/>
      <c r="J410" s="12" t="n">
        <v>50</v>
      </c>
      <c r="K410" s="12" t="n">
        <v>75</v>
      </c>
      <c r="L410" s="12" t="n">
        <v>1</v>
      </c>
      <c r="M410" s="12" t="n">
        <v>574.24</v>
      </c>
      <c r="N410" s="12" t="n">
        <v>2.845</v>
      </c>
      <c r="O410" s="13"/>
      <c r="P410" s="13" t="s">
        <v>3947</v>
      </c>
      <c r="Q410" s="13"/>
      <c r="R410" s="13"/>
      <c r="S410" s="13" t="s">
        <v>3948</v>
      </c>
      <c r="T410" s="12" t="s">
        <v>94</v>
      </c>
      <c r="U410" s="12" t="s">
        <v>3949</v>
      </c>
    </row>
    <row r="411" customFormat="false" ht="31.5" hidden="false" customHeight="true" outlineLevel="0" collapsed="false">
      <c r="A411" s="12" t="n">
        <v>342</v>
      </c>
      <c r="B411" s="12" t="s">
        <v>3946</v>
      </c>
      <c r="C411" s="12" t="s">
        <v>2670</v>
      </c>
      <c r="D411" s="12" t="s">
        <v>754</v>
      </c>
      <c r="E411" s="12" t="s">
        <v>83</v>
      </c>
      <c r="F411" s="12"/>
      <c r="G411" s="12"/>
      <c r="H411" s="12" t="s">
        <v>3950</v>
      </c>
      <c r="I411" s="12"/>
      <c r="J411" s="12"/>
      <c r="K411" s="12"/>
      <c r="L411" s="12"/>
      <c r="M411" s="12"/>
      <c r="N411" s="12"/>
      <c r="O411" s="13"/>
      <c r="P411" s="13" t="s">
        <v>3951</v>
      </c>
      <c r="Q411" s="13"/>
      <c r="R411" s="13"/>
      <c r="S411" s="13" t="s">
        <v>3952</v>
      </c>
      <c r="T411" s="12" t="s">
        <v>94</v>
      </c>
      <c r="U411" s="12" t="s">
        <v>3949</v>
      </c>
    </row>
    <row r="412" customFormat="false" ht="31.5" hidden="false" customHeight="true" outlineLevel="0" collapsed="false">
      <c r="A412" s="12" t="n">
        <v>343</v>
      </c>
      <c r="B412" s="12" t="s">
        <v>862</v>
      </c>
      <c r="C412" s="12" t="s">
        <v>2521</v>
      </c>
      <c r="D412" s="12" t="s">
        <v>113</v>
      </c>
      <c r="E412" s="12" t="s">
        <v>83</v>
      </c>
      <c r="F412" s="12" t="n">
        <v>67300</v>
      </c>
      <c r="G412" s="12"/>
      <c r="H412" s="12" t="s">
        <v>865</v>
      </c>
      <c r="I412" s="12" t="n">
        <v>64400</v>
      </c>
      <c r="J412" s="12"/>
      <c r="K412" s="12"/>
      <c r="L412" s="12"/>
      <c r="M412" s="12"/>
      <c r="N412" s="12"/>
      <c r="O412" s="13"/>
      <c r="P412" s="13" t="s">
        <v>3953</v>
      </c>
      <c r="Q412" s="13" t="s">
        <v>191</v>
      </c>
      <c r="R412" s="13"/>
      <c r="S412" s="13" t="s">
        <v>3954</v>
      </c>
      <c r="T412" s="12" t="s">
        <v>94</v>
      </c>
      <c r="U412" s="12" t="s">
        <v>876</v>
      </c>
    </row>
    <row r="413" customFormat="false" ht="31.5" hidden="false" customHeight="true" outlineLevel="0" collapsed="false">
      <c r="A413" s="12" t="n">
        <v>344</v>
      </c>
      <c r="B413" s="12" t="s">
        <v>3955</v>
      </c>
      <c r="C413" s="12" t="s">
        <v>2537</v>
      </c>
      <c r="D413" s="12" t="s">
        <v>113</v>
      </c>
      <c r="E413" s="12" t="s">
        <v>83</v>
      </c>
      <c r="F413" s="12"/>
      <c r="G413" s="12" t="n">
        <v>66550</v>
      </c>
      <c r="H413" s="12"/>
      <c r="I413" s="12"/>
      <c r="J413" s="12" t="n">
        <v>50</v>
      </c>
      <c r="K413" s="12"/>
      <c r="L413" s="12"/>
      <c r="M413" s="12"/>
      <c r="N413" s="12"/>
      <c r="O413" s="13"/>
      <c r="P413" s="13" t="s">
        <v>3956</v>
      </c>
      <c r="Q413" s="13"/>
      <c r="R413" s="13"/>
      <c r="S413" s="13" t="s">
        <v>3957</v>
      </c>
      <c r="T413" s="12" t="s">
        <v>94</v>
      </c>
      <c r="U413" s="12" t="s">
        <v>3958</v>
      </c>
    </row>
    <row r="414" customFormat="false" ht="31.5" hidden="false" customHeight="true" outlineLevel="0" collapsed="false">
      <c r="A414" s="12" t="n">
        <v>344</v>
      </c>
      <c r="B414" s="12" t="s">
        <v>3955</v>
      </c>
      <c r="C414" s="12" t="s">
        <v>2618</v>
      </c>
      <c r="D414" s="12" t="s">
        <v>113</v>
      </c>
      <c r="E414" s="12" t="s">
        <v>83</v>
      </c>
      <c r="F414" s="12"/>
      <c r="G414" s="12"/>
      <c r="H414" s="12" t="s">
        <v>868</v>
      </c>
      <c r="I414" s="12"/>
      <c r="J414" s="12"/>
      <c r="K414" s="12"/>
      <c r="L414" s="12"/>
      <c r="M414" s="12"/>
      <c r="N414" s="12"/>
      <c r="O414" s="13"/>
      <c r="P414" s="13" t="s">
        <v>3959</v>
      </c>
      <c r="Q414" s="13"/>
      <c r="R414" s="13"/>
      <c r="S414" s="13" t="s">
        <v>3960</v>
      </c>
      <c r="T414" s="12" t="s">
        <v>94</v>
      </c>
      <c r="U414" s="12" t="s">
        <v>3958</v>
      </c>
    </row>
    <row r="415" customFormat="false" ht="31.5" hidden="false" customHeight="true" outlineLevel="0" collapsed="false">
      <c r="A415" s="12" t="n">
        <v>344</v>
      </c>
      <c r="B415" s="12" t="s">
        <v>3955</v>
      </c>
      <c r="C415" s="12" t="s">
        <v>2588</v>
      </c>
      <c r="D415" s="12" t="s">
        <v>113</v>
      </c>
      <c r="E415" s="12" t="s">
        <v>83</v>
      </c>
      <c r="F415" s="12"/>
      <c r="G415" s="12"/>
      <c r="H415" s="12"/>
      <c r="I415" s="12" t="n">
        <v>65300</v>
      </c>
      <c r="J415" s="12"/>
      <c r="K415" s="12"/>
      <c r="L415" s="12"/>
      <c r="M415" s="12"/>
      <c r="N415" s="12"/>
      <c r="O415" s="13"/>
      <c r="P415" s="13" t="s">
        <v>3961</v>
      </c>
      <c r="Q415" s="13"/>
      <c r="R415" s="13"/>
      <c r="S415" s="13" t="s">
        <v>3962</v>
      </c>
      <c r="T415" s="12" t="s">
        <v>94</v>
      </c>
      <c r="U415" s="12" t="s">
        <v>3958</v>
      </c>
    </row>
    <row r="416" customFormat="false" ht="31.5" hidden="false" customHeight="true" outlineLevel="0" collapsed="false">
      <c r="A416" s="12" t="n">
        <v>345</v>
      </c>
      <c r="B416" s="12" t="s">
        <v>3963</v>
      </c>
      <c r="C416" s="12" t="s">
        <v>2557</v>
      </c>
      <c r="D416" s="12" t="s">
        <v>113</v>
      </c>
      <c r="E416" s="12" t="s">
        <v>83</v>
      </c>
      <c r="F416" s="12"/>
      <c r="G416" s="12"/>
      <c r="H416" s="12"/>
      <c r="I416" s="12"/>
      <c r="J416" s="12"/>
      <c r="K416" s="12"/>
      <c r="L416" s="12"/>
      <c r="M416" s="12"/>
      <c r="N416" s="12"/>
      <c r="O416" s="13"/>
      <c r="P416" s="13" t="s">
        <v>3964</v>
      </c>
      <c r="Q416" s="13"/>
      <c r="R416" s="13"/>
      <c r="S416" s="13" t="s">
        <v>3965</v>
      </c>
      <c r="T416" s="12" t="s">
        <v>108</v>
      </c>
      <c r="U416" s="12" t="s">
        <v>3966</v>
      </c>
    </row>
    <row r="417" customFormat="false" ht="31.5" hidden="false" customHeight="true" outlineLevel="0" collapsed="false">
      <c r="A417" s="12" t="n">
        <v>346</v>
      </c>
      <c r="B417" s="12" t="s">
        <v>3967</v>
      </c>
      <c r="C417" s="12" t="s">
        <v>2557</v>
      </c>
      <c r="D417" s="12" t="s">
        <v>113</v>
      </c>
      <c r="E417" s="12" t="s">
        <v>83</v>
      </c>
      <c r="F417" s="12"/>
      <c r="G417" s="12"/>
      <c r="H417" s="12"/>
      <c r="I417" s="12"/>
      <c r="J417" s="12"/>
      <c r="K417" s="12"/>
      <c r="L417" s="12"/>
      <c r="M417" s="12"/>
      <c r="N417" s="12"/>
      <c r="O417" s="13"/>
      <c r="P417" s="13" t="s">
        <v>3968</v>
      </c>
      <c r="Q417" s="13"/>
      <c r="R417" s="13"/>
      <c r="S417" s="13" t="s">
        <v>2628</v>
      </c>
      <c r="T417" s="12" t="s">
        <v>108</v>
      </c>
      <c r="U417" s="12" t="s">
        <v>3969</v>
      </c>
    </row>
    <row r="418" customFormat="false" ht="31.5" hidden="false" customHeight="true" outlineLevel="0" collapsed="false">
      <c r="A418" s="12" t="n">
        <v>347</v>
      </c>
      <c r="B418" s="12" t="s">
        <v>854</v>
      </c>
      <c r="C418" s="12" t="s">
        <v>2630</v>
      </c>
      <c r="D418" s="12" t="s">
        <v>754</v>
      </c>
      <c r="E418" s="12" t="s">
        <v>83</v>
      </c>
      <c r="F418" s="12" t="n">
        <v>2.643</v>
      </c>
      <c r="G418" s="12"/>
      <c r="H418" s="12"/>
      <c r="I418" s="12"/>
      <c r="J418" s="12" t="n">
        <v>100</v>
      </c>
      <c r="K418" s="12" t="n">
        <v>75</v>
      </c>
      <c r="L418" s="12"/>
      <c r="M418" s="12" t="n">
        <v>720.77</v>
      </c>
      <c r="N418" s="12" t="n">
        <v>2.897</v>
      </c>
      <c r="O418" s="13"/>
      <c r="P418" s="13" t="s">
        <v>3970</v>
      </c>
      <c r="Q418" s="13"/>
      <c r="R418" s="13"/>
      <c r="S418" s="13" t="s">
        <v>3971</v>
      </c>
      <c r="T418" s="12" t="s">
        <v>94</v>
      </c>
      <c r="U418" s="12" t="s">
        <v>3972</v>
      </c>
    </row>
    <row r="419" customFormat="false" ht="31.5" hidden="false" customHeight="true" outlineLevel="0" collapsed="false">
      <c r="A419" s="12" t="n">
        <v>349</v>
      </c>
      <c r="B419" s="12" t="s">
        <v>3973</v>
      </c>
      <c r="C419" s="12" t="s">
        <v>2557</v>
      </c>
      <c r="D419" s="12" t="s">
        <v>754</v>
      </c>
      <c r="E419" s="12" t="s">
        <v>83</v>
      </c>
      <c r="F419" s="12"/>
      <c r="G419" s="12"/>
      <c r="H419" s="12"/>
      <c r="I419" s="12"/>
      <c r="J419" s="12"/>
      <c r="K419" s="12"/>
      <c r="L419" s="12" t="n">
        <v>1.6</v>
      </c>
      <c r="M419" s="12"/>
      <c r="N419" s="12"/>
      <c r="O419" s="13"/>
      <c r="P419" s="13" t="s">
        <v>3974</v>
      </c>
      <c r="Q419" s="13"/>
      <c r="R419" s="13"/>
      <c r="S419" s="13" t="s">
        <v>3975</v>
      </c>
      <c r="T419" s="12" t="s">
        <v>108</v>
      </c>
      <c r="U419" s="12" t="s">
        <v>3976</v>
      </c>
    </row>
    <row r="420" customFormat="false" ht="31.5" hidden="false" customHeight="true" outlineLevel="0" collapsed="false">
      <c r="A420" s="12" t="n">
        <v>350</v>
      </c>
      <c r="B420" s="12" t="s">
        <v>877</v>
      </c>
      <c r="C420" s="12" t="s">
        <v>2521</v>
      </c>
      <c r="D420" s="12" t="s">
        <v>878</v>
      </c>
      <c r="E420" s="12" t="s">
        <v>259</v>
      </c>
      <c r="F420" s="12" t="n">
        <v>21.53</v>
      </c>
      <c r="G420" s="12"/>
      <c r="H420" s="12" t="s">
        <v>879</v>
      </c>
      <c r="I420" s="12" t="n">
        <v>23.56</v>
      </c>
      <c r="J420" s="12"/>
      <c r="K420" s="12"/>
      <c r="L420" s="12" t="n">
        <v>2</v>
      </c>
      <c r="M420" s="12"/>
      <c r="N420" s="12"/>
      <c r="O420" s="13" t="s">
        <v>880</v>
      </c>
      <c r="P420" s="13" t="s">
        <v>3977</v>
      </c>
      <c r="Q420" s="13"/>
      <c r="R420" s="13"/>
      <c r="S420" s="13" t="s">
        <v>3978</v>
      </c>
      <c r="T420" s="12" t="s">
        <v>94</v>
      </c>
      <c r="U420" s="12" t="s">
        <v>889</v>
      </c>
    </row>
    <row r="421" customFormat="false" ht="31.5" hidden="false" customHeight="true" outlineLevel="0" collapsed="false">
      <c r="A421" s="12" t="n">
        <v>351</v>
      </c>
      <c r="B421" s="12" t="s">
        <v>890</v>
      </c>
      <c r="C421" s="12" t="s">
        <v>2521</v>
      </c>
      <c r="D421" s="12" t="s">
        <v>142</v>
      </c>
      <c r="E421" s="12" t="s">
        <v>259</v>
      </c>
      <c r="F421" s="12" t="n">
        <v>4474</v>
      </c>
      <c r="G421" s="12"/>
      <c r="H421" s="12" t="s">
        <v>893</v>
      </c>
      <c r="I421" s="12" t="n">
        <v>4491</v>
      </c>
      <c r="J421" s="12"/>
      <c r="K421" s="12"/>
      <c r="L421" s="12"/>
      <c r="M421" s="12"/>
      <c r="N421" s="12"/>
      <c r="O421" s="13" t="s">
        <v>3979</v>
      </c>
      <c r="P421" s="13" t="s">
        <v>3980</v>
      </c>
      <c r="Q421" s="13"/>
      <c r="R421" s="13"/>
      <c r="S421" s="13" t="s">
        <v>3981</v>
      </c>
      <c r="T421" s="12" t="s">
        <v>94</v>
      </c>
      <c r="U421" s="12" t="s">
        <v>900</v>
      </c>
    </row>
    <row r="422" customFormat="false" ht="31.5" hidden="false" customHeight="true" outlineLevel="0" collapsed="false">
      <c r="A422" s="12" t="n">
        <v>352</v>
      </c>
      <c r="B422" s="12" t="s">
        <v>895</v>
      </c>
      <c r="C422" s="12" t="s">
        <v>2630</v>
      </c>
      <c r="D422" s="12" t="s">
        <v>142</v>
      </c>
      <c r="E422" s="12" t="s">
        <v>259</v>
      </c>
      <c r="F422" s="12"/>
      <c r="G422" s="12"/>
      <c r="H422" s="12"/>
      <c r="I422" s="12"/>
      <c r="J422" s="12"/>
      <c r="K422" s="12"/>
      <c r="L422" s="12" t="n">
        <v>2.5</v>
      </c>
      <c r="M422" s="12"/>
      <c r="N422" s="12"/>
      <c r="O422" s="13"/>
      <c r="P422" s="13" t="s">
        <v>3982</v>
      </c>
      <c r="Q422" s="13"/>
      <c r="R422" s="13"/>
      <c r="S422" s="13" t="s">
        <v>3983</v>
      </c>
      <c r="T422" s="12" t="s">
        <v>108</v>
      </c>
      <c r="U422" s="12" t="s">
        <v>3984</v>
      </c>
    </row>
    <row r="423" customFormat="false" ht="31.5" hidden="false" customHeight="true" outlineLevel="0" collapsed="false">
      <c r="A423" s="12" t="n">
        <v>353</v>
      </c>
      <c r="B423" s="12" t="s">
        <v>901</v>
      </c>
      <c r="C423" s="12" t="s">
        <v>2521</v>
      </c>
      <c r="D423" s="12" t="s">
        <v>142</v>
      </c>
      <c r="E423" s="12" t="s">
        <v>259</v>
      </c>
      <c r="F423" s="12" t="n">
        <v>4452</v>
      </c>
      <c r="G423" s="12"/>
      <c r="H423" s="12" t="s">
        <v>903</v>
      </c>
      <c r="I423" s="12" t="n">
        <v>4468</v>
      </c>
      <c r="J423" s="12"/>
      <c r="K423" s="12"/>
      <c r="L423" s="12"/>
      <c r="M423" s="12"/>
      <c r="N423" s="12"/>
      <c r="O423" s="13" t="s">
        <v>3985</v>
      </c>
      <c r="P423" s="13" t="s">
        <v>3986</v>
      </c>
      <c r="Q423" s="13"/>
      <c r="R423" s="13"/>
      <c r="S423" s="13" t="s">
        <v>3987</v>
      </c>
      <c r="T423" s="12" t="s">
        <v>94</v>
      </c>
      <c r="U423" s="12" t="s">
        <v>911</v>
      </c>
    </row>
    <row r="424" customFormat="false" ht="31.5" hidden="false" customHeight="true" outlineLevel="0" collapsed="false">
      <c r="A424" s="12" t="n">
        <v>354</v>
      </c>
      <c r="B424" s="12" t="s">
        <v>3988</v>
      </c>
      <c r="C424" s="12" t="s">
        <v>2581</v>
      </c>
      <c r="D424" s="12" t="s">
        <v>878</v>
      </c>
      <c r="E424" s="12" t="s">
        <v>259</v>
      </c>
      <c r="F424" s="12" t="n">
        <v>21.506</v>
      </c>
      <c r="G424" s="12"/>
      <c r="H424" s="12"/>
      <c r="I424" s="12"/>
      <c r="J424" s="12" t="n">
        <v>30</v>
      </c>
      <c r="K424" s="12" t="n">
        <v>50</v>
      </c>
      <c r="L424" s="12" t="n">
        <v>1.1</v>
      </c>
      <c r="M424" s="12" t="n">
        <v>457.11</v>
      </c>
      <c r="N424" s="12" t="n">
        <v>19.54</v>
      </c>
      <c r="O424" s="13" t="s">
        <v>3989</v>
      </c>
      <c r="P424" s="13" t="s">
        <v>3990</v>
      </c>
      <c r="Q424" s="13"/>
      <c r="R424" s="13"/>
      <c r="S424" s="13" t="s">
        <v>3991</v>
      </c>
      <c r="T424" s="12" t="s">
        <v>94</v>
      </c>
      <c r="U424" s="12" t="s">
        <v>3992</v>
      </c>
    </row>
    <row r="425" customFormat="false" ht="31.5" hidden="false" customHeight="true" outlineLevel="0" collapsed="false">
      <c r="A425" s="12" t="n">
        <v>355</v>
      </c>
      <c r="B425" s="12" t="s">
        <v>3993</v>
      </c>
      <c r="C425" s="12" t="s">
        <v>2588</v>
      </c>
      <c r="D425" s="12" t="s">
        <v>113</v>
      </c>
      <c r="E425" s="12" t="s">
        <v>83</v>
      </c>
      <c r="F425" s="12"/>
      <c r="G425" s="12"/>
      <c r="H425" s="12"/>
      <c r="I425" s="12" t="n">
        <v>65000</v>
      </c>
      <c r="J425" s="12"/>
      <c r="K425" s="12"/>
      <c r="L425" s="12"/>
      <c r="M425" s="12"/>
      <c r="N425" s="12"/>
      <c r="O425" s="13"/>
      <c r="P425" s="13" t="s">
        <v>3994</v>
      </c>
      <c r="Q425" s="13"/>
      <c r="R425" s="13"/>
      <c r="S425" s="13" t="s">
        <v>3995</v>
      </c>
      <c r="T425" s="12" t="s">
        <v>94</v>
      </c>
      <c r="U425" s="12" t="s">
        <v>3996</v>
      </c>
    </row>
    <row r="426" customFormat="false" ht="31.5" hidden="false" customHeight="true" outlineLevel="0" collapsed="false">
      <c r="A426" s="12" t="n">
        <v>355</v>
      </c>
      <c r="B426" s="12" t="s">
        <v>3993</v>
      </c>
      <c r="C426" s="12" t="s">
        <v>2618</v>
      </c>
      <c r="D426" s="12" t="s">
        <v>878</v>
      </c>
      <c r="E426" s="12" t="s">
        <v>259</v>
      </c>
      <c r="F426" s="12" t="n">
        <v>21.506</v>
      </c>
      <c r="G426" s="12"/>
      <c r="H426" s="12" t="s">
        <v>881</v>
      </c>
      <c r="I426" s="12"/>
      <c r="J426" s="12"/>
      <c r="K426" s="12" t="n">
        <v>50</v>
      </c>
      <c r="L426" s="12" t="n">
        <v>1.6</v>
      </c>
      <c r="M426" s="12" t="n">
        <v>671.43</v>
      </c>
      <c r="N426" s="12" t="n">
        <v>18.618</v>
      </c>
      <c r="O426" s="13"/>
      <c r="P426" s="13" t="s">
        <v>3997</v>
      </c>
      <c r="Q426" s="13"/>
      <c r="R426" s="13"/>
      <c r="S426" s="13" t="s">
        <v>3998</v>
      </c>
      <c r="T426" s="12" t="s">
        <v>94</v>
      </c>
      <c r="U426" s="12" t="s">
        <v>3996</v>
      </c>
    </row>
    <row r="427" customFormat="false" ht="31.5" hidden="false" customHeight="true" outlineLevel="0" collapsed="false">
      <c r="A427" s="12" t="n">
        <v>355</v>
      </c>
      <c r="B427" s="12" t="s">
        <v>3993</v>
      </c>
      <c r="C427" s="12" t="s">
        <v>2557</v>
      </c>
      <c r="D427" s="12" t="s">
        <v>142</v>
      </c>
      <c r="E427" s="12" t="s">
        <v>259</v>
      </c>
      <c r="F427" s="12"/>
      <c r="G427" s="12"/>
      <c r="H427" s="12"/>
      <c r="I427" s="12"/>
      <c r="J427" s="12"/>
      <c r="K427" s="12"/>
      <c r="L427" s="12" t="n">
        <v>1</v>
      </c>
      <c r="M427" s="12"/>
      <c r="N427" s="12"/>
      <c r="O427" s="13"/>
      <c r="P427" s="13" t="s">
        <v>3999</v>
      </c>
      <c r="Q427" s="13"/>
      <c r="R427" s="13"/>
      <c r="S427" s="13" t="s">
        <v>4000</v>
      </c>
      <c r="T427" s="12" t="s">
        <v>94</v>
      </c>
      <c r="U427" s="12" t="s">
        <v>3996</v>
      </c>
    </row>
    <row r="428" customFormat="false" ht="31.5" hidden="false" customHeight="true" outlineLevel="0" collapsed="false">
      <c r="A428" s="12" t="n">
        <v>356</v>
      </c>
      <c r="B428" s="12" t="s">
        <v>882</v>
      </c>
      <c r="C428" s="12" t="s">
        <v>2630</v>
      </c>
      <c r="D428" s="12" t="s">
        <v>878</v>
      </c>
      <c r="E428" s="12" t="s">
        <v>259</v>
      </c>
      <c r="F428" s="12" t="n">
        <v>21.506</v>
      </c>
      <c r="G428" s="12"/>
      <c r="H428" s="12"/>
      <c r="I428" s="12"/>
      <c r="J428" s="12" t="n">
        <v>100</v>
      </c>
      <c r="K428" s="12" t="n">
        <v>50</v>
      </c>
      <c r="L428" s="12" t="n">
        <v>1.6</v>
      </c>
      <c r="M428" s="12" t="n">
        <v>692.03</v>
      </c>
      <c r="N428" s="12" t="n">
        <v>18.53</v>
      </c>
      <c r="O428" s="13"/>
      <c r="P428" s="13" t="s">
        <v>4001</v>
      </c>
      <c r="Q428" s="13"/>
      <c r="R428" s="13"/>
      <c r="S428" s="13" t="s">
        <v>4002</v>
      </c>
      <c r="T428" s="12" t="s">
        <v>94</v>
      </c>
      <c r="U428" s="12" t="s">
        <v>4003</v>
      </c>
    </row>
    <row r="429" customFormat="false" ht="31.5" hidden="false" customHeight="true" outlineLevel="0" collapsed="false">
      <c r="A429" s="12" t="n">
        <v>357</v>
      </c>
      <c r="B429" s="12" t="s">
        <v>4004</v>
      </c>
      <c r="C429" s="12" t="s">
        <v>2527</v>
      </c>
      <c r="D429" s="12" t="s">
        <v>878</v>
      </c>
      <c r="E429" s="12" t="s">
        <v>259</v>
      </c>
      <c r="F429" s="12"/>
      <c r="G429" s="12"/>
      <c r="H429" s="12"/>
      <c r="I429" s="12"/>
      <c r="J429" s="12"/>
      <c r="K429" s="12"/>
      <c r="L429" s="12"/>
      <c r="M429" s="12"/>
      <c r="N429" s="12"/>
      <c r="O429" s="13"/>
      <c r="P429" s="13" t="s">
        <v>4005</v>
      </c>
      <c r="Q429" s="13" t="s">
        <v>885</v>
      </c>
      <c r="R429" s="13" t="s">
        <v>4006</v>
      </c>
      <c r="S429" s="13" t="s">
        <v>4007</v>
      </c>
      <c r="T429" s="12" t="s">
        <v>94</v>
      </c>
      <c r="U429" s="12" t="s">
        <v>4008</v>
      </c>
    </row>
    <row r="430" customFormat="false" ht="31.5" hidden="false" customHeight="true" outlineLevel="0" collapsed="false">
      <c r="A430" s="12" t="n">
        <v>358</v>
      </c>
      <c r="B430" s="12" t="s">
        <v>4009</v>
      </c>
      <c r="C430" s="12" t="s">
        <v>2581</v>
      </c>
      <c r="D430" s="12" t="s">
        <v>142</v>
      </c>
      <c r="E430" s="12" t="s">
        <v>259</v>
      </c>
      <c r="F430" s="12"/>
      <c r="G430" s="12"/>
      <c r="H430" s="12"/>
      <c r="I430" s="12"/>
      <c r="J430" s="12"/>
      <c r="K430" s="12"/>
      <c r="L430" s="12" t="n">
        <v>1</v>
      </c>
      <c r="M430" s="12"/>
      <c r="N430" s="12"/>
      <c r="O430" s="13"/>
      <c r="P430" s="13" t="s">
        <v>4010</v>
      </c>
      <c r="Q430" s="13"/>
      <c r="R430" s="13"/>
      <c r="S430" s="13" t="s">
        <v>4011</v>
      </c>
      <c r="T430" s="12" t="s">
        <v>94</v>
      </c>
      <c r="U430" s="12" t="s">
        <v>4012</v>
      </c>
    </row>
    <row r="431" customFormat="false" ht="31.5" hidden="false" customHeight="true" outlineLevel="0" collapsed="false">
      <c r="A431" s="12" t="n">
        <v>358</v>
      </c>
      <c r="B431" s="12" t="s">
        <v>4009</v>
      </c>
      <c r="C431" s="12" t="s">
        <v>2588</v>
      </c>
      <c r="D431" s="12" t="s">
        <v>142</v>
      </c>
      <c r="E431" s="12" t="s">
        <v>259</v>
      </c>
      <c r="F431" s="12" t="n">
        <v>4452</v>
      </c>
      <c r="G431" s="12"/>
      <c r="H431" s="12"/>
      <c r="I431" s="12" t="n">
        <v>4452</v>
      </c>
      <c r="J431" s="12"/>
      <c r="K431" s="12"/>
      <c r="L431" s="12"/>
      <c r="M431" s="12"/>
      <c r="N431" s="12"/>
      <c r="O431" s="13"/>
      <c r="P431" s="13" t="s">
        <v>4013</v>
      </c>
      <c r="Q431" s="13"/>
      <c r="R431" s="13"/>
      <c r="S431" s="13" t="s">
        <v>4014</v>
      </c>
      <c r="T431" s="12" t="s">
        <v>108</v>
      </c>
      <c r="U431" s="12" t="s">
        <v>4012</v>
      </c>
    </row>
    <row r="432" customFormat="false" ht="31.5" hidden="false" customHeight="true" outlineLevel="0" collapsed="false">
      <c r="A432" s="12" t="n">
        <v>359</v>
      </c>
      <c r="B432" s="12" t="s">
        <v>4015</v>
      </c>
      <c r="C432" s="12" t="s">
        <v>2557</v>
      </c>
      <c r="D432" s="12" t="s">
        <v>142</v>
      </c>
      <c r="E432" s="12" t="s">
        <v>259</v>
      </c>
      <c r="F432" s="12"/>
      <c r="G432" s="12"/>
      <c r="H432" s="12"/>
      <c r="I432" s="12"/>
      <c r="J432" s="12"/>
      <c r="K432" s="12"/>
      <c r="L432" s="12"/>
      <c r="M432" s="12"/>
      <c r="N432" s="12"/>
      <c r="O432" s="13"/>
      <c r="P432" s="13" t="s">
        <v>4016</v>
      </c>
      <c r="Q432" s="13"/>
      <c r="R432" s="13"/>
      <c r="S432" s="13" t="s">
        <v>4017</v>
      </c>
      <c r="T432" s="12" t="s">
        <v>94</v>
      </c>
      <c r="U432" s="12" t="s">
        <v>4018</v>
      </c>
    </row>
    <row r="433" customFormat="false" ht="31.5" hidden="false" customHeight="true" outlineLevel="0" collapsed="false">
      <c r="A433" s="12" t="n">
        <v>360</v>
      </c>
      <c r="B433" s="12" t="s">
        <v>4019</v>
      </c>
      <c r="C433" s="12" t="s">
        <v>2506</v>
      </c>
      <c r="D433" s="12"/>
      <c r="E433" s="12"/>
      <c r="F433" s="12"/>
      <c r="G433" s="12"/>
      <c r="H433" s="12"/>
      <c r="I433" s="12"/>
      <c r="J433" s="12"/>
      <c r="K433" s="12"/>
      <c r="L433" s="12"/>
      <c r="M433" s="12"/>
      <c r="N433" s="12"/>
      <c r="O433" s="13"/>
      <c r="P433" s="13" t="s">
        <v>4020</v>
      </c>
      <c r="Q433" s="13"/>
      <c r="R433" s="13"/>
      <c r="S433" s="13" t="s">
        <v>4021</v>
      </c>
      <c r="T433" s="12" t="s">
        <v>94</v>
      </c>
      <c r="U433" s="12" t="s">
        <v>4022</v>
      </c>
    </row>
    <row r="434" customFormat="false" ht="31.5" hidden="false" customHeight="true" outlineLevel="0" collapsed="false">
      <c r="A434" s="12" t="n">
        <v>360</v>
      </c>
      <c r="B434" s="12" t="s">
        <v>4019</v>
      </c>
      <c r="C434" s="12" t="s">
        <v>2666</v>
      </c>
      <c r="D434" s="12" t="s">
        <v>878</v>
      </c>
      <c r="E434" s="12" t="s">
        <v>259</v>
      </c>
      <c r="F434" s="12"/>
      <c r="G434" s="12"/>
      <c r="H434" s="12" t="s">
        <v>881</v>
      </c>
      <c r="I434" s="12"/>
      <c r="J434" s="12"/>
      <c r="K434" s="12"/>
      <c r="L434" s="12"/>
      <c r="M434" s="12"/>
      <c r="N434" s="12" t="n">
        <v>17.464</v>
      </c>
      <c r="O434" s="13"/>
      <c r="P434" s="13" t="s">
        <v>4023</v>
      </c>
      <c r="Q434" s="13"/>
      <c r="R434" s="13"/>
      <c r="S434" s="13" t="s">
        <v>4024</v>
      </c>
      <c r="T434" s="12" t="s">
        <v>94</v>
      </c>
      <c r="U434" s="12" t="s">
        <v>4022</v>
      </c>
    </row>
    <row r="435" customFormat="false" ht="31.5" hidden="false" customHeight="true" outlineLevel="0" collapsed="false">
      <c r="A435" s="12" t="n">
        <v>361</v>
      </c>
      <c r="B435" s="12" t="s">
        <v>912</v>
      </c>
      <c r="C435" s="12" t="s">
        <v>2521</v>
      </c>
      <c r="D435" s="12" t="s">
        <v>913</v>
      </c>
      <c r="E435" s="12" t="s">
        <v>83</v>
      </c>
      <c r="F435" s="12" t="n">
        <v>0.038</v>
      </c>
      <c r="G435" s="12"/>
      <c r="H435" s="12" t="s">
        <v>915</v>
      </c>
      <c r="I435" s="12" t="n">
        <v>0.034</v>
      </c>
      <c r="J435" s="12"/>
      <c r="K435" s="12"/>
      <c r="L435" s="12" t="n">
        <v>0.5</v>
      </c>
      <c r="M435" s="12"/>
      <c r="N435" s="12"/>
      <c r="O435" s="13"/>
      <c r="P435" s="13" t="s">
        <v>4025</v>
      </c>
      <c r="Q435" s="13"/>
      <c r="R435" s="13"/>
      <c r="S435" s="13" t="s">
        <v>4026</v>
      </c>
      <c r="T435" s="12" t="s">
        <v>94</v>
      </c>
      <c r="U435" s="12" t="s">
        <v>922</v>
      </c>
    </row>
    <row r="436" customFormat="false" ht="31.5" hidden="false" customHeight="true" outlineLevel="0" collapsed="false">
      <c r="A436" s="12" t="n">
        <v>362</v>
      </c>
      <c r="B436" s="12" t="s">
        <v>4027</v>
      </c>
      <c r="C436" s="12" t="s">
        <v>2581</v>
      </c>
      <c r="D436" s="12" t="s">
        <v>913</v>
      </c>
      <c r="E436" s="12" t="s">
        <v>83</v>
      </c>
      <c r="F436" s="12"/>
      <c r="G436" s="12"/>
      <c r="H436" s="12"/>
      <c r="I436" s="12"/>
      <c r="J436" s="12" t="n">
        <v>30</v>
      </c>
      <c r="K436" s="12"/>
      <c r="L436" s="12" t="n">
        <v>0.5</v>
      </c>
      <c r="M436" s="12"/>
      <c r="N436" s="12" t="n">
        <v>0.04</v>
      </c>
      <c r="O436" s="13"/>
      <c r="P436" s="13" t="s">
        <v>4028</v>
      </c>
      <c r="Q436" s="13"/>
      <c r="R436" s="13"/>
      <c r="S436" s="13" t="s">
        <v>4029</v>
      </c>
      <c r="T436" s="12" t="s">
        <v>108</v>
      </c>
      <c r="U436" s="12" t="s">
        <v>4030</v>
      </c>
    </row>
    <row r="437" customFormat="false" ht="31.5" hidden="false" customHeight="true" outlineLevel="0" collapsed="false">
      <c r="A437" s="12" t="n">
        <v>363</v>
      </c>
      <c r="B437" s="12" t="s">
        <v>4031</v>
      </c>
      <c r="C437" s="12" t="s">
        <v>2630</v>
      </c>
      <c r="D437" s="12" t="s">
        <v>913</v>
      </c>
      <c r="E437" s="12" t="s">
        <v>83</v>
      </c>
      <c r="F437" s="12"/>
      <c r="G437" s="12"/>
      <c r="H437" s="12"/>
      <c r="I437" s="12"/>
      <c r="J437" s="12" t="n">
        <v>100</v>
      </c>
      <c r="K437" s="12"/>
      <c r="L437" s="12" t="n">
        <v>0.5</v>
      </c>
      <c r="M437" s="12"/>
      <c r="N437" s="12"/>
      <c r="O437" s="13"/>
      <c r="P437" s="13" t="s">
        <v>4032</v>
      </c>
      <c r="Q437" s="13"/>
      <c r="R437" s="13"/>
      <c r="S437" s="13" t="s">
        <v>4033</v>
      </c>
      <c r="T437" s="12" t="s">
        <v>108</v>
      </c>
      <c r="U437" s="12" t="s">
        <v>4034</v>
      </c>
    </row>
    <row r="438" customFormat="false" ht="31.5" hidden="false" customHeight="true" outlineLevel="0" collapsed="false">
      <c r="A438" s="12" t="n">
        <v>364</v>
      </c>
      <c r="B438" s="12" t="s">
        <v>4035</v>
      </c>
      <c r="C438" s="12" t="s">
        <v>2588</v>
      </c>
      <c r="D438" s="12" t="s">
        <v>113</v>
      </c>
      <c r="E438" s="12" t="s">
        <v>83</v>
      </c>
      <c r="F438" s="12"/>
      <c r="G438" s="12"/>
      <c r="H438" s="12"/>
      <c r="I438" s="12" t="n">
        <v>64600</v>
      </c>
      <c r="J438" s="12"/>
      <c r="K438" s="12"/>
      <c r="L438" s="12"/>
      <c r="M438" s="12"/>
      <c r="N438" s="12"/>
      <c r="O438" s="13" t="s">
        <v>4036</v>
      </c>
      <c r="P438" s="13" t="s">
        <v>4037</v>
      </c>
      <c r="Q438" s="13" t="s">
        <v>4038</v>
      </c>
      <c r="R438" s="13"/>
      <c r="S438" s="13" t="s">
        <v>4039</v>
      </c>
      <c r="T438" s="12" t="s">
        <v>108</v>
      </c>
      <c r="U438" s="12" t="s">
        <v>4040</v>
      </c>
    </row>
    <row r="439" customFormat="false" ht="31.5" hidden="false" customHeight="true" outlineLevel="0" collapsed="false">
      <c r="A439" s="12" t="n">
        <v>365</v>
      </c>
      <c r="B439" s="12" t="s">
        <v>4041</v>
      </c>
      <c r="C439" s="12" t="s">
        <v>2809</v>
      </c>
      <c r="D439" s="12" t="s">
        <v>113</v>
      </c>
      <c r="E439" s="12" t="s">
        <v>83</v>
      </c>
      <c r="F439" s="12"/>
      <c r="G439" s="12"/>
      <c r="H439" s="12"/>
      <c r="I439" s="12"/>
      <c r="J439" s="12"/>
      <c r="K439" s="12"/>
      <c r="L439" s="12"/>
      <c r="M439" s="12"/>
      <c r="N439" s="12"/>
      <c r="O439" s="13" t="s">
        <v>4042</v>
      </c>
      <c r="P439" s="13" t="s">
        <v>4043</v>
      </c>
      <c r="Q439" s="13" t="s">
        <v>4044</v>
      </c>
      <c r="R439" s="13"/>
      <c r="S439" s="13" t="s">
        <v>4045</v>
      </c>
      <c r="T439" s="12" t="s">
        <v>108</v>
      </c>
      <c r="U439" s="12" t="s">
        <v>4046</v>
      </c>
    </row>
    <row r="440" customFormat="false" ht="31.5" hidden="false" customHeight="true" outlineLevel="0" collapsed="false">
      <c r="A440" s="12" t="n">
        <v>366</v>
      </c>
      <c r="B440" s="12" t="s">
        <v>906</v>
      </c>
      <c r="C440" s="12" t="s">
        <v>2630</v>
      </c>
      <c r="D440" s="12" t="s">
        <v>142</v>
      </c>
      <c r="E440" s="12" t="s">
        <v>259</v>
      </c>
      <c r="F440" s="12"/>
      <c r="G440" s="12"/>
      <c r="H440" s="12"/>
      <c r="I440" s="12"/>
      <c r="J440" s="12" t="n">
        <v>100</v>
      </c>
      <c r="K440" s="12"/>
      <c r="L440" s="12" t="n">
        <v>1</v>
      </c>
      <c r="M440" s="12"/>
      <c r="N440" s="12"/>
      <c r="O440" s="13"/>
      <c r="P440" s="13" t="s">
        <v>4047</v>
      </c>
      <c r="Q440" s="13"/>
      <c r="R440" s="13"/>
      <c r="S440" s="13" t="s">
        <v>4048</v>
      </c>
      <c r="T440" s="12" t="s">
        <v>94</v>
      </c>
      <c r="U440" s="12" t="s">
        <v>4049</v>
      </c>
    </row>
    <row r="441" customFormat="false" ht="31.5" hidden="false" customHeight="true" outlineLevel="0" collapsed="false">
      <c r="A441" s="12" t="n">
        <v>367</v>
      </c>
      <c r="B441" s="12" t="s">
        <v>4050</v>
      </c>
      <c r="C441" s="12" t="s">
        <v>2557</v>
      </c>
      <c r="D441" s="12" t="s">
        <v>913</v>
      </c>
      <c r="E441" s="12" t="s">
        <v>83</v>
      </c>
      <c r="F441" s="12"/>
      <c r="G441" s="12"/>
      <c r="H441" s="12"/>
      <c r="I441" s="12"/>
      <c r="J441" s="12"/>
      <c r="K441" s="12"/>
      <c r="L441" s="12" t="n">
        <v>0.5</v>
      </c>
      <c r="M441" s="12"/>
      <c r="N441" s="12"/>
      <c r="O441" s="13" t="s">
        <v>4051</v>
      </c>
      <c r="P441" s="13" t="s">
        <v>4052</v>
      </c>
      <c r="Q441" s="13"/>
      <c r="R441" s="13"/>
      <c r="S441" s="13" t="s">
        <v>4053</v>
      </c>
      <c r="T441" s="12" t="s">
        <v>94</v>
      </c>
      <c r="U441" s="12" t="s">
        <v>4054</v>
      </c>
    </row>
    <row r="442" customFormat="false" ht="31.5" hidden="false" customHeight="true" outlineLevel="0" collapsed="false">
      <c r="A442" s="12" t="n">
        <v>368</v>
      </c>
      <c r="B442" s="12" t="s">
        <v>869</v>
      </c>
      <c r="C442" s="12" t="s">
        <v>2564</v>
      </c>
      <c r="D442" s="12" t="s">
        <v>113</v>
      </c>
      <c r="E442" s="12" t="s">
        <v>83</v>
      </c>
      <c r="F442" s="12"/>
      <c r="G442" s="12"/>
      <c r="H442" s="12"/>
      <c r="I442" s="12" t="n">
        <v>64600</v>
      </c>
      <c r="J442" s="12" t="n">
        <v>100</v>
      </c>
      <c r="K442" s="12"/>
      <c r="L442" s="12"/>
      <c r="M442" s="12"/>
      <c r="N442" s="12"/>
      <c r="O442" s="13"/>
      <c r="P442" s="13" t="s">
        <v>4055</v>
      </c>
      <c r="Q442" s="13" t="s">
        <v>4038</v>
      </c>
      <c r="R442" s="13"/>
      <c r="S442" s="13" t="s">
        <v>4056</v>
      </c>
      <c r="T442" s="12" t="s">
        <v>108</v>
      </c>
      <c r="U442" s="12" t="s">
        <v>4057</v>
      </c>
    </row>
    <row r="443" customFormat="false" ht="31.5" hidden="false" customHeight="true" outlineLevel="0" collapsed="false">
      <c r="A443" s="12" t="n">
        <v>368</v>
      </c>
      <c r="B443" s="12" t="s">
        <v>869</v>
      </c>
      <c r="C443" s="12" t="s">
        <v>2588</v>
      </c>
      <c r="D443" s="12" t="s">
        <v>113</v>
      </c>
      <c r="E443" s="12" t="s">
        <v>83</v>
      </c>
      <c r="F443" s="12"/>
      <c r="G443" s="12"/>
      <c r="H443" s="12"/>
      <c r="I443" s="12" t="n">
        <v>63000</v>
      </c>
      <c r="J443" s="12"/>
      <c r="K443" s="12"/>
      <c r="L443" s="12"/>
      <c r="M443" s="12"/>
      <c r="N443" s="12"/>
      <c r="O443" s="13"/>
      <c r="P443" s="13" t="s">
        <v>4058</v>
      </c>
      <c r="Q443" s="13"/>
      <c r="R443" s="13"/>
      <c r="S443" s="13" t="s">
        <v>4059</v>
      </c>
      <c r="T443" s="12" t="s">
        <v>94</v>
      </c>
      <c r="U443" s="12" t="s">
        <v>4057</v>
      </c>
    </row>
    <row r="444" customFormat="false" ht="31.5" hidden="false" customHeight="true" outlineLevel="0" collapsed="false">
      <c r="A444" s="12" t="n">
        <v>369</v>
      </c>
      <c r="B444" s="12" t="s">
        <v>923</v>
      </c>
      <c r="C444" s="12" t="s">
        <v>2549</v>
      </c>
      <c r="D444" s="12" t="s">
        <v>113</v>
      </c>
      <c r="E444" s="12" t="s">
        <v>83</v>
      </c>
      <c r="F444" s="12" t="n">
        <v>62800</v>
      </c>
      <c r="G444" s="12"/>
      <c r="H444" s="12"/>
      <c r="I444" s="12" t="n">
        <v>60000</v>
      </c>
      <c r="J444" s="12"/>
      <c r="K444" s="12"/>
      <c r="L444" s="12"/>
      <c r="M444" s="12"/>
      <c r="N444" s="12"/>
      <c r="O444" s="13"/>
      <c r="P444" s="13" t="s">
        <v>4060</v>
      </c>
      <c r="Q444" s="13"/>
      <c r="R444" s="13"/>
      <c r="S444" s="13" t="s">
        <v>4061</v>
      </c>
      <c r="T444" s="12" t="s">
        <v>94</v>
      </c>
      <c r="U444" s="12" t="s">
        <v>932</v>
      </c>
    </row>
    <row r="445" customFormat="false" ht="31.5" hidden="false" customHeight="true" outlineLevel="0" collapsed="false">
      <c r="A445" s="12" t="n">
        <v>370</v>
      </c>
      <c r="B445" s="12" t="s">
        <v>926</v>
      </c>
      <c r="C445" s="12" t="s">
        <v>2630</v>
      </c>
      <c r="D445" s="12" t="s">
        <v>113</v>
      </c>
      <c r="E445" s="12" t="s">
        <v>83</v>
      </c>
      <c r="F445" s="12" t="n">
        <v>63094.1</v>
      </c>
      <c r="G445" s="12"/>
      <c r="H445" s="12"/>
      <c r="I445" s="12"/>
      <c r="J445" s="12" t="n">
        <v>100</v>
      </c>
      <c r="K445" s="12" t="n">
        <v>250</v>
      </c>
      <c r="L445" s="12" t="n">
        <v>0.5</v>
      </c>
      <c r="M445" s="12" t="n">
        <v>363.26</v>
      </c>
      <c r="N445" s="12" t="n">
        <v>64082.2</v>
      </c>
      <c r="O445" s="13" t="s">
        <v>4062</v>
      </c>
      <c r="P445" s="13" t="s">
        <v>4063</v>
      </c>
      <c r="Q445" s="13"/>
      <c r="R445" s="13"/>
      <c r="S445" s="13" t="s">
        <v>4064</v>
      </c>
      <c r="T445" s="12" t="s">
        <v>94</v>
      </c>
      <c r="U445" s="12" t="s">
        <v>4065</v>
      </c>
    </row>
    <row r="446" customFormat="false" ht="31.5" hidden="false" customHeight="true" outlineLevel="0" collapsed="false">
      <c r="A446" s="12" t="n">
        <v>371</v>
      </c>
      <c r="B446" s="12" t="s">
        <v>933</v>
      </c>
      <c r="C446" s="12" t="s">
        <v>2549</v>
      </c>
      <c r="D446" s="12" t="s">
        <v>113</v>
      </c>
      <c r="E446" s="12" t="s">
        <v>83</v>
      </c>
      <c r="F446" s="12" t="n">
        <v>62800</v>
      </c>
      <c r="G446" s="12"/>
      <c r="H446" s="12"/>
      <c r="I446" s="12"/>
      <c r="J446" s="12"/>
      <c r="K446" s="12"/>
      <c r="L446" s="12"/>
      <c r="M446" s="12"/>
      <c r="N446" s="12"/>
      <c r="O446" s="13"/>
      <c r="P446" s="13" t="s">
        <v>4066</v>
      </c>
      <c r="Q446" s="13"/>
      <c r="R446" s="13"/>
      <c r="S446" s="13" t="s">
        <v>4067</v>
      </c>
      <c r="T446" s="12" t="s">
        <v>94</v>
      </c>
      <c r="U446" s="12" t="s">
        <v>943</v>
      </c>
    </row>
    <row r="447" customFormat="false" ht="31.5" hidden="false" customHeight="true" outlineLevel="0" collapsed="false">
      <c r="A447" s="12" t="n">
        <v>372</v>
      </c>
      <c r="B447" s="12" t="s">
        <v>4068</v>
      </c>
      <c r="C447" s="12" t="s">
        <v>2809</v>
      </c>
      <c r="D447" s="12" t="s">
        <v>113</v>
      </c>
      <c r="E447" s="12" t="s">
        <v>83</v>
      </c>
      <c r="F447" s="12"/>
      <c r="G447" s="12"/>
      <c r="H447" s="12"/>
      <c r="I447" s="12" t="n">
        <v>59000</v>
      </c>
      <c r="J447" s="12"/>
      <c r="K447" s="12"/>
      <c r="L447" s="12"/>
      <c r="M447" s="12"/>
      <c r="N447" s="12"/>
      <c r="O447" s="13"/>
      <c r="P447" s="13" t="s">
        <v>4069</v>
      </c>
      <c r="Q447" s="13"/>
      <c r="R447" s="13"/>
      <c r="S447" s="13" t="s">
        <v>4070</v>
      </c>
      <c r="T447" s="12" t="s">
        <v>108</v>
      </c>
      <c r="U447" s="12" t="s">
        <v>4071</v>
      </c>
    </row>
    <row r="448" customFormat="false" ht="31.5" hidden="false" customHeight="true" outlineLevel="0" collapsed="false">
      <c r="A448" s="12" t="n">
        <v>373</v>
      </c>
      <c r="B448" s="12" t="s">
        <v>4072</v>
      </c>
      <c r="C448" s="12" t="s">
        <v>2537</v>
      </c>
      <c r="D448" s="12" t="s">
        <v>113</v>
      </c>
      <c r="E448" s="12" t="s">
        <v>83</v>
      </c>
      <c r="F448" s="12"/>
      <c r="G448" s="12"/>
      <c r="H448" s="12"/>
      <c r="I448" s="12"/>
      <c r="J448" s="12" t="n">
        <v>50</v>
      </c>
      <c r="K448" s="12"/>
      <c r="L448" s="12"/>
      <c r="M448" s="12"/>
      <c r="N448" s="12"/>
      <c r="O448" s="13" t="s">
        <v>4073</v>
      </c>
      <c r="P448" s="13" t="s">
        <v>4074</v>
      </c>
      <c r="Q448" s="13"/>
      <c r="R448" s="13"/>
      <c r="S448" s="13" t="s">
        <v>4075</v>
      </c>
      <c r="T448" s="12" t="s">
        <v>108</v>
      </c>
      <c r="U448" s="12" t="s">
        <v>4076</v>
      </c>
    </row>
    <row r="449" customFormat="false" ht="31.5" hidden="false" customHeight="true" outlineLevel="0" collapsed="false">
      <c r="A449" s="12" t="n">
        <v>374</v>
      </c>
      <c r="B449" s="12" t="s">
        <v>4077</v>
      </c>
      <c r="C449" s="12" t="s">
        <v>2521</v>
      </c>
      <c r="D449" s="12" t="s">
        <v>113</v>
      </c>
      <c r="E449" s="12" t="s">
        <v>83</v>
      </c>
      <c r="F449" s="12" t="n">
        <v>62800</v>
      </c>
      <c r="G449" s="12"/>
      <c r="H449" s="12"/>
      <c r="I449" s="12" t="n">
        <v>59000</v>
      </c>
      <c r="J449" s="12" t="n">
        <v>50</v>
      </c>
      <c r="K449" s="12"/>
      <c r="L449" s="12"/>
      <c r="M449" s="12"/>
      <c r="N449" s="12"/>
      <c r="O449" s="13" t="s">
        <v>4078</v>
      </c>
      <c r="P449" s="13" t="s">
        <v>4079</v>
      </c>
      <c r="Q449" s="13"/>
      <c r="R449" s="13"/>
      <c r="S449" s="13" t="s">
        <v>4080</v>
      </c>
      <c r="T449" s="12" t="s">
        <v>108</v>
      </c>
      <c r="U449" s="12" t="s">
        <v>4081</v>
      </c>
    </row>
    <row r="450" customFormat="false" ht="31.5" hidden="false" customHeight="true" outlineLevel="0" collapsed="false">
      <c r="A450" s="12" t="n">
        <v>375</v>
      </c>
      <c r="B450" s="12" t="s">
        <v>4082</v>
      </c>
      <c r="C450" s="12" t="s">
        <v>2537</v>
      </c>
      <c r="D450" s="12" t="s">
        <v>113</v>
      </c>
      <c r="E450" s="12" t="s">
        <v>83</v>
      </c>
      <c r="F450" s="12" t="n">
        <v>62700</v>
      </c>
      <c r="G450" s="12"/>
      <c r="H450" s="12"/>
      <c r="I450" s="12"/>
      <c r="J450" s="12" t="n">
        <v>25</v>
      </c>
      <c r="K450" s="12"/>
      <c r="L450" s="12"/>
      <c r="M450" s="12"/>
      <c r="N450" s="12"/>
      <c r="O450" s="13"/>
      <c r="P450" s="13" t="s">
        <v>4083</v>
      </c>
      <c r="Q450" s="13"/>
      <c r="R450" s="13"/>
      <c r="S450" s="13" t="s">
        <v>4084</v>
      </c>
      <c r="T450" s="12" t="s">
        <v>108</v>
      </c>
      <c r="U450" s="12" t="s">
        <v>4085</v>
      </c>
    </row>
    <row r="451" customFormat="false" ht="31.5" hidden="false" customHeight="true" outlineLevel="0" collapsed="false">
      <c r="A451" s="12" t="n">
        <v>376</v>
      </c>
      <c r="B451" s="12" t="s">
        <v>937</v>
      </c>
      <c r="C451" s="12" t="s">
        <v>2630</v>
      </c>
      <c r="D451" s="12" t="s">
        <v>113</v>
      </c>
      <c r="E451" s="12" t="s">
        <v>83</v>
      </c>
      <c r="F451" s="12"/>
      <c r="G451" s="12"/>
      <c r="H451" s="12"/>
      <c r="I451" s="12"/>
      <c r="J451" s="12" t="n">
        <v>100</v>
      </c>
      <c r="K451" s="12" t="n">
        <v>250</v>
      </c>
      <c r="L451" s="12"/>
      <c r="M451" s="12" t="n">
        <v>151.99</v>
      </c>
      <c r="N451" s="12" t="n">
        <v>63600</v>
      </c>
      <c r="O451" s="13"/>
      <c r="P451" s="13" t="s">
        <v>4086</v>
      </c>
      <c r="Q451" s="13"/>
      <c r="R451" s="13"/>
      <c r="S451" s="13" t="s">
        <v>4087</v>
      </c>
      <c r="T451" s="12" t="s">
        <v>94</v>
      </c>
      <c r="U451" s="12" t="s">
        <v>4088</v>
      </c>
    </row>
    <row r="452" customFormat="false" ht="31.5" hidden="false" customHeight="true" outlineLevel="0" collapsed="false">
      <c r="A452" s="12" t="n">
        <v>377</v>
      </c>
      <c r="B452" s="12" t="s">
        <v>4089</v>
      </c>
      <c r="C452" s="12" t="s">
        <v>2557</v>
      </c>
      <c r="D452" s="12" t="s">
        <v>113</v>
      </c>
      <c r="E452" s="12" t="s">
        <v>83</v>
      </c>
      <c r="F452" s="12" t="n">
        <v>62711.2</v>
      </c>
      <c r="G452" s="12"/>
      <c r="H452" s="12"/>
      <c r="I452" s="12"/>
      <c r="J452" s="12"/>
      <c r="K452" s="12" t="n">
        <v>141</v>
      </c>
      <c r="L452" s="12"/>
      <c r="M452" s="12" t="n">
        <v>192.56</v>
      </c>
      <c r="N452" s="12" t="n">
        <v>63567.7</v>
      </c>
      <c r="O452" s="13"/>
      <c r="P452" s="13" t="s">
        <v>4090</v>
      </c>
      <c r="Q452" s="13"/>
      <c r="R452" s="13"/>
      <c r="S452" s="13" t="s">
        <v>4091</v>
      </c>
      <c r="T452" s="12" t="s">
        <v>94</v>
      </c>
      <c r="U452" s="12" t="s">
        <v>4092</v>
      </c>
    </row>
    <row r="453" customFormat="false" ht="31.5" hidden="false" customHeight="true" outlineLevel="0" collapsed="false">
      <c r="A453" s="12" t="n">
        <v>378</v>
      </c>
      <c r="B453" s="12" t="s">
        <v>944</v>
      </c>
      <c r="C453" s="12" t="s">
        <v>2521</v>
      </c>
      <c r="D453" s="12" t="s">
        <v>878</v>
      </c>
      <c r="E453" s="12" t="s">
        <v>259</v>
      </c>
      <c r="F453" s="12" t="n">
        <v>20.63</v>
      </c>
      <c r="G453" s="12"/>
      <c r="H453" s="12" t="s">
        <v>945</v>
      </c>
      <c r="I453" s="12" t="n">
        <v>22.606</v>
      </c>
      <c r="J453" s="12"/>
      <c r="K453" s="12"/>
      <c r="L453" s="12"/>
      <c r="M453" s="12"/>
      <c r="N453" s="12"/>
      <c r="O453" s="13"/>
      <c r="P453" s="13" t="s">
        <v>4093</v>
      </c>
      <c r="Q453" s="13"/>
      <c r="R453" s="13"/>
      <c r="S453" s="13" t="s">
        <v>4094</v>
      </c>
      <c r="T453" s="12" t="s">
        <v>94</v>
      </c>
      <c r="U453" s="12" t="s">
        <v>954</v>
      </c>
    </row>
    <row r="454" customFormat="false" ht="31.5" hidden="false" customHeight="true" outlineLevel="0" collapsed="false">
      <c r="A454" s="12" t="n">
        <v>379</v>
      </c>
      <c r="B454" s="12" t="s">
        <v>4095</v>
      </c>
      <c r="C454" s="12" t="s">
        <v>2670</v>
      </c>
      <c r="D454" s="12" t="s">
        <v>878</v>
      </c>
      <c r="E454" s="12" t="s">
        <v>259</v>
      </c>
      <c r="F454" s="12"/>
      <c r="G454" s="12"/>
      <c r="H454" s="12"/>
      <c r="I454" s="12"/>
      <c r="J454" s="12"/>
      <c r="K454" s="12"/>
      <c r="L454" s="12" t="n">
        <v>2</v>
      </c>
      <c r="M454" s="12"/>
      <c r="N454" s="12"/>
      <c r="O454" s="13" t="s">
        <v>4096</v>
      </c>
      <c r="P454" s="13" t="s">
        <v>4097</v>
      </c>
      <c r="Q454" s="13"/>
      <c r="R454" s="13"/>
      <c r="S454" s="13" t="s">
        <v>4098</v>
      </c>
      <c r="T454" s="12" t="s">
        <v>108</v>
      </c>
      <c r="U454" s="12" t="s">
        <v>4099</v>
      </c>
    </row>
    <row r="455" customFormat="false" ht="31.5" hidden="false" customHeight="true" outlineLevel="0" collapsed="false">
      <c r="A455" s="12" t="n">
        <v>380</v>
      </c>
      <c r="B455" s="12" t="s">
        <v>955</v>
      </c>
      <c r="C455" s="12" t="s">
        <v>2521</v>
      </c>
      <c r="D455" s="12" t="s">
        <v>113</v>
      </c>
      <c r="E455" s="12" t="s">
        <v>83</v>
      </c>
      <c r="F455" s="12" t="n">
        <v>62300</v>
      </c>
      <c r="G455" s="12"/>
      <c r="H455" s="12"/>
      <c r="I455" s="12" t="n">
        <v>59500</v>
      </c>
      <c r="J455" s="12"/>
      <c r="K455" s="12"/>
      <c r="L455" s="12"/>
      <c r="M455" s="12"/>
      <c r="N455" s="12"/>
      <c r="O455" s="13" t="s">
        <v>4100</v>
      </c>
      <c r="P455" s="13" t="s">
        <v>4101</v>
      </c>
      <c r="Q455" s="13"/>
      <c r="R455" s="13"/>
      <c r="S455" s="13" t="s">
        <v>4102</v>
      </c>
      <c r="T455" s="12" t="s">
        <v>94</v>
      </c>
      <c r="U455" s="12" t="s">
        <v>967</v>
      </c>
    </row>
    <row r="456" customFormat="false" ht="31.5" hidden="false" customHeight="true" outlineLevel="0" collapsed="false">
      <c r="A456" s="12" t="n">
        <v>381</v>
      </c>
      <c r="B456" s="12" t="s">
        <v>4103</v>
      </c>
      <c r="C456" s="12" t="s">
        <v>2588</v>
      </c>
      <c r="D456" s="12" t="s">
        <v>113</v>
      </c>
      <c r="E456" s="12" t="s">
        <v>83</v>
      </c>
      <c r="F456" s="12"/>
      <c r="G456" s="12"/>
      <c r="H456" s="12"/>
      <c r="I456" s="12" t="n">
        <v>59000</v>
      </c>
      <c r="J456" s="12"/>
      <c r="K456" s="12"/>
      <c r="L456" s="12" t="n">
        <v>-1</v>
      </c>
      <c r="M456" s="12"/>
      <c r="N456" s="12"/>
      <c r="O456" s="13"/>
      <c r="P456" s="13" t="s">
        <v>4104</v>
      </c>
      <c r="Q456" s="13"/>
      <c r="R456" s="13"/>
      <c r="S456" s="13" t="s">
        <v>4105</v>
      </c>
      <c r="T456" s="12" t="s">
        <v>94</v>
      </c>
      <c r="U456" s="12" t="s">
        <v>4106</v>
      </c>
    </row>
    <row r="457" customFormat="false" ht="31.5" hidden="false" customHeight="true" outlineLevel="0" collapsed="false">
      <c r="A457" s="12" t="n">
        <v>382</v>
      </c>
      <c r="B457" s="12" t="s">
        <v>4107</v>
      </c>
      <c r="C457" s="12" t="s">
        <v>2537</v>
      </c>
      <c r="D457" s="12" t="s">
        <v>113</v>
      </c>
      <c r="E457" s="12" t="s">
        <v>83</v>
      </c>
      <c r="F457" s="12" t="n">
        <v>62300</v>
      </c>
      <c r="G457" s="12"/>
      <c r="H457" s="12"/>
      <c r="I457" s="12"/>
      <c r="J457" s="12" t="n">
        <v>25</v>
      </c>
      <c r="K457" s="12"/>
      <c r="L457" s="12"/>
      <c r="M457" s="12"/>
      <c r="N457" s="12"/>
      <c r="O457" s="13" t="s">
        <v>4108</v>
      </c>
      <c r="P457" s="13" t="s">
        <v>4109</v>
      </c>
      <c r="Q457" s="13" t="s">
        <v>963</v>
      </c>
      <c r="R457" s="13"/>
      <c r="S457" s="13" t="s">
        <v>4110</v>
      </c>
      <c r="T457" s="12" t="s">
        <v>94</v>
      </c>
      <c r="U457" s="12" t="s">
        <v>4111</v>
      </c>
    </row>
    <row r="458" customFormat="false" ht="31.5" hidden="false" customHeight="true" outlineLevel="0" collapsed="false">
      <c r="A458" s="12" t="n">
        <v>383</v>
      </c>
      <c r="B458" s="12" t="s">
        <v>4112</v>
      </c>
      <c r="C458" s="12" t="s">
        <v>2670</v>
      </c>
      <c r="D458" s="12" t="s">
        <v>113</v>
      </c>
      <c r="E458" s="12" t="s">
        <v>83</v>
      </c>
      <c r="F458" s="12"/>
      <c r="G458" s="12"/>
      <c r="H458" s="12" t="s">
        <v>1277</v>
      </c>
      <c r="I458" s="12"/>
      <c r="J458" s="12"/>
      <c r="K458" s="12"/>
      <c r="L458" s="12"/>
      <c r="M458" s="12"/>
      <c r="N458" s="12"/>
      <c r="O458" s="13"/>
      <c r="P458" s="13" t="s">
        <v>4113</v>
      </c>
      <c r="Q458" s="13"/>
      <c r="R458" s="13" t="s">
        <v>4114</v>
      </c>
      <c r="S458" s="13" t="s">
        <v>4115</v>
      </c>
      <c r="T458" s="12" t="s">
        <v>94</v>
      </c>
      <c r="U458" s="12" t="s">
        <v>4116</v>
      </c>
    </row>
    <row r="459" customFormat="false" ht="31.5" hidden="false" customHeight="true" outlineLevel="0" collapsed="false">
      <c r="A459" s="12" t="n">
        <v>383</v>
      </c>
      <c r="B459" s="12" t="s">
        <v>4112</v>
      </c>
      <c r="C459" s="12" t="s">
        <v>2588</v>
      </c>
      <c r="D459" s="12" t="s">
        <v>878</v>
      </c>
      <c r="E459" s="12" t="s">
        <v>259</v>
      </c>
      <c r="F459" s="12" t="n">
        <v>20.63</v>
      </c>
      <c r="G459" s="12"/>
      <c r="H459" s="12"/>
      <c r="I459" s="12" t="n">
        <v>20.63</v>
      </c>
      <c r="J459" s="12"/>
      <c r="K459" s="12"/>
      <c r="L459" s="12" t="n">
        <v>1.1</v>
      </c>
      <c r="M459" s="12"/>
      <c r="N459" s="12"/>
      <c r="O459" s="13"/>
      <c r="P459" s="13" t="s">
        <v>4117</v>
      </c>
      <c r="Q459" s="13"/>
      <c r="R459" s="13" t="s">
        <v>4118</v>
      </c>
      <c r="S459" s="13" t="s">
        <v>4119</v>
      </c>
      <c r="T459" s="12" t="s">
        <v>108</v>
      </c>
      <c r="U459" s="12" t="s">
        <v>4116</v>
      </c>
    </row>
    <row r="460" customFormat="false" ht="31.5" hidden="false" customHeight="true" outlineLevel="0" collapsed="false">
      <c r="A460" s="12" t="n">
        <v>384</v>
      </c>
      <c r="B460" s="12" t="s">
        <v>968</v>
      </c>
      <c r="C460" s="12" t="s">
        <v>2516</v>
      </c>
      <c r="D460" s="12" t="s">
        <v>113</v>
      </c>
      <c r="E460" s="12" t="s">
        <v>83</v>
      </c>
      <c r="F460" s="12" t="n">
        <v>61000</v>
      </c>
      <c r="G460" s="12" t="n">
        <v>56000</v>
      </c>
      <c r="H460" s="12"/>
      <c r="I460" s="12"/>
      <c r="J460" s="12" t="n">
        <v>40</v>
      </c>
      <c r="K460" s="12"/>
      <c r="L460" s="12"/>
      <c r="M460" s="12"/>
      <c r="N460" s="12"/>
      <c r="O460" s="13" t="s">
        <v>971</v>
      </c>
      <c r="P460" s="13" t="s">
        <v>4120</v>
      </c>
      <c r="Q460" s="13"/>
      <c r="R460" s="13"/>
      <c r="S460" s="13" t="s">
        <v>4121</v>
      </c>
      <c r="T460" s="12" t="s">
        <v>94</v>
      </c>
      <c r="U460" s="12" t="s">
        <v>977</v>
      </c>
    </row>
    <row r="461" customFormat="false" ht="31.5" hidden="false" customHeight="true" outlineLevel="0" collapsed="false">
      <c r="A461" s="12" t="n">
        <v>384</v>
      </c>
      <c r="B461" s="12" t="s">
        <v>968</v>
      </c>
      <c r="C461" s="12" t="s">
        <v>2516</v>
      </c>
      <c r="D461" s="12" t="s">
        <v>99</v>
      </c>
      <c r="E461" s="12" t="s">
        <v>83</v>
      </c>
      <c r="F461" s="12" t="n">
        <v>1578</v>
      </c>
      <c r="G461" s="12" t="n">
        <v>1370</v>
      </c>
      <c r="H461" s="12"/>
      <c r="I461" s="12"/>
      <c r="J461" s="12" t="n">
        <v>40</v>
      </c>
      <c r="K461" s="12"/>
      <c r="L461" s="12"/>
      <c r="M461" s="12"/>
      <c r="N461" s="12"/>
      <c r="O461" s="13" t="s">
        <v>971</v>
      </c>
      <c r="P461" s="13" t="s">
        <v>4122</v>
      </c>
      <c r="Q461" s="13"/>
      <c r="R461" s="13"/>
      <c r="S461" s="13" t="s">
        <v>4123</v>
      </c>
      <c r="T461" s="12" t="s">
        <v>94</v>
      </c>
      <c r="U461" s="12" t="s">
        <v>977</v>
      </c>
    </row>
    <row r="462" customFormat="false" ht="31.5" hidden="false" customHeight="true" outlineLevel="0" collapsed="false">
      <c r="A462" s="12" t="n">
        <v>384</v>
      </c>
      <c r="B462" s="12" t="s">
        <v>968</v>
      </c>
      <c r="C462" s="12" t="s">
        <v>2516</v>
      </c>
      <c r="D462" s="12" t="s">
        <v>317</v>
      </c>
      <c r="E462" s="12" t="s">
        <v>83</v>
      </c>
      <c r="F462" s="12" t="n">
        <v>63</v>
      </c>
      <c r="G462" s="12" t="n">
        <v>46</v>
      </c>
      <c r="H462" s="12"/>
      <c r="I462" s="12"/>
      <c r="J462" s="12" t="n">
        <v>40</v>
      </c>
      <c r="K462" s="12"/>
      <c r="L462" s="12"/>
      <c r="M462" s="12"/>
      <c r="N462" s="12"/>
      <c r="O462" s="13" t="s">
        <v>971</v>
      </c>
      <c r="P462" s="13" t="s">
        <v>4124</v>
      </c>
      <c r="Q462" s="13"/>
      <c r="R462" s="13"/>
      <c r="S462" s="13" t="s">
        <v>4125</v>
      </c>
      <c r="T462" s="12" t="s">
        <v>94</v>
      </c>
      <c r="U462" s="12" t="s">
        <v>977</v>
      </c>
    </row>
    <row r="463" customFormat="false" ht="31.5" hidden="false" customHeight="true" outlineLevel="0" collapsed="false">
      <c r="A463" s="12" t="n">
        <v>385</v>
      </c>
      <c r="B463" s="12" t="s">
        <v>4126</v>
      </c>
      <c r="C463" s="12" t="s">
        <v>2516</v>
      </c>
      <c r="D463" s="12" t="s">
        <v>1055</v>
      </c>
      <c r="E463" s="12" t="s">
        <v>259</v>
      </c>
      <c r="F463" s="12"/>
      <c r="G463" s="12"/>
      <c r="H463" s="12"/>
      <c r="I463" s="12"/>
      <c r="J463" s="12"/>
      <c r="K463" s="12"/>
      <c r="L463" s="12"/>
      <c r="M463" s="12"/>
      <c r="N463" s="12"/>
      <c r="O463" s="13"/>
      <c r="P463" s="13" t="s">
        <v>4127</v>
      </c>
      <c r="Q463" s="13"/>
      <c r="R463" s="13" t="s">
        <v>4128</v>
      </c>
      <c r="S463" s="13" t="s">
        <v>4129</v>
      </c>
      <c r="T463" s="12" t="s">
        <v>94</v>
      </c>
      <c r="U463" s="12" t="s">
        <v>1067</v>
      </c>
    </row>
    <row r="464" customFormat="false" ht="31.5" hidden="false" customHeight="true" outlineLevel="0" collapsed="false">
      <c r="A464" s="12" t="n">
        <v>386</v>
      </c>
      <c r="B464" s="12" t="s">
        <v>4130</v>
      </c>
      <c r="C464" s="12" t="s">
        <v>2618</v>
      </c>
      <c r="D464" s="12" t="s">
        <v>113</v>
      </c>
      <c r="E464" s="12" t="s">
        <v>83</v>
      </c>
      <c r="F464" s="12"/>
      <c r="G464" s="12"/>
      <c r="H464" s="12" t="s">
        <v>4131</v>
      </c>
      <c r="I464" s="12"/>
      <c r="J464" s="12"/>
      <c r="K464" s="12"/>
      <c r="L464" s="12"/>
      <c r="M464" s="12"/>
      <c r="N464" s="12"/>
      <c r="O464" s="13"/>
      <c r="P464" s="13" t="s">
        <v>4132</v>
      </c>
      <c r="Q464" s="13"/>
      <c r="R464" s="13"/>
      <c r="S464" s="13" t="s">
        <v>4133</v>
      </c>
      <c r="T464" s="12" t="s">
        <v>94</v>
      </c>
      <c r="U464" s="12" t="s">
        <v>4134</v>
      </c>
    </row>
    <row r="465" customFormat="false" ht="31.5" hidden="false" customHeight="true" outlineLevel="0" collapsed="false">
      <c r="A465" s="12" t="n">
        <v>386</v>
      </c>
      <c r="B465" s="12" t="s">
        <v>4130</v>
      </c>
      <c r="C465" s="12" t="s">
        <v>2618</v>
      </c>
      <c r="D465" s="12" t="s">
        <v>878</v>
      </c>
      <c r="E465" s="12" t="s">
        <v>259</v>
      </c>
      <c r="F465" s="12"/>
      <c r="G465" s="12"/>
      <c r="H465" s="12" t="s">
        <v>879</v>
      </c>
      <c r="I465" s="12"/>
      <c r="J465" s="12" t="n">
        <v>30</v>
      </c>
      <c r="K465" s="12"/>
      <c r="L465" s="12" t="n">
        <v>2</v>
      </c>
      <c r="M465" s="12"/>
      <c r="N465" s="12"/>
      <c r="O465" s="13" t="s">
        <v>4135</v>
      </c>
      <c r="P465" s="13" t="s">
        <v>4136</v>
      </c>
      <c r="Q465" s="13"/>
      <c r="R465" s="13"/>
      <c r="S465" s="13" t="s">
        <v>4137</v>
      </c>
      <c r="T465" s="12" t="s">
        <v>108</v>
      </c>
      <c r="U465" s="12" t="s">
        <v>4134</v>
      </c>
    </row>
    <row r="466" customFormat="false" ht="31.5" hidden="false" customHeight="true" outlineLevel="0" collapsed="false">
      <c r="A466" s="12" t="n">
        <v>387</v>
      </c>
      <c r="B466" s="12" t="s">
        <v>960</v>
      </c>
      <c r="C466" s="12" t="s">
        <v>2630</v>
      </c>
      <c r="D466" s="12" t="s">
        <v>113</v>
      </c>
      <c r="E466" s="12" t="s">
        <v>83</v>
      </c>
      <c r="F466" s="12"/>
      <c r="G466" s="12"/>
      <c r="H466" s="12"/>
      <c r="I466" s="12"/>
      <c r="J466" s="12" t="n">
        <v>100</v>
      </c>
      <c r="K466" s="12" t="n">
        <v>250</v>
      </c>
      <c r="L466" s="12"/>
      <c r="M466" s="12" t="n">
        <v>496.61</v>
      </c>
      <c r="N466" s="12" t="n">
        <v>64100</v>
      </c>
      <c r="O466" s="13"/>
      <c r="P466" s="13" t="s">
        <v>4138</v>
      </c>
      <c r="Q466" s="13"/>
      <c r="R466" s="13"/>
      <c r="S466" s="13" t="s">
        <v>4139</v>
      </c>
      <c r="T466" s="12" t="s">
        <v>94</v>
      </c>
      <c r="U466" s="12" t="s">
        <v>4140</v>
      </c>
    </row>
    <row r="467" customFormat="false" ht="31.5" hidden="false" customHeight="true" outlineLevel="0" collapsed="false">
      <c r="A467" s="12" t="n">
        <v>388</v>
      </c>
      <c r="B467" s="12" t="s">
        <v>4141</v>
      </c>
      <c r="C467" s="12" t="s">
        <v>2557</v>
      </c>
      <c r="D467" s="12" t="s">
        <v>113</v>
      </c>
      <c r="E467" s="12" t="s">
        <v>83</v>
      </c>
      <c r="F467" s="12"/>
      <c r="G467" s="12"/>
      <c r="H467" s="12"/>
      <c r="I467" s="12"/>
      <c r="J467" s="12"/>
      <c r="K467" s="12"/>
      <c r="L467" s="12"/>
      <c r="M467" s="12"/>
      <c r="N467" s="12" t="n">
        <v>64000</v>
      </c>
      <c r="O467" s="13"/>
      <c r="P467" s="13" t="s">
        <v>4142</v>
      </c>
      <c r="Q467" s="13"/>
      <c r="R467" s="13"/>
      <c r="S467" s="13" t="s">
        <v>4143</v>
      </c>
      <c r="T467" s="12" t="s">
        <v>94</v>
      </c>
      <c r="U467" s="12" t="s">
        <v>4144</v>
      </c>
    </row>
    <row r="468" customFormat="false" ht="31.5" hidden="false" customHeight="true" outlineLevel="0" collapsed="false">
      <c r="A468" s="12" t="n">
        <v>389</v>
      </c>
      <c r="B468" s="12" t="s">
        <v>4145</v>
      </c>
      <c r="C468" s="12" t="s">
        <v>2557</v>
      </c>
      <c r="D468" s="12" t="s">
        <v>878</v>
      </c>
      <c r="E468" s="12" t="s">
        <v>259</v>
      </c>
      <c r="F468" s="12"/>
      <c r="G468" s="12"/>
      <c r="H468" s="12"/>
      <c r="I468" s="12"/>
      <c r="J468" s="12"/>
      <c r="K468" s="12"/>
      <c r="L468" s="12"/>
      <c r="M468" s="12"/>
      <c r="N468" s="12" t="n">
        <v>20.382</v>
      </c>
      <c r="O468" s="13"/>
      <c r="P468" s="13" t="s">
        <v>4146</v>
      </c>
      <c r="Q468" s="13" t="s">
        <v>950</v>
      </c>
      <c r="R468" s="13"/>
      <c r="S468" s="13" t="s">
        <v>4147</v>
      </c>
      <c r="T468" s="12" t="s">
        <v>94</v>
      </c>
      <c r="U468" s="12" t="s">
        <v>4148</v>
      </c>
    </row>
    <row r="469" customFormat="false" ht="31.5" hidden="false" customHeight="true" outlineLevel="0" collapsed="false">
      <c r="A469" s="12" t="n">
        <v>390</v>
      </c>
      <c r="B469" s="12" t="s">
        <v>994</v>
      </c>
      <c r="C469" s="12" t="s">
        <v>2521</v>
      </c>
      <c r="D469" s="12" t="s">
        <v>113</v>
      </c>
      <c r="E469" s="12" t="s">
        <v>259</v>
      </c>
      <c r="F469" s="12" t="n">
        <v>63123</v>
      </c>
      <c r="G469" s="12" t="n">
        <v>64250</v>
      </c>
      <c r="H469" s="12" t="s">
        <v>997</v>
      </c>
      <c r="I469" s="12" t="n">
        <v>65500</v>
      </c>
      <c r="J469" s="12" t="n">
        <v>50</v>
      </c>
      <c r="K469" s="12"/>
      <c r="L469" s="12"/>
      <c r="M469" s="12"/>
      <c r="N469" s="12"/>
      <c r="O469" s="13" t="s">
        <v>4149</v>
      </c>
      <c r="P469" s="13" t="s">
        <v>4150</v>
      </c>
      <c r="Q469" s="13"/>
      <c r="R469" s="13"/>
      <c r="S469" s="13" t="s">
        <v>4151</v>
      </c>
      <c r="T469" s="12" t="s">
        <v>94</v>
      </c>
      <c r="U469" s="12" t="s">
        <v>1006</v>
      </c>
    </row>
    <row r="470" customFormat="false" ht="31.5" hidden="false" customHeight="true" outlineLevel="0" collapsed="false">
      <c r="A470" s="12" t="n">
        <v>391</v>
      </c>
      <c r="B470" s="12" t="s">
        <v>947</v>
      </c>
      <c r="C470" s="12" t="s">
        <v>2564</v>
      </c>
      <c r="D470" s="12" t="s">
        <v>878</v>
      </c>
      <c r="E470" s="12" t="s">
        <v>259</v>
      </c>
      <c r="F470" s="12"/>
      <c r="G470" s="12"/>
      <c r="H470" s="12"/>
      <c r="I470" s="12" t="n">
        <v>22.606</v>
      </c>
      <c r="J470" s="12" t="n">
        <v>100</v>
      </c>
      <c r="K470" s="12"/>
      <c r="L470" s="12" t="n">
        <v>-1</v>
      </c>
      <c r="M470" s="12"/>
      <c r="N470" s="12"/>
      <c r="O470" s="13"/>
      <c r="P470" s="13" t="s">
        <v>4152</v>
      </c>
      <c r="Q470" s="13"/>
      <c r="R470" s="13"/>
      <c r="S470" s="13" t="s">
        <v>4153</v>
      </c>
      <c r="T470" s="12" t="s">
        <v>108</v>
      </c>
      <c r="U470" s="12" t="s">
        <v>4154</v>
      </c>
    </row>
    <row r="471" customFormat="false" ht="31.5" hidden="false" customHeight="true" outlineLevel="0" collapsed="false">
      <c r="A471" s="12" t="n">
        <v>392</v>
      </c>
      <c r="B471" s="12" t="s">
        <v>4155</v>
      </c>
      <c r="C471" s="12" t="s">
        <v>2537</v>
      </c>
      <c r="D471" s="12" t="s">
        <v>113</v>
      </c>
      <c r="E471" s="12" t="s">
        <v>259</v>
      </c>
      <c r="F471" s="12"/>
      <c r="G471" s="12" t="n">
        <v>64300</v>
      </c>
      <c r="H471" s="12"/>
      <c r="I471" s="12"/>
      <c r="J471" s="12"/>
      <c r="K471" s="12"/>
      <c r="L471" s="12"/>
      <c r="M471" s="12"/>
      <c r="N471" s="12"/>
      <c r="O471" s="13"/>
      <c r="P471" s="13" t="s">
        <v>4156</v>
      </c>
      <c r="Q471" s="13"/>
      <c r="R471" s="13"/>
      <c r="S471" s="13" t="s">
        <v>4157</v>
      </c>
      <c r="T471" s="12" t="s">
        <v>108</v>
      </c>
      <c r="U471" s="12" t="s">
        <v>4158</v>
      </c>
    </row>
    <row r="472" customFormat="false" ht="31.5" hidden="false" customHeight="true" outlineLevel="0" collapsed="false">
      <c r="A472" s="12" t="n">
        <v>393</v>
      </c>
      <c r="B472" s="12" t="s">
        <v>1007</v>
      </c>
      <c r="C472" s="12" t="s">
        <v>2521</v>
      </c>
      <c r="D472" s="12" t="s">
        <v>142</v>
      </c>
      <c r="E472" s="12" t="s">
        <v>259</v>
      </c>
      <c r="F472" s="12" t="n">
        <v>4325</v>
      </c>
      <c r="G472" s="12"/>
      <c r="H472" s="12" t="s">
        <v>1009</v>
      </c>
      <c r="I472" s="12" t="n">
        <v>4349</v>
      </c>
      <c r="J472" s="12"/>
      <c r="K472" s="12"/>
      <c r="L472" s="12"/>
      <c r="M472" s="12"/>
      <c r="N472" s="12"/>
      <c r="O472" s="13"/>
      <c r="P472" s="13" t="s">
        <v>4159</v>
      </c>
      <c r="Q472" s="13"/>
      <c r="R472" s="13"/>
      <c r="S472" s="13" t="s">
        <v>4160</v>
      </c>
      <c r="T472" s="12" t="s">
        <v>94</v>
      </c>
      <c r="U472" s="12" t="s">
        <v>1015</v>
      </c>
    </row>
    <row r="473" customFormat="false" ht="31.5" hidden="false" customHeight="true" outlineLevel="0" collapsed="false">
      <c r="A473" s="12" t="n">
        <v>394</v>
      </c>
      <c r="B473" s="12" t="s">
        <v>4161</v>
      </c>
      <c r="C473" s="12" t="s">
        <v>2506</v>
      </c>
      <c r="D473" s="12" t="s">
        <v>142</v>
      </c>
      <c r="E473" s="12"/>
      <c r="F473" s="12"/>
      <c r="G473" s="12"/>
      <c r="H473" s="12"/>
      <c r="I473" s="12"/>
      <c r="J473" s="12"/>
      <c r="K473" s="12"/>
      <c r="L473" s="12"/>
      <c r="M473" s="12"/>
      <c r="N473" s="12"/>
      <c r="O473" s="13"/>
      <c r="P473" s="13" t="s">
        <v>4162</v>
      </c>
      <c r="Q473" s="13"/>
      <c r="R473" s="13"/>
      <c r="S473" s="13" t="s">
        <v>4163</v>
      </c>
      <c r="T473" s="12" t="s">
        <v>94</v>
      </c>
      <c r="U473" s="12" t="s">
        <v>4164</v>
      </c>
    </row>
    <row r="474" customFormat="false" ht="31.5" hidden="false" customHeight="true" outlineLevel="0" collapsed="false">
      <c r="A474" s="12" t="n">
        <v>395</v>
      </c>
      <c r="B474" s="12" t="s">
        <v>4165</v>
      </c>
      <c r="C474" s="12" t="s">
        <v>2506</v>
      </c>
      <c r="D474" s="12" t="s">
        <v>142</v>
      </c>
      <c r="E474" s="12"/>
      <c r="F474" s="12"/>
      <c r="G474" s="12"/>
      <c r="H474" s="12"/>
      <c r="I474" s="12"/>
      <c r="J474" s="12"/>
      <c r="K474" s="12"/>
      <c r="L474" s="12"/>
      <c r="M474" s="12"/>
      <c r="N474" s="12"/>
      <c r="O474" s="13" t="s">
        <v>4166</v>
      </c>
      <c r="P474" s="13" t="s">
        <v>4167</v>
      </c>
      <c r="Q474" s="13"/>
      <c r="R474" s="13"/>
      <c r="S474" s="13" t="s">
        <v>4168</v>
      </c>
      <c r="T474" s="12" t="s">
        <v>94</v>
      </c>
      <c r="U474" s="12" t="s">
        <v>4169</v>
      </c>
    </row>
    <row r="475" customFormat="false" ht="31.5" hidden="false" customHeight="true" outlineLevel="0" collapsed="false">
      <c r="A475" s="12" t="n">
        <v>396</v>
      </c>
      <c r="B475" s="12" t="s">
        <v>4170</v>
      </c>
      <c r="C475" s="12" t="s">
        <v>2618</v>
      </c>
      <c r="D475" s="12" t="s">
        <v>113</v>
      </c>
      <c r="E475" s="12" t="s">
        <v>259</v>
      </c>
      <c r="F475" s="12"/>
      <c r="G475" s="12"/>
      <c r="H475" s="12" t="s">
        <v>999</v>
      </c>
      <c r="I475" s="12"/>
      <c r="J475" s="12"/>
      <c r="K475" s="12"/>
      <c r="L475" s="12"/>
      <c r="M475" s="12"/>
      <c r="N475" s="12"/>
      <c r="O475" s="13"/>
      <c r="P475" s="13" t="s">
        <v>4171</v>
      </c>
      <c r="Q475" s="13"/>
      <c r="R475" s="13"/>
      <c r="S475" s="13" t="s">
        <v>4172</v>
      </c>
      <c r="T475" s="12" t="s">
        <v>94</v>
      </c>
      <c r="U475" s="12" t="s">
        <v>4173</v>
      </c>
    </row>
    <row r="476" customFormat="false" ht="31.5" hidden="false" customHeight="true" outlineLevel="0" collapsed="false">
      <c r="A476" s="12" t="n">
        <v>397</v>
      </c>
      <c r="B476" s="12" t="s">
        <v>1016</v>
      </c>
      <c r="C476" s="12" t="s">
        <v>2521</v>
      </c>
      <c r="D476" s="12" t="s">
        <v>562</v>
      </c>
      <c r="E476" s="12" t="s">
        <v>259</v>
      </c>
      <c r="F476" s="12" t="n">
        <v>4.25</v>
      </c>
      <c r="G476" s="12"/>
      <c r="H476" s="12"/>
      <c r="I476" s="12" t="n">
        <v>4.58</v>
      </c>
      <c r="J476" s="12"/>
      <c r="K476" s="12"/>
      <c r="L476" s="12"/>
      <c r="M476" s="12"/>
      <c r="N476" s="12"/>
      <c r="O476" s="13"/>
      <c r="P476" s="13" t="s">
        <v>4174</v>
      </c>
      <c r="Q476" s="13"/>
      <c r="R476" s="13"/>
      <c r="S476" s="13" t="s">
        <v>4175</v>
      </c>
      <c r="T476" s="12" t="s">
        <v>94</v>
      </c>
      <c r="U476" s="12" t="s">
        <v>1024</v>
      </c>
    </row>
    <row r="477" customFormat="false" ht="31.5" hidden="false" customHeight="true" outlineLevel="0" collapsed="false">
      <c r="A477" s="12" t="n">
        <v>398</v>
      </c>
      <c r="B477" s="12" t="s">
        <v>4176</v>
      </c>
      <c r="C477" s="12" t="s">
        <v>2670</v>
      </c>
      <c r="D477" s="12" t="s">
        <v>562</v>
      </c>
      <c r="E477" s="12" t="s">
        <v>259</v>
      </c>
      <c r="F477" s="12"/>
      <c r="G477" s="12"/>
      <c r="H477" s="12"/>
      <c r="I477" s="12"/>
      <c r="J477" s="12"/>
      <c r="K477" s="12"/>
      <c r="L477" s="12" t="n">
        <v>1.5</v>
      </c>
      <c r="M477" s="12"/>
      <c r="N477" s="12"/>
      <c r="O477" s="13" t="s">
        <v>4177</v>
      </c>
      <c r="P477" s="13" t="s">
        <v>4178</v>
      </c>
      <c r="Q477" s="13"/>
      <c r="R477" s="13"/>
      <c r="S477" s="13" t="s">
        <v>4179</v>
      </c>
      <c r="T477" s="12" t="s">
        <v>108</v>
      </c>
      <c r="U477" s="12" t="s">
        <v>4180</v>
      </c>
    </row>
    <row r="478" customFormat="false" ht="31.5" hidden="false" customHeight="true" outlineLevel="0" collapsed="false">
      <c r="A478" s="12" t="n">
        <v>399</v>
      </c>
      <c r="B478" s="12" t="s">
        <v>4181</v>
      </c>
      <c r="C478" s="12" t="s">
        <v>2557</v>
      </c>
      <c r="D478" s="12" t="s">
        <v>562</v>
      </c>
      <c r="E478" s="12" t="s">
        <v>259</v>
      </c>
      <c r="F478" s="12" t="n">
        <v>4.2</v>
      </c>
      <c r="G478" s="12"/>
      <c r="H478" s="12"/>
      <c r="I478" s="12"/>
      <c r="J478" s="12"/>
      <c r="K478" s="12" t="n">
        <v>25</v>
      </c>
      <c r="L478" s="12" t="n">
        <v>1.8</v>
      </c>
      <c r="M478" s="12" t="n">
        <v>289.79</v>
      </c>
      <c r="N478" s="12" t="n">
        <v>3.7131</v>
      </c>
      <c r="O478" s="13"/>
      <c r="P478" s="13" t="s">
        <v>4182</v>
      </c>
      <c r="Q478" s="13"/>
      <c r="R478" s="13"/>
      <c r="S478" s="13" t="s">
        <v>4183</v>
      </c>
      <c r="T478" s="12" t="s">
        <v>94</v>
      </c>
      <c r="U478" s="12" t="s">
        <v>4184</v>
      </c>
    </row>
    <row r="479" customFormat="false" ht="31.5" hidden="false" customHeight="true" outlineLevel="0" collapsed="false">
      <c r="A479" s="12" t="n">
        <v>400</v>
      </c>
      <c r="B479" s="12" t="s">
        <v>1000</v>
      </c>
      <c r="C479" s="12" t="s">
        <v>2630</v>
      </c>
      <c r="D479" s="12" t="s">
        <v>113</v>
      </c>
      <c r="E479" s="12" t="s">
        <v>259</v>
      </c>
      <c r="F479" s="12"/>
      <c r="G479" s="12"/>
      <c r="H479" s="12"/>
      <c r="I479" s="12"/>
      <c r="J479" s="12" t="n">
        <v>100</v>
      </c>
      <c r="K479" s="12" t="n">
        <v>250</v>
      </c>
      <c r="L479" s="12"/>
      <c r="M479" s="12" t="n">
        <v>158.99</v>
      </c>
      <c r="N479" s="12" t="n">
        <v>62600</v>
      </c>
      <c r="O479" s="13"/>
      <c r="P479" s="13" t="s">
        <v>4185</v>
      </c>
      <c r="Q479" s="13"/>
      <c r="R479" s="13"/>
      <c r="S479" s="13" t="s">
        <v>4186</v>
      </c>
      <c r="T479" s="12" t="s">
        <v>94</v>
      </c>
      <c r="U479" s="12" t="s">
        <v>4187</v>
      </c>
    </row>
    <row r="480" customFormat="false" ht="31.5" hidden="false" customHeight="true" outlineLevel="0" collapsed="false">
      <c r="A480" s="12" t="n">
        <v>401</v>
      </c>
      <c r="B480" s="12" t="s">
        <v>1019</v>
      </c>
      <c r="C480" s="12" t="s">
        <v>2506</v>
      </c>
      <c r="D480" s="12"/>
      <c r="E480" s="12"/>
      <c r="F480" s="12"/>
      <c r="G480" s="12"/>
      <c r="H480" s="12"/>
      <c r="I480" s="12"/>
      <c r="J480" s="12" t="n">
        <v>25</v>
      </c>
      <c r="K480" s="12"/>
      <c r="L480" s="12" t="n">
        <v>2</v>
      </c>
      <c r="M480" s="12"/>
      <c r="N480" s="12"/>
      <c r="O480" s="13" t="s">
        <v>4188</v>
      </c>
      <c r="P480" s="13" t="s">
        <v>4189</v>
      </c>
      <c r="Q480" s="13"/>
      <c r="R480" s="13"/>
      <c r="S480" s="13" t="s">
        <v>4190</v>
      </c>
      <c r="T480" s="12" t="s">
        <v>94</v>
      </c>
      <c r="U480" s="12" t="s">
        <v>4191</v>
      </c>
    </row>
    <row r="481" customFormat="false" ht="31.5" hidden="false" customHeight="true" outlineLevel="0" collapsed="false">
      <c r="A481" s="12" t="n">
        <v>401</v>
      </c>
      <c r="B481" s="12" t="s">
        <v>1019</v>
      </c>
      <c r="C481" s="12" t="s">
        <v>2564</v>
      </c>
      <c r="D481" s="12" t="s">
        <v>562</v>
      </c>
      <c r="E481" s="12" t="s">
        <v>259</v>
      </c>
      <c r="F481" s="12"/>
      <c r="G481" s="12"/>
      <c r="H481" s="12"/>
      <c r="I481" s="12" t="n">
        <v>4.58</v>
      </c>
      <c r="J481" s="12" t="n">
        <v>100</v>
      </c>
      <c r="K481" s="12"/>
      <c r="L481" s="12" t="n">
        <v>-1</v>
      </c>
      <c r="M481" s="12"/>
      <c r="N481" s="12"/>
      <c r="O481" s="13"/>
      <c r="P481" s="13" t="s">
        <v>4192</v>
      </c>
      <c r="Q481" s="13"/>
      <c r="R481" s="13"/>
      <c r="S481" s="13" t="s">
        <v>4193</v>
      </c>
      <c r="T481" s="12" t="s">
        <v>94</v>
      </c>
      <c r="U481" s="12" t="s">
        <v>4191</v>
      </c>
    </row>
    <row r="482" customFormat="false" ht="31.5" hidden="false" customHeight="true" outlineLevel="0" collapsed="false">
      <c r="A482" s="12" t="n">
        <v>403</v>
      </c>
      <c r="B482" s="12" t="s">
        <v>4194</v>
      </c>
      <c r="C482" s="12" t="s">
        <v>2502</v>
      </c>
      <c r="D482" s="12" t="s">
        <v>562</v>
      </c>
      <c r="E482" s="12"/>
      <c r="F482" s="12"/>
      <c r="G482" s="12"/>
      <c r="H482" s="12"/>
      <c r="I482" s="12"/>
      <c r="J482" s="12"/>
      <c r="K482" s="12"/>
      <c r="L482" s="12"/>
      <c r="M482" s="12"/>
      <c r="N482" s="12"/>
      <c r="O482" s="13"/>
      <c r="P482" s="13" t="s">
        <v>4195</v>
      </c>
      <c r="Q482" s="13"/>
      <c r="R482" s="13"/>
      <c r="S482" s="13" t="s">
        <v>4196</v>
      </c>
      <c r="T482" s="12" t="s">
        <v>108</v>
      </c>
      <c r="U482" s="12" t="s">
        <v>4197</v>
      </c>
    </row>
    <row r="483" customFormat="false" ht="31.5" hidden="false" customHeight="true" outlineLevel="0" collapsed="false">
      <c r="A483" s="12" t="n">
        <v>404</v>
      </c>
      <c r="B483" s="12" t="s">
        <v>1025</v>
      </c>
      <c r="C483" s="12" t="s">
        <v>2521</v>
      </c>
      <c r="D483" s="12" t="s">
        <v>142</v>
      </c>
      <c r="E483" s="12" t="s">
        <v>83</v>
      </c>
      <c r="F483" s="12" t="n">
        <v>4340</v>
      </c>
      <c r="G483" s="12"/>
      <c r="H483" s="12"/>
      <c r="I483" s="12" t="n">
        <v>4330</v>
      </c>
      <c r="J483" s="12"/>
      <c r="K483" s="12"/>
      <c r="L483" s="12"/>
      <c r="M483" s="12"/>
      <c r="N483" s="12"/>
      <c r="O483" s="13"/>
      <c r="P483" s="13" t="s">
        <v>4198</v>
      </c>
      <c r="Q483" s="13"/>
      <c r="R483" s="13"/>
      <c r="S483" s="13" t="s">
        <v>4199</v>
      </c>
      <c r="T483" s="12" t="s">
        <v>94</v>
      </c>
      <c r="U483" s="12" t="s">
        <v>1033</v>
      </c>
    </row>
    <row r="484" customFormat="false" ht="31.5" hidden="false" customHeight="true" outlineLevel="0" collapsed="false">
      <c r="A484" s="12" t="n">
        <v>405</v>
      </c>
      <c r="B484" s="12" t="s">
        <v>4200</v>
      </c>
      <c r="C484" s="12" t="s">
        <v>2502</v>
      </c>
      <c r="D484" s="12" t="s">
        <v>142</v>
      </c>
      <c r="E484" s="12"/>
      <c r="F484" s="12"/>
      <c r="G484" s="12"/>
      <c r="H484" s="12"/>
      <c r="I484" s="12"/>
      <c r="J484" s="12"/>
      <c r="K484" s="12"/>
      <c r="L484" s="12"/>
      <c r="M484" s="12"/>
      <c r="N484" s="12"/>
      <c r="O484" s="13"/>
      <c r="P484" s="13" t="s">
        <v>4201</v>
      </c>
      <c r="Q484" s="13"/>
      <c r="R484" s="13"/>
      <c r="S484" s="13" t="s">
        <v>4202</v>
      </c>
      <c r="T484" s="12" t="s">
        <v>94</v>
      </c>
      <c r="U484" s="12" t="s">
        <v>4203</v>
      </c>
    </row>
    <row r="485" customFormat="false" ht="31.5" hidden="false" customHeight="true" outlineLevel="0" collapsed="false">
      <c r="A485" s="12" t="n">
        <v>406</v>
      </c>
      <c r="B485" s="12" t="s">
        <v>1028</v>
      </c>
      <c r="C485" s="12" t="s">
        <v>2564</v>
      </c>
      <c r="D485" s="12" t="s">
        <v>142</v>
      </c>
      <c r="E485" s="12" t="s">
        <v>83</v>
      </c>
      <c r="F485" s="12"/>
      <c r="G485" s="12"/>
      <c r="H485" s="12"/>
      <c r="I485" s="12" t="n">
        <v>4330</v>
      </c>
      <c r="J485" s="12" t="n">
        <v>100</v>
      </c>
      <c r="K485" s="12"/>
      <c r="L485" s="12" t="n">
        <v>-1</v>
      </c>
      <c r="M485" s="12"/>
      <c r="N485" s="12"/>
      <c r="O485" s="13"/>
      <c r="P485" s="13" t="s">
        <v>4204</v>
      </c>
      <c r="Q485" s="13"/>
      <c r="R485" s="13"/>
      <c r="S485" s="13" t="s">
        <v>4205</v>
      </c>
      <c r="T485" s="12" t="s">
        <v>108</v>
      </c>
      <c r="U485" s="12" t="s">
        <v>4206</v>
      </c>
    </row>
    <row r="486" customFormat="false" ht="31.5" hidden="false" customHeight="true" outlineLevel="0" collapsed="false">
      <c r="A486" s="12" t="n">
        <v>408</v>
      </c>
      <c r="B486" s="12" t="s">
        <v>4207</v>
      </c>
      <c r="C486" s="12" t="s">
        <v>2502</v>
      </c>
      <c r="D486" s="12"/>
      <c r="E486" s="12"/>
      <c r="F486" s="12"/>
      <c r="G486" s="12"/>
      <c r="H486" s="12"/>
      <c r="I486" s="12"/>
      <c r="J486" s="12"/>
      <c r="K486" s="12"/>
      <c r="L486" s="12"/>
      <c r="M486" s="12"/>
      <c r="N486" s="12"/>
      <c r="O486" s="13"/>
      <c r="P486" s="13" t="s">
        <v>4208</v>
      </c>
      <c r="Q486" s="13"/>
      <c r="R486" s="13"/>
      <c r="S486" s="13" t="s">
        <v>4209</v>
      </c>
      <c r="T486" s="12" t="s">
        <v>94</v>
      </c>
      <c r="U486" s="12" t="s">
        <v>4210</v>
      </c>
    </row>
    <row r="487" customFormat="false" ht="31.5" hidden="false" customHeight="true" outlineLevel="0" collapsed="false">
      <c r="A487" s="12" t="n">
        <v>409</v>
      </c>
      <c r="B487" s="12" t="s">
        <v>4211</v>
      </c>
      <c r="C487" s="12" t="s">
        <v>2506</v>
      </c>
      <c r="D487" s="12"/>
      <c r="E487" s="12"/>
      <c r="F487" s="12"/>
      <c r="G487" s="12"/>
      <c r="H487" s="12"/>
      <c r="I487" s="12"/>
      <c r="J487" s="12"/>
      <c r="K487" s="12"/>
      <c r="L487" s="12"/>
      <c r="M487" s="12"/>
      <c r="N487" s="12"/>
      <c r="O487" s="13"/>
      <c r="P487" s="13" t="s">
        <v>4212</v>
      </c>
      <c r="Q487" s="13"/>
      <c r="R487" s="13"/>
      <c r="S487" s="13" t="s">
        <v>4213</v>
      </c>
      <c r="T487" s="12" t="s">
        <v>94</v>
      </c>
      <c r="U487" s="12" t="s">
        <v>4214</v>
      </c>
    </row>
    <row r="488" customFormat="false" ht="31.5" hidden="false" customHeight="true" outlineLevel="0" collapsed="false">
      <c r="A488" s="12" t="n">
        <v>410</v>
      </c>
      <c r="B488" s="12" t="s">
        <v>4215</v>
      </c>
      <c r="C488" s="12" t="s">
        <v>2506</v>
      </c>
      <c r="D488" s="12"/>
      <c r="E488" s="12"/>
      <c r="F488" s="12"/>
      <c r="G488" s="12"/>
      <c r="H488" s="12"/>
      <c r="I488" s="12"/>
      <c r="J488" s="12"/>
      <c r="K488" s="12"/>
      <c r="L488" s="12"/>
      <c r="M488" s="12"/>
      <c r="N488" s="12"/>
      <c r="O488" s="13"/>
      <c r="P488" s="13" t="s">
        <v>4216</v>
      </c>
      <c r="Q488" s="13"/>
      <c r="R488" s="13"/>
      <c r="S488" s="13" t="s">
        <v>4217</v>
      </c>
      <c r="T488" s="12" t="s">
        <v>94</v>
      </c>
      <c r="U488" s="12" t="s">
        <v>4218</v>
      </c>
    </row>
    <row r="489" customFormat="false" ht="31.5" hidden="false" customHeight="true" outlineLevel="0" collapsed="false">
      <c r="A489" s="12" t="n">
        <v>411</v>
      </c>
      <c r="B489" s="12" t="s">
        <v>4219</v>
      </c>
      <c r="C489" s="12" t="s">
        <v>2557</v>
      </c>
      <c r="D489" s="12" t="s">
        <v>142</v>
      </c>
      <c r="E489" s="12" t="s">
        <v>83</v>
      </c>
      <c r="F489" s="12"/>
      <c r="G489" s="12"/>
      <c r="H489" s="12"/>
      <c r="I489" s="12"/>
      <c r="J489" s="12"/>
      <c r="K489" s="12"/>
      <c r="L489" s="12"/>
      <c r="M489" s="12"/>
      <c r="N489" s="12" t="n">
        <v>4361.07</v>
      </c>
      <c r="O489" s="13"/>
      <c r="P489" s="13" t="s">
        <v>4220</v>
      </c>
      <c r="Q489" s="13" t="s">
        <v>950</v>
      </c>
      <c r="R489" s="13"/>
      <c r="S489" s="13" t="s">
        <v>4221</v>
      </c>
      <c r="T489" s="12" t="s">
        <v>94</v>
      </c>
      <c r="U489" s="12" t="s">
        <v>4222</v>
      </c>
    </row>
    <row r="490" customFormat="false" ht="31.5" hidden="false" customHeight="true" outlineLevel="0" collapsed="false">
      <c r="A490" s="12" t="n">
        <v>412</v>
      </c>
      <c r="B490" s="12" t="s">
        <v>4223</v>
      </c>
      <c r="C490" s="12" t="s">
        <v>2502</v>
      </c>
      <c r="D490" s="12"/>
      <c r="E490" s="12"/>
      <c r="F490" s="12"/>
      <c r="G490" s="12"/>
      <c r="H490" s="12"/>
      <c r="I490" s="12"/>
      <c r="J490" s="12"/>
      <c r="K490" s="12"/>
      <c r="L490" s="12"/>
      <c r="M490" s="12"/>
      <c r="N490" s="12"/>
      <c r="O490" s="13"/>
      <c r="P490" s="13" t="s">
        <v>4224</v>
      </c>
      <c r="Q490" s="13"/>
      <c r="R490" s="13"/>
      <c r="S490" s="13" t="s">
        <v>4225</v>
      </c>
      <c r="T490" s="12" t="s">
        <v>108</v>
      </c>
      <c r="U490" s="12" t="s">
        <v>4226</v>
      </c>
    </row>
    <row r="491" customFormat="false" ht="31.5" hidden="false" customHeight="true" outlineLevel="0" collapsed="false">
      <c r="A491" s="12" t="n">
        <v>413</v>
      </c>
      <c r="B491" s="12" t="s">
        <v>1034</v>
      </c>
      <c r="C491" s="12" t="s">
        <v>2521</v>
      </c>
      <c r="D491" s="12" t="s">
        <v>113</v>
      </c>
      <c r="E491" s="12" t="s">
        <v>83</v>
      </c>
      <c r="F491" s="12" t="n">
        <v>61400</v>
      </c>
      <c r="G491" s="12" t="n">
        <v>60700</v>
      </c>
      <c r="H491" s="12"/>
      <c r="I491" s="12" t="n">
        <v>58500</v>
      </c>
      <c r="J491" s="12" t="n">
        <v>75</v>
      </c>
      <c r="K491" s="12"/>
      <c r="L491" s="12"/>
      <c r="M491" s="12"/>
      <c r="N491" s="12"/>
      <c r="O491" s="13" t="s">
        <v>4227</v>
      </c>
      <c r="P491" s="13" t="s">
        <v>4228</v>
      </c>
      <c r="Q491" s="13"/>
      <c r="R491" s="13"/>
      <c r="S491" s="13" t="s">
        <v>4229</v>
      </c>
      <c r="T491" s="12" t="s">
        <v>94</v>
      </c>
      <c r="U491" s="12" t="s">
        <v>1044</v>
      </c>
    </row>
    <row r="492" customFormat="false" ht="31.5" hidden="false" customHeight="true" outlineLevel="0" collapsed="false">
      <c r="A492" s="12" t="n">
        <v>414</v>
      </c>
      <c r="B492" s="12" t="s">
        <v>4230</v>
      </c>
      <c r="C492" s="12" t="s">
        <v>2506</v>
      </c>
      <c r="D492" s="12" t="s">
        <v>113</v>
      </c>
      <c r="E492" s="12"/>
      <c r="F492" s="12"/>
      <c r="G492" s="12"/>
      <c r="H492" s="12"/>
      <c r="I492" s="12"/>
      <c r="J492" s="12"/>
      <c r="K492" s="12"/>
      <c r="L492" s="12"/>
      <c r="M492" s="12"/>
      <c r="N492" s="12"/>
      <c r="O492" s="13"/>
      <c r="P492" s="13" t="s">
        <v>4231</v>
      </c>
      <c r="Q492" s="13"/>
      <c r="R492" s="13"/>
      <c r="S492" s="13" t="s">
        <v>4232</v>
      </c>
      <c r="T492" s="12" t="s">
        <v>108</v>
      </c>
      <c r="U492" s="12" t="s">
        <v>4233</v>
      </c>
    </row>
    <row r="493" customFormat="false" ht="31.5" hidden="false" customHeight="true" outlineLevel="0" collapsed="false">
      <c r="A493" s="12" t="n">
        <v>415</v>
      </c>
      <c r="B493" s="12" t="s">
        <v>4234</v>
      </c>
      <c r="C493" s="12" t="s">
        <v>2506</v>
      </c>
      <c r="D493" s="12"/>
      <c r="E493" s="12"/>
      <c r="F493" s="12"/>
      <c r="G493" s="12"/>
      <c r="H493" s="12"/>
      <c r="I493" s="12"/>
      <c r="J493" s="12"/>
      <c r="K493" s="12"/>
      <c r="L493" s="12"/>
      <c r="M493" s="12"/>
      <c r="N493" s="12"/>
      <c r="O493" s="13"/>
      <c r="P493" s="13" t="s">
        <v>4235</v>
      </c>
      <c r="Q493" s="13"/>
      <c r="R493" s="13"/>
      <c r="S493" s="13" t="s">
        <v>4236</v>
      </c>
      <c r="T493" s="12" t="s">
        <v>94</v>
      </c>
      <c r="U493" s="12" t="s">
        <v>4237</v>
      </c>
    </row>
    <row r="494" customFormat="false" ht="31.5" hidden="false" customHeight="true" outlineLevel="0" collapsed="false">
      <c r="A494" s="12" t="n">
        <v>416</v>
      </c>
      <c r="B494" s="12" t="s">
        <v>1045</v>
      </c>
      <c r="C494" s="12" t="s">
        <v>2521</v>
      </c>
      <c r="D494" s="12" t="s">
        <v>562</v>
      </c>
      <c r="E494" s="12" t="s">
        <v>259</v>
      </c>
      <c r="F494" s="12" t="n">
        <v>4.7</v>
      </c>
      <c r="G494" s="12"/>
      <c r="H494" s="12" t="s">
        <v>1047</v>
      </c>
      <c r="I494" s="12" t="n">
        <v>5.1</v>
      </c>
      <c r="J494" s="12"/>
      <c r="K494" s="12"/>
      <c r="L494" s="12"/>
      <c r="M494" s="12"/>
      <c r="N494" s="12"/>
      <c r="O494" s="13" t="s">
        <v>880</v>
      </c>
      <c r="P494" s="13" t="s">
        <v>4238</v>
      </c>
      <c r="Q494" s="13"/>
      <c r="R494" s="13"/>
      <c r="S494" s="13" t="s">
        <v>4239</v>
      </c>
      <c r="T494" s="12" t="s">
        <v>94</v>
      </c>
      <c r="U494" s="12" t="s">
        <v>1053</v>
      </c>
    </row>
    <row r="495" customFormat="false" ht="31.5" hidden="false" customHeight="true" outlineLevel="0" collapsed="false">
      <c r="A495" s="12" t="n">
        <v>417</v>
      </c>
      <c r="B495" s="12" t="s">
        <v>4240</v>
      </c>
      <c r="C495" s="12" t="s">
        <v>2557</v>
      </c>
      <c r="D495" s="12" t="s">
        <v>562</v>
      </c>
      <c r="E495" s="12" t="s">
        <v>259</v>
      </c>
      <c r="F495" s="12" t="n">
        <v>4.7</v>
      </c>
      <c r="G495" s="12"/>
      <c r="H495" s="12"/>
      <c r="I495" s="12"/>
      <c r="J495" s="12"/>
      <c r="K495" s="12"/>
      <c r="L495" s="12"/>
      <c r="M495" s="12"/>
      <c r="N495" s="12"/>
      <c r="O495" s="13"/>
      <c r="P495" s="13" t="s">
        <v>4241</v>
      </c>
      <c r="Q495" s="13"/>
      <c r="R495" s="13"/>
      <c r="S495" s="13" t="s">
        <v>2628</v>
      </c>
      <c r="T495" s="12" t="s">
        <v>108</v>
      </c>
      <c r="U495" s="12" t="s">
        <v>4242</v>
      </c>
    </row>
    <row r="496" customFormat="false" ht="31.5" hidden="false" customHeight="true" outlineLevel="0" collapsed="false">
      <c r="A496" s="12" t="n">
        <v>418</v>
      </c>
      <c r="B496" s="12" t="s">
        <v>4243</v>
      </c>
      <c r="C496" s="12" t="s">
        <v>2557</v>
      </c>
      <c r="D496" s="12" t="s">
        <v>562</v>
      </c>
      <c r="E496" s="12" t="s">
        <v>259</v>
      </c>
      <c r="F496" s="12"/>
      <c r="G496" s="12"/>
      <c r="H496" s="12"/>
      <c r="I496" s="12"/>
      <c r="J496" s="12"/>
      <c r="K496" s="12"/>
      <c r="L496" s="12"/>
      <c r="M496" s="12"/>
      <c r="N496" s="12"/>
      <c r="O496" s="13" t="s">
        <v>4244</v>
      </c>
      <c r="P496" s="13" t="s">
        <v>4245</v>
      </c>
      <c r="Q496" s="13"/>
      <c r="R496" s="13"/>
      <c r="S496" s="13" t="s">
        <v>4246</v>
      </c>
      <c r="T496" s="12" t="s">
        <v>108</v>
      </c>
      <c r="U496" s="12" t="s">
        <v>4247</v>
      </c>
    </row>
    <row r="497" customFormat="false" ht="31.5" hidden="false" customHeight="true" outlineLevel="0" collapsed="false">
      <c r="A497" s="12" t="n">
        <v>419</v>
      </c>
      <c r="B497" s="12" t="s">
        <v>4248</v>
      </c>
      <c r="C497" s="12" t="s">
        <v>2557</v>
      </c>
      <c r="D497" s="12" t="s">
        <v>562</v>
      </c>
      <c r="E497" s="12" t="s">
        <v>259</v>
      </c>
      <c r="F497" s="12"/>
      <c r="G497" s="12"/>
      <c r="H497" s="12"/>
      <c r="I497" s="12"/>
      <c r="J497" s="12"/>
      <c r="K497" s="12"/>
      <c r="L497" s="12" t="n">
        <v>3</v>
      </c>
      <c r="M497" s="12"/>
      <c r="N497" s="12"/>
      <c r="O497" s="13" t="s">
        <v>4249</v>
      </c>
      <c r="P497" s="13" t="s">
        <v>4250</v>
      </c>
      <c r="Q497" s="13"/>
      <c r="R497" s="13"/>
      <c r="S497" s="13" t="s">
        <v>4251</v>
      </c>
      <c r="T497" s="12" t="s">
        <v>108</v>
      </c>
      <c r="U497" s="12" t="s">
        <v>4252</v>
      </c>
    </row>
    <row r="498" customFormat="false" ht="31.5" hidden="false" customHeight="true" outlineLevel="0" collapsed="false">
      <c r="A498" s="12" t="n">
        <v>420</v>
      </c>
      <c r="B498" s="12" t="s">
        <v>4253</v>
      </c>
      <c r="C498" s="12" t="s">
        <v>2557</v>
      </c>
      <c r="D498" s="12" t="s">
        <v>113</v>
      </c>
      <c r="E498" s="12" t="s">
        <v>83</v>
      </c>
      <c r="F498" s="12"/>
      <c r="G498" s="12" t="n">
        <v>60700</v>
      </c>
      <c r="H498" s="12"/>
      <c r="I498" s="12"/>
      <c r="J498" s="12"/>
      <c r="K498" s="12"/>
      <c r="L498" s="12"/>
      <c r="M498" s="12"/>
      <c r="N498" s="12"/>
      <c r="O498" s="13"/>
      <c r="P498" s="13" t="s">
        <v>4254</v>
      </c>
      <c r="Q498" s="13"/>
      <c r="R498" s="13"/>
      <c r="S498" s="13" t="s">
        <v>4255</v>
      </c>
      <c r="T498" s="12" t="s">
        <v>94</v>
      </c>
      <c r="U498" s="12" t="s">
        <v>4256</v>
      </c>
    </row>
    <row r="499" customFormat="false" ht="31.5" hidden="false" customHeight="true" outlineLevel="0" collapsed="false">
      <c r="A499" s="12" t="n">
        <v>422</v>
      </c>
      <c r="B499" s="12" t="s">
        <v>4257</v>
      </c>
      <c r="C499" s="12" t="s">
        <v>2557</v>
      </c>
      <c r="D499" s="12" t="s">
        <v>113</v>
      </c>
      <c r="E499" s="12" t="s">
        <v>83</v>
      </c>
      <c r="F499" s="12"/>
      <c r="G499" s="12"/>
      <c r="H499" s="12"/>
      <c r="I499" s="12"/>
      <c r="J499" s="12"/>
      <c r="K499" s="12"/>
      <c r="L499" s="12"/>
      <c r="M499" s="12"/>
      <c r="N499" s="12"/>
      <c r="O499" s="13" t="s">
        <v>4258</v>
      </c>
      <c r="P499" s="13" t="s">
        <v>4259</v>
      </c>
      <c r="Q499" s="13" t="s">
        <v>336</v>
      </c>
      <c r="R499" s="13" t="s">
        <v>4260</v>
      </c>
      <c r="S499" s="13" t="s">
        <v>4261</v>
      </c>
      <c r="T499" s="12" t="s">
        <v>94</v>
      </c>
      <c r="U499" s="12" t="s">
        <v>4262</v>
      </c>
    </row>
    <row r="500" customFormat="false" ht="31.5" hidden="false" customHeight="true" outlineLevel="0" collapsed="false">
      <c r="A500" s="12" t="n">
        <v>423</v>
      </c>
      <c r="B500" s="12" t="s">
        <v>1038</v>
      </c>
      <c r="C500" s="12" t="s">
        <v>2630</v>
      </c>
      <c r="D500" s="12" t="s">
        <v>113</v>
      </c>
      <c r="E500" s="12" t="s">
        <v>83</v>
      </c>
      <c r="F500" s="12"/>
      <c r="G500" s="12"/>
      <c r="H500" s="12"/>
      <c r="I500" s="12"/>
      <c r="J500" s="12" t="n">
        <v>100</v>
      </c>
      <c r="K500" s="12"/>
      <c r="L500" s="12"/>
      <c r="M500" s="12"/>
      <c r="N500" s="12" t="n">
        <v>61600</v>
      </c>
      <c r="O500" s="13"/>
      <c r="P500" s="13" t="s">
        <v>4263</v>
      </c>
      <c r="Q500" s="13"/>
      <c r="R500" s="13"/>
      <c r="S500" s="13" t="s">
        <v>4264</v>
      </c>
      <c r="T500" s="12" t="s">
        <v>94</v>
      </c>
      <c r="U500" s="12" t="s">
        <v>4265</v>
      </c>
    </row>
    <row r="501" customFormat="false" ht="31.5" hidden="false" customHeight="true" outlineLevel="0" collapsed="false">
      <c r="A501" s="12" t="n">
        <v>423</v>
      </c>
      <c r="B501" s="12" t="s">
        <v>1038</v>
      </c>
      <c r="C501" s="12" t="s">
        <v>2516</v>
      </c>
      <c r="D501" s="12" t="s">
        <v>113</v>
      </c>
      <c r="E501" s="12" t="s">
        <v>83</v>
      </c>
      <c r="F501" s="12"/>
      <c r="G501" s="12"/>
      <c r="H501" s="12"/>
      <c r="I501" s="12"/>
      <c r="J501" s="12"/>
      <c r="K501" s="12"/>
      <c r="L501" s="12"/>
      <c r="M501" s="12"/>
      <c r="N501" s="12"/>
      <c r="O501" s="13"/>
      <c r="P501" s="13" t="s">
        <v>4266</v>
      </c>
      <c r="Q501" s="13"/>
      <c r="R501" s="13"/>
      <c r="S501" s="13" t="s">
        <v>4267</v>
      </c>
      <c r="T501" s="12" t="s">
        <v>108</v>
      </c>
      <c r="U501" s="12" t="s">
        <v>4265</v>
      </c>
    </row>
    <row r="502" customFormat="false" ht="31.5" hidden="false" customHeight="true" outlineLevel="0" collapsed="false">
      <c r="A502" s="12" t="n">
        <v>424</v>
      </c>
      <c r="B502" s="12" t="s">
        <v>4268</v>
      </c>
      <c r="C502" s="12" t="s">
        <v>2527</v>
      </c>
      <c r="D502" s="12" t="s">
        <v>113</v>
      </c>
      <c r="E502" s="12"/>
      <c r="F502" s="12"/>
      <c r="G502" s="12"/>
      <c r="H502" s="12"/>
      <c r="I502" s="12"/>
      <c r="J502" s="12"/>
      <c r="K502" s="12"/>
      <c r="L502" s="12"/>
      <c r="M502" s="12"/>
      <c r="N502" s="12"/>
      <c r="O502" s="13"/>
      <c r="P502" s="13" t="s">
        <v>4269</v>
      </c>
      <c r="Q502" s="13"/>
      <c r="R502" s="13" t="s">
        <v>4270</v>
      </c>
      <c r="S502" s="13" t="s">
        <v>4271</v>
      </c>
      <c r="T502" s="12" t="s">
        <v>94</v>
      </c>
      <c r="U502" s="12" t="s">
        <v>4272</v>
      </c>
    </row>
    <row r="503" customFormat="false" ht="31.5" hidden="false" customHeight="true" outlineLevel="0" collapsed="false">
      <c r="A503" s="12" t="n">
        <v>425</v>
      </c>
      <c r="B503" s="12" t="s">
        <v>1054</v>
      </c>
      <c r="C503" s="12" t="s">
        <v>2521</v>
      </c>
      <c r="D503" s="12" t="s">
        <v>1055</v>
      </c>
      <c r="E503" s="12" t="s">
        <v>259</v>
      </c>
      <c r="F503" s="12" t="n">
        <v>0.425</v>
      </c>
      <c r="G503" s="12" t="n">
        <v>0.44</v>
      </c>
      <c r="H503" s="12"/>
      <c r="I503" s="12" t="n">
        <v>0.468</v>
      </c>
      <c r="J503" s="12"/>
      <c r="K503" s="12"/>
      <c r="L503" s="12"/>
      <c r="M503" s="12"/>
      <c r="N503" s="12"/>
      <c r="O503" s="13" t="s">
        <v>4273</v>
      </c>
      <c r="P503" s="13" t="s">
        <v>4274</v>
      </c>
      <c r="Q503" s="13"/>
      <c r="R503" s="13"/>
      <c r="S503" s="13" t="s">
        <v>4275</v>
      </c>
      <c r="T503" s="12" t="s">
        <v>94</v>
      </c>
      <c r="U503" s="12" t="s">
        <v>4276</v>
      </c>
    </row>
    <row r="504" customFormat="false" ht="31.5" hidden="false" customHeight="true" outlineLevel="0" collapsed="false">
      <c r="A504" s="12" t="n">
        <v>426</v>
      </c>
      <c r="B504" s="12" t="s">
        <v>4277</v>
      </c>
      <c r="C504" s="12" t="s">
        <v>2506</v>
      </c>
      <c r="D504" s="12"/>
      <c r="E504" s="12"/>
      <c r="F504" s="12"/>
      <c r="G504" s="12"/>
      <c r="H504" s="12"/>
      <c r="I504" s="12"/>
      <c r="J504" s="12"/>
      <c r="K504" s="12"/>
      <c r="L504" s="12"/>
      <c r="M504" s="12"/>
      <c r="N504" s="12"/>
      <c r="O504" s="13"/>
      <c r="P504" s="13" t="s">
        <v>4278</v>
      </c>
      <c r="Q504" s="13"/>
      <c r="R504" s="13"/>
      <c r="S504" s="13" t="s">
        <v>4279</v>
      </c>
      <c r="T504" s="12" t="s">
        <v>94</v>
      </c>
      <c r="U504" s="12" t="s">
        <v>4280</v>
      </c>
    </row>
    <row r="505" customFormat="false" ht="31.5" hidden="false" customHeight="true" outlineLevel="0" collapsed="false">
      <c r="A505" s="12" t="n">
        <v>426</v>
      </c>
      <c r="B505" s="12" t="s">
        <v>4277</v>
      </c>
      <c r="C505" s="12" t="s">
        <v>2670</v>
      </c>
      <c r="D505" s="12" t="s">
        <v>1055</v>
      </c>
      <c r="E505" s="12" t="s">
        <v>259</v>
      </c>
      <c r="F505" s="12"/>
      <c r="G505" s="12"/>
      <c r="H505" s="12" t="s">
        <v>1058</v>
      </c>
      <c r="I505" s="12"/>
      <c r="J505" s="12"/>
      <c r="K505" s="12"/>
      <c r="L505" s="12"/>
      <c r="M505" s="12"/>
      <c r="N505" s="12"/>
      <c r="O505" s="13"/>
      <c r="P505" s="13" t="s">
        <v>4281</v>
      </c>
      <c r="Q505" s="13"/>
      <c r="R505" s="13"/>
      <c r="S505" s="13" t="s">
        <v>4282</v>
      </c>
      <c r="T505" s="12" t="s">
        <v>94</v>
      </c>
      <c r="U505" s="12" t="s">
        <v>4280</v>
      </c>
    </row>
    <row r="506" customFormat="false" ht="31.5" hidden="false" customHeight="true" outlineLevel="0" collapsed="false">
      <c r="A506" s="12" t="n">
        <v>427</v>
      </c>
      <c r="B506" s="12" t="s">
        <v>1068</v>
      </c>
      <c r="C506" s="12" t="s">
        <v>2521</v>
      </c>
      <c r="D506" s="12" t="s">
        <v>113</v>
      </c>
      <c r="E506" s="12" t="s">
        <v>83</v>
      </c>
      <c r="F506" s="12" t="n">
        <v>61100</v>
      </c>
      <c r="G506" s="12" t="n">
        <v>59500</v>
      </c>
      <c r="H506" s="12" t="s">
        <v>1071</v>
      </c>
      <c r="I506" s="12" t="n">
        <v>58500</v>
      </c>
      <c r="J506" s="12"/>
      <c r="K506" s="12"/>
      <c r="L506" s="12"/>
      <c r="M506" s="12"/>
      <c r="N506" s="12"/>
      <c r="O506" s="13" t="s">
        <v>4283</v>
      </c>
      <c r="P506" s="13" t="s">
        <v>4284</v>
      </c>
      <c r="Q506" s="13"/>
      <c r="R506" s="13"/>
      <c r="S506" s="13" t="s">
        <v>4285</v>
      </c>
      <c r="T506" s="12" t="s">
        <v>94</v>
      </c>
      <c r="U506" s="12" t="s">
        <v>1082</v>
      </c>
    </row>
    <row r="507" customFormat="false" ht="31.5" hidden="false" customHeight="true" outlineLevel="0" collapsed="false">
      <c r="A507" s="12" t="n">
        <v>428</v>
      </c>
      <c r="B507" s="12" t="s">
        <v>4286</v>
      </c>
      <c r="C507" s="12" t="s">
        <v>2670</v>
      </c>
      <c r="D507" s="12" t="s">
        <v>113</v>
      </c>
      <c r="E507" s="12" t="s">
        <v>83</v>
      </c>
      <c r="F507" s="12"/>
      <c r="G507" s="12"/>
      <c r="H507" s="12" t="s">
        <v>4287</v>
      </c>
      <c r="I507" s="12"/>
      <c r="J507" s="12"/>
      <c r="K507" s="12" t="n">
        <v>150</v>
      </c>
      <c r="L507" s="12"/>
      <c r="M507" s="12" t="n">
        <v>122.2</v>
      </c>
      <c r="N507" s="12"/>
      <c r="O507" s="13"/>
      <c r="P507" s="13" t="s">
        <v>4288</v>
      </c>
      <c r="Q507" s="13"/>
      <c r="R507" s="13"/>
      <c r="S507" s="13" t="s">
        <v>4289</v>
      </c>
      <c r="T507" s="12" t="s">
        <v>94</v>
      </c>
      <c r="U507" s="12" t="s">
        <v>4290</v>
      </c>
    </row>
    <row r="508" customFormat="false" ht="31.5" hidden="false" customHeight="true" outlineLevel="0" collapsed="false">
      <c r="A508" s="12" t="n">
        <v>429</v>
      </c>
      <c r="B508" s="12" t="s">
        <v>4291</v>
      </c>
      <c r="C508" s="12" t="s">
        <v>2557</v>
      </c>
      <c r="D508" s="12" t="s">
        <v>1055</v>
      </c>
      <c r="E508" s="12" t="s">
        <v>259</v>
      </c>
      <c r="F508" s="12"/>
      <c r="G508" s="12"/>
      <c r="H508" s="12"/>
      <c r="I508" s="12"/>
      <c r="J508" s="12"/>
      <c r="K508" s="12"/>
      <c r="L508" s="12" t="n">
        <v>1.3</v>
      </c>
      <c r="M508" s="12"/>
      <c r="N508" s="12"/>
      <c r="O508" s="13" t="s">
        <v>4292</v>
      </c>
      <c r="P508" s="13" t="s">
        <v>4293</v>
      </c>
      <c r="Q508" s="13"/>
      <c r="R508" s="13"/>
      <c r="S508" s="13" t="s">
        <v>4294</v>
      </c>
      <c r="T508" s="12" t="s">
        <v>94</v>
      </c>
      <c r="U508" s="12" t="s">
        <v>4295</v>
      </c>
    </row>
    <row r="509" customFormat="false" ht="31.5" hidden="false" customHeight="true" outlineLevel="0" collapsed="false">
      <c r="A509" s="12" t="n">
        <v>429</v>
      </c>
      <c r="B509" s="12" t="s">
        <v>4291</v>
      </c>
      <c r="C509" s="12" t="s">
        <v>2618</v>
      </c>
      <c r="D509" s="12" t="s">
        <v>1055</v>
      </c>
      <c r="E509" s="12" t="s">
        <v>259</v>
      </c>
      <c r="F509" s="12"/>
      <c r="G509" s="12"/>
      <c r="H509" s="12" t="s">
        <v>1060</v>
      </c>
      <c r="I509" s="12"/>
      <c r="J509" s="12" t="n">
        <v>100</v>
      </c>
      <c r="K509" s="12"/>
      <c r="L509" s="12" t="n">
        <v>2</v>
      </c>
      <c r="M509" s="12"/>
      <c r="N509" s="12"/>
      <c r="O509" s="13"/>
      <c r="P509" s="13" t="s">
        <v>4296</v>
      </c>
      <c r="Q509" s="13"/>
      <c r="R509" s="13"/>
      <c r="S509" s="13" t="s">
        <v>4297</v>
      </c>
      <c r="T509" s="12" t="s">
        <v>94</v>
      </c>
      <c r="U509" s="12" t="s">
        <v>4295</v>
      </c>
    </row>
    <row r="510" customFormat="false" ht="31.5" hidden="false" customHeight="true" outlineLevel="0" collapsed="false">
      <c r="A510" s="12" t="n">
        <v>430</v>
      </c>
      <c r="B510" s="12" t="s">
        <v>1083</v>
      </c>
      <c r="C510" s="12" t="s">
        <v>2521</v>
      </c>
      <c r="D510" s="12" t="s">
        <v>1084</v>
      </c>
      <c r="E510" s="12" t="s">
        <v>83</v>
      </c>
      <c r="F510" s="12" t="n">
        <v>5.14</v>
      </c>
      <c r="G510" s="12" t="n">
        <v>5.052</v>
      </c>
      <c r="H510" s="12" t="s">
        <v>1086</v>
      </c>
      <c r="I510" s="12" t="n">
        <v>4.8</v>
      </c>
      <c r="J510" s="12"/>
      <c r="K510" s="12"/>
      <c r="L510" s="12" t="n">
        <v>1</v>
      </c>
      <c r="M510" s="12"/>
      <c r="N510" s="12"/>
      <c r="O510" s="13"/>
      <c r="P510" s="13" t="s">
        <v>4298</v>
      </c>
      <c r="Q510" s="13"/>
      <c r="R510" s="13"/>
      <c r="S510" s="13" t="s">
        <v>4299</v>
      </c>
      <c r="T510" s="12" t="s">
        <v>94</v>
      </c>
      <c r="U510" s="12" t="s">
        <v>1095</v>
      </c>
    </row>
    <row r="511" customFormat="false" ht="31.5" hidden="false" customHeight="true" outlineLevel="0" collapsed="false">
      <c r="A511" s="12" t="n">
        <v>431</v>
      </c>
      <c r="B511" s="12" t="s">
        <v>4300</v>
      </c>
      <c r="C511" s="12" t="s">
        <v>2557</v>
      </c>
      <c r="D511" s="12" t="s">
        <v>1084</v>
      </c>
      <c r="E511" s="12" t="s">
        <v>83</v>
      </c>
      <c r="F511" s="12"/>
      <c r="G511" s="12"/>
      <c r="H511" s="12"/>
      <c r="I511" s="12"/>
      <c r="J511" s="12"/>
      <c r="K511" s="12"/>
      <c r="L511" s="12"/>
      <c r="M511" s="12"/>
      <c r="N511" s="12" t="n">
        <v>5.14</v>
      </c>
      <c r="O511" s="13"/>
      <c r="P511" s="13" t="s">
        <v>4301</v>
      </c>
      <c r="Q511" s="13"/>
      <c r="R511" s="13"/>
      <c r="S511" s="13" t="s">
        <v>2628</v>
      </c>
      <c r="T511" s="12" t="s">
        <v>108</v>
      </c>
      <c r="U511" s="12" t="s">
        <v>4302</v>
      </c>
    </row>
    <row r="512" customFormat="false" ht="31.5" hidden="false" customHeight="true" outlineLevel="0" collapsed="false">
      <c r="A512" s="12" t="n">
        <v>432</v>
      </c>
      <c r="B512" s="12" t="s">
        <v>1096</v>
      </c>
      <c r="C512" s="12" t="s">
        <v>2521</v>
      </c>
      <c r="D512" s="12" t="s">
        <v>527</v>
      </c>
      <c r="E512" s="12" t="s">
        <v>83</v>
      </c>
      <c r="F512" s="12" t="n">
        <v>0.515</v>
      </c>
      <c r="G512" s="12"/>
      <c r="H512" s="12" t="s">
        <v>1097</v>
      </c>
      <c r="I512" s="12" t="n">
        <v>0.45</v>
      </c>
      <c r="J512" s="12"/>
      <c r="K512" s="12"/>
      <c r="L512" s="12"/>
      <c r="M512" s="12"/>
      <c r="N512" s="12"/>
      <c r="O512" s="13"/>
      <c r="P512" s="13" t="s">
        <v>4303</v>
      </c>
      <c r="Q512" s="13"/>
      <c r="R512" s="13"/>
      <c r="S512" s="13" t="s">
        <v>4304</v>
      </c>
      <c r="T512" s="12" t="s">
        <v>94</v>
      </c>
      <c r="U512" s="12" t="s">
        <v>1106</v>
      </c>
    </row>
    <row r="513" customFormat="false" ht="31.5" hidden="false" customHeight="true" outlineLevel="0" collapsed="false">
      <c r="A513" s="12" t="n">
        <v>434</v>
      </c>
      <c r="B513" s="12" t="s">
        <v>4305</v>
      </c>
      <c r="C513" s="12" t="s">
        <v>2666</v>
      </c>
      <c r="D513" s="12" t="s">
        <v>113</v>
      </c>
      <c r="E513" s="12" t="s">
        <v>83</v>
      </c>
      <c r="F513" s="12"/>
      <c r="G513" s="12"/>
      <c r="H513" s="12" t="s">
        <v>4287</v>
      </c>
      <c r="I513" s="12"/>
      <c r="J513" s="12"/>
      <c r="K513" s="12" t="n">
        <v>150</v>
      </c>
      <c r="L513" s="12"/>
      <c r="M513" s="12" t="n">
        <v>290.59</v>
      </c>
      <c r="N513" s="12"/>
      <c r="O513" s="13"/>
      <c r="P513" s="13" t="s">
        <v>4306</v>
      </c>
      <c r="Q513" s="13"/>
      <c r="R513" s="13"/>
      <c r="S513" s="13" t="s">
        <v>4307</v>
      </c>
      <c r="T513" s="12" t="s">
        <v>94</v>
      </c>
      <c r="U513" s="12" t="s">
        <v>4308</v>
      </c>
    </row>
    <row r="514" customFormat="false" ht="31.5" hidden="false" customHeight="true" outlineLevel="0" collapsed="false">
      <c r="A514" s="12" t="n">
        <v>435</v>
      </c>
      <c r="B514" s="12" t="s">
        <v>4309</v>
      </c>
      <c r="C514" s="12" t="s">
        <v>2557</v>
      </c>
      <c r="D514" s="12" t="s">
        <v>113</v>
      </c>
      <c r="E514" s="12" t="s">
        <v>83</v>
      </c>
      <c r="F514" s="12"/>
      <c r="G514" s="12"/>
      <c r="H514" s="12"/>
      <c r="I514" s="12"/>
      <c r="J514" s="12"/>
      <c r="K514" s="12"/>
      <c r="L514" s="12"/>
      <c r="M514" s="12"/>
      <c r="N514" s="12"/>
      <c r="O514" s="13"/>
      <c r="P514" s="13" t="s">
        <v>4310</v>
      </c>
      <c r="Q514" s="13" t="s">
        <v>4311</v>
      </c>
      <c r="R514" s="13" t="s">
        <v>4312</v>
      </c>
      <c r="S514" s="13" t="s">
        <v>4313</v>
      </c>
      <c r="T514" s="12" t="s">
        <v>108</v>
      </c>
      <c r="U514" s="12" t="s">
        <v>4314</v>
      </c>
    </row>
    <row r="515" customFormat="false" ht="31.5" hidden="false" customHeight="true" outlineLevel="0" collapsed="false">
      <c r="A515" s="12" t="n">
        <v>436</v>
      </c>
      <c r="B515" s="12" t="s">
        <v>4315</v>
      </c>
      <c r="C515" s="12" t="s">
        <v>2537</v>
      </c>
      <c r="D515" s="12" t="s">
        <v>527</v>
      </c>
      <c r="E515" s="12" t="s">
        <v>83</v>
      </c>
      <c r="F515" s="12" t="n">
        <v>0.49</v>
      </c>
      <c r="G515" s="12"/>
      <c r="H515" s="12"/>
      <c r="I515" s="12"/>
      <c r="J515" s="12"/>
      <c r="K515" s="12"/>
      <c r="L515" s="12"/>
      <c r="M515" s="12"/>
      <c r="N515" s="12"/>
      <c r="O515" s="13"/>
      <c r="P515" s="13" t="s">
        <v>4316</v>
      </c>
      <c r="Q515" s="13"/>
      <c r="R515" s="13"/>
      <c r="S515" s="13" t="s">
        <v>4317</v>
      </c>
      <c r="T515" s="12" t="s">
        <v>94</v>
      </c>
      <c r="U515" s="12" t="s">
        <v>4318</v>
      </c>
    </row>
    <row r="516" customFormat="false" ht="31.5" hidden="false" customHeight="true" outlineLevel="0" collapsed="false">
      <c r="A516" s="12" t="n">
        <v>437</v>
      </c>
      <c r="B516" s="12" t="s">
        <v>4319</v>
      </c>
      <c r="C516" s="12" t="s">
        <v>2537</v>
      </c>
      <c r="D516" s="12" t="s">
        <v>527</v>
      </c>
      <c r="E516" s="12" t="s">
        <v>83</v>
      </c>
      <c r="F516" s="12" t="n">
        <v>0.484</v>
      </c>
      <c r="G516" s="12" t="n">
        <v>0.47</v>
      </c>
      <c r="H516" s="12"/>
      <c r="I516" s="12"/>
      <c r="J516" s="12"/>
      <c r="K516" s="12"/>
      <c r="L516" s="12" t="n">
        <v>1.3</v>
      </c>
      <c r="M516" s="12"/>
      <c r="N516" s="12"/>
      <c r="O516" s="13" t="s">
        <v>4320</v>
      </c>
      <c r="P516" s="13" t="s">
        <v>4321</v>
      </c>
      <c r="Q516" s="13"/>
      <c r="R516" s="13"/>
      <c r="S516" s="13" t="s">
        <v>4322</v>
      </c>
      <c r="T516" s="12" t="s">
        <v>94</v>
      </c>
      <c r="U516" s="12" t="s">
        <v>4323</v>
      </c>
    </row>
    <row r="517" customFormat="false" ht="31.5" hidden="false" customHeight="true" outlineLevel="0" collapsed="false">
      <c r="A517" s="12" t="n">
        <v>438</v>
      </c>
      <c r="B517" s="12" t="s">
        <v>1075</v>
      </c>
      <c r="C517" s="12" t="s">
        <v>2630</v>
      </c>
      <c r="D517" s="12" t="s">
        <v>113</v>
      </c>
      <c r="E517" s="12" t="s">
        <v>83</v>
      </c>
      <c r="F517" s="12"/>
      <c r="G517" s="12"/>
      <c r="H517" s="12"/>
      <c r="I517" s="12"/>
      <c r="J517" s="12" t="n">
        <v>100</v>
      </c>
      <c r="K517" s="12"/>
      <c r="L517" s="12"/>
      <c r="M517" s="12"/>
      <c r="N517" s="12" t="n">
        <v>62700</v>
      </c>
      <c r="O517" s="13"/>
      <c r="P517" s="13" t="s">
        <v>4324</v>
      </c>
      <c r="Q517" s="13"/>
      <c r="R517" s="13"/>
      <c r="S517" s="13" t="s">
        <v>4325</v>
      </c>
      <c r="T517" s="12" t="s">
        <v>94</v>
      </c>
      <c r="U517" s="12" t="s">
        <v>4326</v>
      </c>
    </row>
    <row r="518" customFormat="false" ht="31.5" hidden="false" customHeight="true" outlineLevel="0" collapsed="false">
      <c r="A518" s="12" t="n">
        <v>439</v>
      </c>
      <c r="B518" s="12" t="s">
        <v>4327</v>
      </c>
      <c r="C518" s="12" t="s">
        <v>2557</v>
      </c>
      <c r="D518" s="12" t="s">
        <v>113</v>
      </c>
      <c r="E518" s="12" t="s">
        <v>83</v>
      </c>
      <c r="F518" s="12" t="n">
        <v>61100</v>
      </c>
      <c r="G518" s="12"/>
      <c r="H518" s="12" t="s">
        <v>4328</v>
      </c>
      <c r="I518" s="12"/>
      <c r="J518" s="12"/>
      <c r="K518" s="12"/>
      <c r="L518" s="12"/>
      <c r="M518" s="12"/>
      <c r="N518" s="12" t="n">
        <v>62668.4</v>
      </c>
      <c r="O518" s="13"/>
      <c r="P518" s="13" t="s">
        <v>4329</v>
      </c>
      <c r="Q518" s="13"/>
      <c r="R518" s="13"/>
      <c r="S518" s="13" t="s">
        <v>4330</v>
      </c>
      <c r="T518" s="12" t="s">
        <v>94</v>
      </c>
      <c r="U518" s="12" t="s">
        <v>4331</v>
      </c>
    </row>
    <row r="519" customFormat="false" ht="31.5" hidden="false" customHeight="true" outlineLevel="0" collapsed="false">
      <c r="A519" s="12" t="n">
        <v>439</v>
      </c>
      <c r="B519" s="12" t="s">
        <v>4327</v>
      </c>
      <c r="C519" s="12" t="s">
        <v>2516</v>
      </c>
      <c r="D519" s="12" t="s">
        <v>113</v>
      </c>
      <c r="E519" s="12" t="s">
        <v>259</v>
      </c>
      <c r="F519" s="12" t="n">
        <v>63200</v>
      </c>
      <c r="G519" s="12"/>
      <c r="H519" s="12"/>
      <c r="I519" s="12"/>
      <c r="J519" s="12"/>
      <c r="K519" s="12"/>
      <c r="L519" s="12"/>
      <c r="M519" s="12"/>
      <c r="N519" s="12"/>
      <c r="O519" s="13"/>
      <c r="P519" s="13" t="s">
        <v>4332</v>
      </c>
      <c r="Q519" s="13"/>
      <c r="R519" s="13"/>
      <c r="S519" s="13" t="s">
        <v>4333</v>
      </c>
      <c r="T519" s="12" t="s">
        <v>94</v>
      </c>
      <c r="U519" s="12" t="s">
        <v>4331</v>
      </c>
    </row>
    <row r="520" customFormat="false" ht="31.5" hidden="false" customHeight="true" outlineLevel="0" collapsed="false">
      <c r="A520" s="12" t="n">
        <v>440</v>
      </c>
      <c r="B520" s="12" t="s">
        <v>1100</v>
      </c>
      <c r="C520" s="12" t="s">
        <v>2564</v>
      </c>
      <c r="D520" s="12" t="s">
        <v>527</v>
      </c>
      <c r="E520" s="12" t="s">
        <v>83</v>
      </c>
      <c r="F520" s="12"/>
      <c r="G520" s="12"/>
      <c r="H520" s="12"/>
      <c r="I520" s="12" t="n">
        <v>0.45</v>
      </c>
      <c r="J520" s="12" t="n">
        <v>100</v>
      </c>
      <c r="K520" s="12"/>
      <c r="L520" s="12"/>
      <c r="M520" s="12"/>
      <c r="N520" s="12"/>
      <c r="O520" s="13"/>
      <c r="P520" s="13" t="s">
        <v>4334</v>
      </c>
      <c r="Q520" s="13"/>
      <c r="R520" s="13"/>
      <c r="S520" s="13" t="s">
        <v>4335</v>
      </c>
      <c r="T520" s="12" t="s">
        <v>94</v>
      </c>
      <c r="U520" s="12" t="s">
        <v>4336</v>
      </c>
    </row>
    <row r="521" customFormat="false" ht="31.5" hidden="false" customHeight="true" outlineLevel="0" collapsed="false">
      <c r="A521" s="12" t="n">
        <v>441</v>
      </c>
      <c r="B521" s="12" t="s">
        <v>1107</v>
      </c>
      <c r="C521" s="12" t="s">
        <v>2521</v>
      </c>
      <c r="D521" s="12" t="s">
        <v>113</v>
      </c>
      <c r="E521" s="12" t="s">
        <v>83</v>
      </c>
      <c r="F521" s="12" t="n">
        <v>62200</v>
      </c>
      <c r="G521" s="12" t="n">
        <v>61000</v>
      </c>
      <c r="H521" s="12" t="s">
        <v>1110</v>
      </c>
      <c r="I521" s="12" t="n">
        <v>59000</v>
      </c>
      <c r="J521" s="12"/>
      <c r="K521" s="12"/>
      <c r="L521" s="12"/>
      <c r="M521" s="12"/>
      <c r="N521" s="12"/>
      <c r="O521" s="13" t="s">
        <v>4337</v>
      </c>
      <c r="P521" s="13" t="s">
        <v>4338</v>
      </c>
      <c r="Q521" s="13"/>
      <c r="R521" s="13"/>
      <c r="S521" s="13" t="s">
        <v>4339</v>
      </c>
      <c r="T521" s="12" t="s">
        <v>94</v>
      </c>
      <c r="U521" s="12" t="s">
        <v>1121</v>
      </c>
    </row>
    <row r="522" customFormat="false" ht="31.5" hidden="false" customHeight="true" outlineLevel="0" collapsed="false">
      <c r="A522" s="12" t="n">
        <v>442</v>
      </c>
      <c r="B522" s="12" t="s">
        <v>4340</v>
      </c>
      <c r="C522" s="12" t="s">
        <v>2557</v>
      </c>
      <c r="D522" s="12" t="s">
        <v>113</v>
      </c>
      <c r="E522" s="12" t="s">
        <v>83</v>
      </c>
      <c r="F522" s="12"/>
      <c r="G522" s="12"/>
      <c r="H522" s="12"/>
      <c r="I522" s="12"/>
      <c r="J522" s="12"/>
      <c r="K522" s="12"/>
      <c r="L522" s="12"/>
      <c r="M522" s="12"/>
      <c r="N522" s="12"/>
      <c r="O522" s="13" t="s">
        <v>4341</v>
      </c>
      <c r="P522" s="13" t="s">
        <v>4342</v>
      </c>
      <c r="Q522" s="13"/>
      <c r="R522" s="13"/>
      <c r="S522" s="13" t="s">
        <v>4341</v>
      </c>
      <c r="T522" s="12" t="s">
        <v>108</v>
      </c>
      <c r="U522" s="12" t="s">
        <v>4343</v>
      </c>
    </row>
    <row r="523" customFormat="false" ht="31.5" hidden="false" customHeight="true" outlineLevel="0" collapsed="false">
      <c r="A523" s="12" t="n">
        <v>443</v>
      </c>
      <c r="B523" s="12" t="s">
        <v>4344</v>
      </c>
      <c r="C523" s="12" t="s">
        <v>2506</v>
      </c>
      <c r="D523" s="12" t="s">
        <v>113</v>
      </c>
      <c r="E523" s="12"/>
      <c r="F523" s="12"/>
      <c r="G523" s="12"/>
      <c r="H523" s="12"/>
      <c r="I523" s="12"/>
      <c r="J523" s="12"/>
      <c r="K523" s="12"/>
      <c r="L523" s="12"/>
      <c r="M523" s="12"/>
      <c r="N523" s="12"/>
      <c r="O523" s="13" t="s">
        <v>4345</v>
      </c>
      <c r="P523" s="13" t="s">
        <v>4346</v>
      </c>
      <c r="Q523" s="13"/>
      <c r="R523" s="13"/>
      <c r="S523" s="13" t="s">
        <v>4347</v>
      </c>
      <c r="T523" s="12" t="s">
        <v>108</v>
      </c>
      <c r="U523" s="12" t="s">
        <v>4348</v>
      </c>
    </row>
    <row r="524" customFormat="false" ht="31.5" hidden="false" customHeight="true" outlineLevel="0" collapsed="false">
      <c r="A524" s="12" t="n">
        <v>444</v>
      </c>
      <c r="B524" s="12" t="s">
        <v>1122</v>
      </c>
      <c r="C524" s="12" t="s">
        <v>2521</v>
      </c>
      <c r="D524" s="12" t="s">
        <v>317</v>
      </c>
      <c r="E524" s="12" t="s">
        <v>83</v>
      </c>
      <c r="F524" s="12" t="n">
        <v>63.2</v>
      </c>
      <c r="G524" s="12"/>
      <c r="H524" s="12" t="s">
        <v>1124</v>
      </c>
      <c r="I524" s="12" t="n">
        <v>60</v>
      </c>
      <c r="J524" s="12"/>
      <c r="K524" s="12"/>
      <c r="L524" s="12"/>
      <c r="M524" s="12"/>
      <c r="N524" s="12"/>
      <c r="O524" s="13" t="s">
        <v>4349</v>
      </c>
      <c r="P524" s="13" t="s">
        <v>4350</v>
      </c>
      <c r="Q524" s="13"/>
      <c r="R524" s="13"/>
      <c r="S524" s="13" t="s">
        <v>4351</v>
      </c>
      <c r="T524" s="12" t="s">
        <v>94</v>
      </c>
      <c r="U524" s="12" t="s">
        <v>1132</v>
      </c>
    </row>
    <row r="525" customFormat="false" ht="31.5" hidden="false" customHeight="true" outlineLevel="0" collapsed="false">
      <c r="A525" s="12" t="n">
        <v>445</v>
      </c>
      <c r="B525" s="12" t="s">
        <v>4352</v>
      </c>
      <c r="C525" s="12" t="s">
        <v>2557</v>
      </c>
      <c r="D525" s="12" t="s">
        <v>1055</v>
      </c>
      <c r="E525" s="12" t="s">
        <v>259</v>
      </c>
      <c r="F525" s="12"/>
      <c r="G525" s="12"/>
      <c r="H525" s="12" t="s">
        <v>4353</v>
      </c>
      <c r="I525" s="12"/>
      <c r="J525" s="12"/>
      <c r="K525" s="12" t="n">
        <v>100</v>
      </c>
      <c r="L525" s="12" t="n">
        <v>1.5</v>
      </c>
      <c r="M525" s="12" t="n">
        <v>1037.04</v>
      </c>
      <c r="N525" s="12"/>
      <c r="O525" s="13"/>
      <c r="P525" s="13" t="s">
        <v>4354</v>
      </c>
      <c r="Q525" s="13"/>
      <c r="R525" s="13"/>
      <c r="S525" s="13" t="s">
        <v>4355</v>
      </c>
      <c r="T525" s="12" t="s">
        <v>94</v>
      </c>
      <c r="U525" s="12" t="s">
        <v>4356</v>
      </c>
    </row>
    <row r="526" customFormat="false" ht="31.5" hidden="false" customHeight="true" outlineLevel="0" collapsed="false">
      <c r="A526" s="12" t="n">
        <v>446</v>
      </c>
      <c r="B526" s="12" t="s">
        <v>4357</v>
      </c>
      <c r="C526" s="12" t="s">
        <v>2557</v>
      </c>
      <c r="D526" s="12" t="s">
        <v>113</v>
      </c>
      <c r="E526" s="12" t="s">
        <v>83</v>
      </c>
      <c r="F526" s="12"/>
      <c r="G526" s="12"/>
      <c r="H526" s="12"/>
      <c r="I526" s="12"/>
      <c r="J526" s="12"/>
      <c r="K526" s="12"/>
      <c r="L526" s="12"/>
      <c r="M526" s="12"/>
      <c r="N526" s="12"/>
      <c r="O526" s="13"/>
      <c r="P526" s="13" t="s">
        <v>4358</v>
      </c>
      <c r="Q526" s="13"/>
      <c r="R526" s="13"/>
      <c r="S526" s="13" t="s">
        <v>4359</v>
      </c>
      <c r="T526" s="12" t="s">
        <v>94</v>
      </c>
      <c r="U526" s="12" t="s">
        <v>4360</v>
      </c>
    </row>
    <row r="527" customFormat="false" ht="31.5" hidden="false" customHeight="true" outlineLevel="0" collapsed="false">
      <c r="A527" s="12" t="n">
        <v>447</v>
      </c>
      <c r="B527" s="12" t="s">
        <v>4361</v>
      </c>
      <c r="C527" s="12" t="s">
        <v>2511</v>
      </c>
      <c r="D527" s="12" t="s">
        <v>113</v>
      </c>
      <c r="E527" s="12" t="s">
        <v>83</v>
      </c>
      <c r="F527" s="12"/>
      <c r="G527" s="12"/>
      <c r="H527" s="12"/>
      <c r="I527" s="12"/>
      <c r="J527" s="12"/>
      <c r="K527" s="12"/>
      <c r="L527" s="12"/>
      <c r="M527" s="12"/>
      <c r="N527" s="12"/>
      <c r="O527" s="13"/>
      <c r="P527" s="13" t="s">
        <v>4362</v>
      </c>
      <c r="Q527" s="13"/>
      <c r="R527" s="13"/>
      <c r="S527" s="13" t="s">
        <v>4363</v>
      </c>
      <c r="T527" s="12" t="s">
        <v>94</v>
      </c>
      <c r="U527" s="12" t="s">
        <v>4364</v>
      </c>
    </row>
    <row r="528" customFormat="false" ht="31.5" hidden="false" customHeight="true" outlineLevel="0" collapsed="false">
      <c r="A528" s="12" t="n">
        <v>448</v>
      </c>
      <c r="B528" s="12" t="s">
        <v>4365</v>
      </c>
      <c r="C528" s="12" t="s">
        <v>2581</v>
      </c>
      <c r="D528" s="12" t="s">
        <v>1084</v>
      </c>
      <c r="E528" s="12" t="s">
        <v>83</v>
      </c>
      <c r="F528" s="12"/>
      <c r="G528" s="12"/>
      <c r="H528" s="12"/>
      <c r="I528" s="12"/>
      <c r="J528" s="12" t="n">
        <v>25</v>
      </c>
      <c r="K528" s="12" t="n">
        <v>75</v>
      </c>
      <c r="L528" s="12" t="n">
        <v>1</v>
      </c>
      <c r="M528" s="12" t="n">
        <v>216.11</v>
      </c>
      <c r="N528" s="12" t="n">
        <v>5.3</v>
      </c>
      <c r="O528" s="13"/>
      <c r="P528" s="13" t="s">
        <v>4366</v>
      </c>
      <c r="Q528" s="13"/>
      <c r="R528" s="13"/>
      <c r="S528" s="13" t="s">
        <v>4367</v>
      </c>
      <c r="T528" s="12" t="s">
        <v>94</v>
      </c>
      <c r="U528" s="12" t="s">
        <v>4368</v>
      </c>
    </row>
    <row r="529" customFormat="false" ht="31.5" hidden="false" customHeight="true" outlineLevel="0" collapsed="false">
      <c r="A529" s="12" t="n">
        <v>449</v>
      </c>
      <c r="B529" s="12" t="s">
        <v>4369</v>
      </c>
      <c r="C529" s="12" t="s">
        <v>2557</v>
      </c>
      <c r="D529" s="12" t="s">
        <v>113</v>
      </c>
      <c r="E529" s="12" t="s">
        <v>83</v>
      </c>
      <c r="F529" s="12"/>
      <c r="G529" s="12"/>
      <c r="H529" s="12"/>
      <c r="I529" s="12"/>
      <c r="J529" s="12"/>
      <c r="K529" s="12"/>
      <c r="L529" s="12"/>
      <c r="M529" s="12"/>
      <c r="N529" s="12" t="n">
        <v>62900</v>
      </c>
      <c r="O529" s="13"/>
      <c r="P529" s="13" t="s">
        <v>4370</v>
      </c>
      <c r="Q529" s="13"/>
      <c r="R529" s="13"/>
      <c r="S529" s="13" t="s">
        <v>4371</v>
      </c>
      <c r="T529" s="12" t="s">
        <v>94</v>
      </c>
      <c r="U529" s="12" t="s">
        <v>4372</v>
      </c>
    </row>
    <row r="530" customFormat="false" ht="31.5" hidden="false" customHeight="true" outlineLevel="0" collapsed="false">
      <c r="A530" s="12" t="n">
        <v>450</v>
      </c>
      <c r="B530" s="12" t="s">
        <v>4373</v>
      </c>
      <c r="C530" s="12" t="s">
        <v>2588</v>
      </c>
      <c r="D530" s="12" t="s">
        <v>1055</v>
      </c>
      <c r="E530" s="12" t="s">
        <v>259</v>
      </c>
      <c r="F530" s="12"/>
      <c r="G530" s="12"/>
      <c r="H530" s="12"/>
      <c r="I530" s="12" t="n">
        <v>0.425</v>
      </c>
      <c r="J530" s="12"/>
      <c r="K530" s="12"/>
      <c r="L530" s="12" t="n">
        <v>1.5</v>
      </c>
      <c r="M530" s="12"/>
      <c r="N530" s="12"/>
      <c r="O530" s="13" t="s">
        <v>4374</v>
      </c>
      <c r="P530" s="13" t="s">
        <v>4375</v>
      </c>
      <c r="Q530" s="13"/>
      <c r="R530" s="13"/>
      <c r="S530" s="13" t="s">
        <v>4376</v>
      </c>
      <c r="T530" s="12" t="s">
        <v>108</v>
      </c>
      <c r="U530" s="12" t="s">
        <v>4377</v>
      </c>
    </row>
    <row r="531" customFormat="false" ht="31.5" hidden="false" customHeight="true" outlineLevel="0" collapsed="false">
      <c r="A531" s="12" t="n">
        <v>451</v>
      </c>
      <c r="B531" s="12" t="s">
        <v>4378</v>
      </c>
      <c r="C531" s="12" t="s">
        <v>2557</v>
      </c>
      <c r="D531" s="12" t="s">
        <v>1055</v>
      </c>
      <c r="E531" s="12" t="s">
        <v>259</v>
      </c>
      <c r="F531" s="12"/>
      <c r="G531" s="12"/>
      <c r="H531" s="12"/>
      <c r="I531" s="12"/>
      <c r="J531" s="12"/>
      <c r="K531" s="12"/>
      <c r="L531" s="12" t="n">
        <v>1.5</v>
      </c>
      <c r="M531" s="12"/>
      <c r="N531" s="12"/>
      <c r="O531" s="13" t="s">
        <v>4379</v>
      </c>
      <c r="P531" s="13" t="s">
        <v>4380</v>
      </c>
      <c r="Q531" s="13"/>
      <c r="R531" s="13"/>
      <c r="S531" s="13" t="s">
        <v>4381</v>
      </c>
      <c r="T531" s="12" t="s">
        <v>94</v>
      </c>
      <c r="U531" s="12" t="s">
        <v>4382</v>
      </c>
    </row>
    <row r="532" customFormat="false" ht="31.5" hidden="false" customHeight="true" outlineLevel="0" collapsed="false">
      <c r="A532" s="12" t="n">
        <v>451</v>
      </c>
      <c r="B532" s="12" t="s">
        <v>4378</v>
      </c>
      <c r="C532" s="12" t="s">
        <v>2557</v>
      </c>
      <c r="D532" s="12" t="s">
        <v>113</v>
      </c>
      <c r="E532" s="12" t="s">
        <v>83</v>
      </c>
      <c r="F532" s="12"/>
      <c r="G532" s="12"/>
      <c r="H532" s="12"/>
      <c r="I532" s="12"/>
      <c r="J532" s="12"/>
      <c r="K532" s="12"/>
      <c r="L532" s="12" t="n">
        <v>0.5</v>
      </c>
      <c r="M532" s="12"/>
      <c r="N532" s="12"/>
      <c r="O532" s="13" t="s">
        <v>4379</v>
      </c>
      <c r="P532" s="13" t="s">
        <v>4383</v>
      </c>
      <c r="Q532" s="13"/>
      <c r="R532" s="13"/>
      <c r="S532" s="13" t="s">
        <v>4384</v>
      </c>
      <c r="T532" s="12" t="s">
        <v>94</v>
      </c>
      <c r="U532" s="12" t="s">
        <v>4382</v>
      </c>
    </row>
    <row r="533" customFormat="false" ht="31.5" hidden="false" customHeight="true" outlineLevel="0" collapsed="false">
      <c r="A533" s="12" t="n">
        <v>451</v>
      </c>
      <c r="B533" s="12" t="s">
        <v>4378</v>
      </c>
      <c r="C533" s="12" t="s">
        <v>2557</v>
      </c>
      <c r="D533" s="12" t="s">
        <v>1084</v>
      </c>
      <c r="E533" s="12" t="s">
        <v>83</v>
      </c>
      <c r="F533" s="12"/>
      <c r="G533" s="12"/>
      <c r="H533" s="12"/>
      <c r="I533" s="12"/>
      <c r="J533" s="12"/>
      <c r="K533" s="12"/>
      <c r="L533" s="12" t="n">
        <v>1.1</v>
      </c>
      <c r="M533" s="12"/>
      <c r="N533" s="12"/>
      <c r="O533" s="13" t="s">
        <v>4379</v>
      </c>
      <c r="P533" s="13" t="s">
        <v>4385</v>
      </c>
      <c r="Q533" s="13"/>
      <c r="R533" s="13"/>
      <c r="S533" s="13" t="s">
        <v>4386</v>
      </c>
      <c r="T533" s="12" t="s">
        <v>94</v>
      </c>
      <c r="U533" s="12" t="s">
        <v>4382</v>
      </c>
    </row>
    <row r="534" customFormat="false" ht="31.5" hidden="false" customHeight="true" outlineLevel="0" collapsed="false">
      <c r="A534" s="12" t="n">
        <v>451</v>
      </c>
      <c r="B534" s="12" t="s">
        <v>4378</v>
      </c>
      <c r="C534" s="12" t="s">
        <v>2557</v>
      </c>
      <c r="D534" s="12" t="s">
        <v>317</v>
      </c>
      <c r="E534" s="12" t="s">
        <v>83</v>
      </c>
      <c r="F534" s="12"/>
      <c r="G534" s="12"/>
      <c r="H534" s="12"/>
      <c r="I534" s="12"/>
      <c r="J534" s="12"/>
      <c r="K534" s="12"/>
      <c r="L534" s="12" t="n">
        <v>1</v>
      </c>
      <c r="M534" s="12"/>
      <c r="N534" s="12"/>
      <c r="O534" s="13" t="s">
        <v>4379</v>
      </c>
      <c r="P534" s="13" t="s">
        <v>4387</v>
      </c>
      <c r="Q534" s="13"/>
      <c r="R534" s="13"/>
      <c r="S534" s="13" t="s">
        <v>4388</v>
      </c>
      <c r="T534" s="12" t="s">
        <v>94</v>
      </c>
      <c r="U534" s="12" t="s">
        <v>4382</v>
      </c>
    </row>
    <row r="535" customFormat="false" ht="31.5" hidden="false" customHeight="true" outlineLevel="0" collapsed="false">
      <c r="A535" s="12" t="n">
        <v>452</v>
      </c>
      <c r="B535" s="12" t="s">
        <v>1090</v>
      </c>
      <c r="C535" s="12" t="s">
        <v>2630</v>
      </c>
      <c r="D535" s="12" t="s">
        <v>1084</v>
      </c>
      <c r="E535" s="12" t="s">
        <v>83</v>
      </c>
      <c r="F535" s="12"/>
      <c r="G535" s="12"/>
      <c r="H535" s="12"/>
      <c r="I535" s="12"/>
      <c r="J535" s="12" t="n">
        <v>100</v>
      </c>
      <c r="K535" s="12" t="n">
        <v>75</v>
      </c>
      <c r="L535" s="12"/>
      <c r="M535" s="12" t="n">
        <v>216.11</v>
      </c>
      <c r="N535" s="12" t="n">
        <v>5.28</v>
      </c>
      <c r="O535" s="13"/>
      <c r="P535" s="13" t="s">
        <v>4389</v>
      </c>
      <c r="Q535" s="13"/>
      <c r="R535" s="13"/>
      <c r="S535" s="13" t="s">
        <v>4390</v>
      </c>
      <c r="T535" s="12" t="s">
        <v>94</v>
      </c>
      <c r="U535" s="12" t="s">
        <v>4391</v>
      </c>
    </row>
    <row r="536" customFormat="false" ht="31.5" hidden="false" customHeight="true" outlineLevel="0" collapsed="false">
      <c r="A536" s="12" t="n">
        <v>453</v>
      </c>
      <c r="B536" s="12" t="s">
        <v>4392</v>
      </c>
      <c r="C536" s="12" t="s">
        <v>2666</v>
      </c>
      <c r="D536" s="12" t="s">
        <v>113</v>
      </c>
      <c r="E536" s="12" t="s">
        <v>83</v>
      </c>
      <c r="F536" s="12"/>
      <c r="G536" s="12"/>
      <c r="H536" s="12" t="s">
        <v>1071</v>
      </c>
      <c r="I536" s="12"/>
      <c r="J536" s="12"/>
      <c r="K536" s="12" t="n">
        <v>250</v>
      </c>
      <c r="L536" s="12"/>
      <c r="M536" s="12" t="n">
        <v>315.35</v>
      </c>
      <c r="N536" s="12" t="n">
        <v>62946</v>
      </c>
      <c r="O536" s="13"/>
      <c r="P536" s="13" t="s">
        <v>4393</v>
      </c>
      <c r="Q536" s="13"/>
      <c r="R536" s="13"/>
      <c r="S536" s="13" t="s">
        <v>4394</v>
      </c>
      <c r="T536" s="12" t="s">
        <v>94</v>
      </c>
      <c r="U536" s="12" t="s">
        <v>4395</v>
      </c>
    </row>
    <row r="537" customFormat="false" ht="31.5" hidden="false" customHeight="true" outlineLevel="0" collapsed="false">
      <c r="A537" s="12" t="n">
        <v>453</v>
      </c>
      <c r="B537" s="12" t="s">
        <v>4392</v>
      </c>
      <c r="C537" s="12" t="s">
        <v>2511</v>
      </c>
      <c r="D537" s="12" t="s">
        <v>113</v>
      </c>
      <c r="E537" s="12"/>
      <c r="F537" s="12"/>
      <c r="G537" s="12"/>
      <c r="H537" s="12"/>
      <c r="I537" s="12"/>
      <c r="J537" s="12"/>
      <c r="K537" s="12"/>
      <c r="L537" s="12"/>
      <c r="M537" s="12"/>
      <c r="N537" s="12"/>
      <c r="O537" s="13"/>
      <c r="P537" s="13" t="s">
        <v>4396</v>
      </c>
      <c r="Q537" s="13"/>
      <c r="R537" s="13"/>
      <c r="S537" s="13" t="s">
        <v>4397</v>
      </c>
      <c r="T537" s="12" t="s">
        <v>94</v>
      </c>
      <c r="U537" s="12" t="s">
        <v>4395</v>
      </c>
    </row>
    <row r="538" customFormat="false" ht="31.5" hidden="false" customHeight="true" outlineLevel="0" collapsed="false">
      <c r="A538" s="12" t="n">
        <v>454</v>
      </c>
      <c r="B538" s="12" t="s">
        <v>4398</v>
      </c>
      <c r="C538" s="12" t="s">
        <v>2557</v>
      </c>
      <c r="D538" s="12" t="s">
        <v>113</v>
      </c>
      <c r="E538" s="12" t="s">
        <v>83</v>
      </c>
      <c r="F538" s="12"/>
      <c r="G538" s="12"/>
      <c r="H538" s="12"/>
      <c r="I538" s="12"/>
      <c r="J538" s="12"/>
      <c r="K538" s="12" t="n">
        <v>150</v>
      </c>
      <c r="L538" s="12"/>
      <c r="M538" s="12" t="n">
        <v>245.5</v>
      </c>
      <c r="N538" s="12"/>
      <c r="O538" s="13"/>
      <c r="P538" s="13" t="s">
        <v>4399</v>
      </c>
      <c r="Q538" s="13"/>
      <c r="R538" s="13"/>
      <c r="S538" s="13" t="s">
        <v>4400</v>
      </c>
      <c r="T538" s="12" t="s">
        <v>108</v>
      </c>
      <c r="U538" s="12" t="s">
        <v>4401</v>
      </c>
    </row>
    <row r="539" customFormat="false" ht="31.5" hidden="false" customHeight="true" outlineLevel="0" collapsed="false">
      <c r="A539" s="12" t="n">
        <v>455</v>
      </c>
      <c r="B539" s="12" t="s">
        <v>4402</v>
      </c>
      <c r="C539" s="12" t="s">
        <v>2557</v>
      </c>
      <c r="D539" s="12" t="s">
        <v>113</v>
      </c>
      <c r="E539" s="12" t="s">
        <v>83</v>
      </c>
      <c r="F539" s="12"/>
      <c r="G539" s="12"/>
      <c r="H539" s="12" t="s">
        <v>1358</v>
      </c>
      <c r="I539" s="12"/>
      <c r="J539" s="12"/>
      <c r="K539" s="12"/>
      <c r="L539" s="12"/>
      <c r="M539" s="12"/>
      <c r="N539" s="12"/>
      <c r="O539" s="13"/>
      <c r="P539" s="13" t="s">
        <v>4403</v>
      </c>
      <c r="Q539" s="13"/>
      <c r="R539" s="13"/>
      <c r="S539" s="13" t="s">
        <v>4404</v>
      </c>
      <c r="T539" s="12" t="s">
        <v>94</v>
      </c>
      <c r="U539" s="12" t="s">
        <v>4405</v>
      </c>
    </row>
    <row r="540" customFormat="false" ht="31.5" hidden="false" customHeight="true" outlineLevel="0" collapsed="false">
      <c r="A540" s="12" t="n">
        <v>456</v>
      </c>
      <c r="B540" s="12" t="s">
        <v>4406</v>
      </c>
      <c r="C540" s="12" t="s">
        <v>2557</v>
      </c>
      <c r="D540" s="12" t="s">
        <v>1055</v>
      </c>
      <c r="E540" s="12" t="s">
        <v>259</v>
      </c>
      <c r="F540" s="12"/>
      <c r="G540" s="12"/>
      <c r="H540" s="12"/>
      <c r="I540" s="12"/>
      <c r="J540" s="12"/>
      <c r="K540" s="12" t="n">
        <v>100</v>
      </c>
      <c r="L540" s="12" t="n">
        <v>2</v>
      </c>
      <c r="M540" s="12" t="n">
        <v>762.19</v>
      </c>
      <c r="N540" s="12"/>
      <c r="O540" s="13"/>
      <c r="P540" s="13" t="s">
        <v>4407</v>
      </c>
      <c r="Q540" s="13"/>
      <c r="R540" s="13"/>
      <c r="S540" s="13" t="s">
        <v>4408</v>
      </c>
      <c r="T540" s="12" t="s">
        <v>94</v>
      </c>
      <c r="U540" s="12" t="s">
        <v>4409</v>
      </c>
    </row>
    <row r="541" customFormat="false" ht="31.5" hidden="false" customHeight="true" outlineLevel="0" collapsed="false">
      <c r="A541" s="12" t="n">
        <v>457</v>
      </c>
      <c r="B541" s="12" t="s">
        <v>4410</v>
      </c>
      <c r="C541" s="12" t="s">
        <v>2557</v>
      </c>
      <c r="D541" s="12" t="s">
        <v>113</v>
      </c>
      <c r="E541" s="12" t="s">
        <v>83</v>
      </c>
      <c r="F541" s="12" t="n">
        <v>62200</v>
      </c>
      <c r="G541" s="12"/>
      <c r="H541" s="12"/>
      <c r="I541" s="12"/>
      <c r="J541" s="12" t="n">
        <v>25</v>
      </c>
      <c r="K541" s="12"/>
      <c r="L541" s="12"/>
      <c r="M541" s="12"/>
      <c r="N541" s="12"/>
      <c r="O541" s="13"/>
      <c r="P541" s="13" t="s">
        <v>4411</v>
      </c>
      <c r="Q541" s="13"/>
      <c r="R541" s="13"/>
      <c r="S541" s="13" t="s">
        <v>4412</v>
      </c>
      <c r="T541" s="12" t="s">
        <v>94</v>
      </c>
      <c r="U541" s="12" t="s">
        <v>4413</v>
      </c>
    </row>
    <row r="542" customFormat="false" ht="31.5" hidden="false" customHeight="true" outlineLevel="0" collapsed="false">
      <c r="A542" s="12" t="n">
        <v>457</v>
      </c>
      <c r="B542" s="12" t="s">
        <v>4410</v>
      </c>
      <c r="C542" s="12" t="s">
        <v>2537</v>
      </c>
      <c r="D542" s="12" t="s">
        <v>113</v>
      </c>
      <c r="E542" s="12" t="s">
        <v>83</v>
      </c>
      <c r="F542" s="12"/>
      <c r="G542" s="12" t="n">
        <v>61800</v>
      </c>
      <c r="H542" s="12"/>
      <c r="I542" s="12"/>
      <c r="J542" s="12"/>
      <c r="K542" s="12"/>
      <c r="L542" s="12"/>
      <c r="M542" s="12"/>
      <c r="N542" s="12"/>
      <c r="O542" s="13" t="s">
        <v>4414</v>
      </c>
      <c r="P542" s="13" t="s">
        <v>4415</v>
      </c>
      <c r="Q542" s="13"/>
      <c r="R542" s="13"/>
      <c r="S542" s="13" t="s">
        <v>4416</v>
      </c>
      <c r="T542" s="12" t="s">
        <v>94</v>
      </c>
      <c r="U542" s="12" t="s">
        <v>4413</v>
      </c>
    </row>
    <row r="543" customFormat="false" ht="31.5" hidden="false" customHeight="true" outlineLevel="0" collapsed="false">
      <c r="A543" s="12" t="n">
        <v>458</v>
      </c>
      <c r="B543" s="12" t="s">
        <v>4417</v>
      </c>
      <c r="C543" s="12" t="s">
        <v>2588</v>
      </c>
      <c r="D543" s="12" t="s">
        <v>113</v>
      </c>
      <c r="E543" s="12" t="s">
        <v>83</v>
      </c>
      <c r="F543" s="12"/>
      <c r="G543" s="12"/>
      <c r="H543" s="12"/>
      <c r="I543" s="12" t="n">
        <v>60000</v>
      </c>
      <c r="J543" s="12"/>
      <c r="K543" s="12"/>
      <c r="L543" s="12"/>
      <c r="M543" s="12"/>
      <c r="N543" s="12"/>
      <c r="O543" s="13"/>
      <c r="P543" s="13" t="s">
        <v>4418</v>
      </c>
      <c r="Q543" s="13"/>
      <c r="R543" s="13"/>
      <c r="S543" s="13" t="s">
        <v>4419</v>
      </c>
      <c r="T543" s="12" t="s">
        <v>94</v>
      </c>
      <c r="U543" s="12" t="s">
        <v>4420</v>
      </c>
    </row>
    <row r="544" customFormat="false" ht="31.5" hidden="false" customHeight="true" outlineLevel="0" collapsed="false">
      <c r="A544" s="12" t="n">
        <v>458</v>
      </c>
      <c r="B544" s="12" t="s">
        <v>4417</v>
      </c>
      <c r="C544" s="12" t="s">
        <v>2516</v>
      </c>
      <c r="D544" s="12" t="s">
        <v>113</v>
      </c>
      <c r="E544" s="12" t="s">
        <v>83</v>
      </c>
      <c r="F544" s="12" t="n">
        <v>62800</v>
      </c>
      <c r="G544" s="12" t="n">
        <v>61800</v>
      </c>
      <c r="H544" s="12"/>
      <c r="I544" s="12" t="n">
        <v>60000</v>
      </c>
      <c r="J544" s="12" t="n">
        <v>40</v>
      </c>
      <c r="K544" s="12"/>
      <c r="L544" s="12"/>
      <c r="M544" s="12"/>
      <c r="N544" s="12" t="n">
        <v>62800</v>
      </c>
      <c r="O544" s="13" t="s">
        <v>4421</v>
      </c>
      <c r="P544" s="13" t="s">
        <v>4422</v>
      </c>
      <c r="Q544" s="13"/>
      <c r="R544" s="13"/>
      <c r="S544" s="13" t="s">
        <v>4423</v>
      </c>
      <c r="T544" s="12" t="s">
        <v>108</v>
      </c>
      <c r="U544" s="12" t="s">
        <v>4420</v>
      </c>
    </row>
    <row r="545" customFormat="false" ht="31.5" hidden="false" customHeight="true" outlineLevel="0" collapsed="false">
      <c r="A545" s="12" t="n">
        <v>459</v>
      </c>
      <c r="B545" s="12" t="s">
        <v>4424</v>
      </c>
      <c r="C545" s="12" t="s">
        <v>2557</v>
      </c>
      <c r="D545" s="12" t="s">
        <v>317</v>
      </c>
      <c r="E545" s="12" t="s">
        <v>83</v>
      </c>
      <c r="F545" s="12"/>
      <c r="G545" s="12"/>
      <c r="H545" s="12" t="s">
        <v>4425</v>
      </c>
      <c r="I545" s="12"/>
      <c r="J545" s="12"/>
      <c r="K545" s="12"/>
      <c r="L545" s="12" t="n">
        <v>1</v>
      </c>
      <c r="M545" s="12"/>
      <c r="N545" s="12"/>
      <c r="O545" s="13"/>
      <c r="P545" s="13" t="s">
        <v>4426</v>
      </c>
      <c r="Q545" s="13"/>
      <c r="R545" s="13"/>
      <c r="S545" s="13" t="s">
        <v>4427</v>
      </c>
      <c r="T545" s="12" t="s">
        <v>94</v>
      </c>
      <c r="U545" s="12" t="s">
        <v>4428</v>
      </c>
    </row>
    <row r="546" customFormat="false" ht="31.5" hidden="false" customHeight="true" outlineLevel="0" collapsed="false">
      <c r="A546" s="12" t="n">
        <v>460</v>
      </c>
      <c r="B546" s="12" t="s">
        <v>4429</v>
      </c>
      <c r="C546" s="12" t="s">
        <v>2557</v>
      </c>
      <c r="D546" s="12" t="s">
        <v>317</v>
      </c>
      <c r="E546" s="12" t="s">
        <v>83</v>
      </c>
      <c r="F546" s="12" t="n">
        <v>63.3</v>
      </c>
      <c r="G546" s="12"/>
      <c r="H546" s="12" t="s">
        <v>1124</v>
      </c>
      <c r="I546" s="12"/>
      <c r="J546" s="12"/>
      <c r="K546" s="12" t="n">
        <v>125</v>
      </c>
      <c r="L546" s="12" t="n">
        <v>1.5</v>
      </c>
      <c r="M546" s="12" t="n">
        <v>726.09</v>
      </c>
      <c r="N546" s="12" t="n">
        <v>66.97</v>
      </c>
      <c r="O546" s="13" t="s">
        <v>4430</v>
      </c>
      <c r="P546" s="13" t="s">
        <v>4431</v>
      </c>
      <c r="Q546" s="13"/>
      <c r="R546" s="13"/>
      <c r="S546" s="13" t="s">
        <v>4432</v>
      </c>
      <c r="T546" s="12" t="s">
        <v>94</v>
      </c>
      <c r="U546" s="12" t="s">
        <v>4433</v>
      </c>
    </row>
    <row r="547" customFormat="false" ht="31.5" hidden="false" customHeight="true" outlineLevel="0" collapsed="false">
      <c r="A547" s="12" t="n">
        <v>460</v>
      </c>
      <c r="B547" s="12" t="s">
        <v>4429</v>
      </c>
      <c r="C547" s="12" t="s">
        <v>2588</v>
      </c>
      <c r="D547" s="12" t="s">
        <v>317</v>
      </c>
      <c r="E547" s="12" t="s">
        <v>83</v>
      </c>
      <c r="F547" s="12" t="n">
        <v>63.3</v>
      </c>
      <c r="G547" s="12"/>
      <c r="H547" s="12"/>
      <c r="I547" s="12" t="n">
        <v>63.3</v>
      </c>
      <c r="J547" s="12"/>
      <c r="K547" s="12"/>
      <c r="L547" s="12"/>
      <c r="M547" s="12"/>
      <c r="N547" s="12"/>
      <c r="O547" s="13"/>
      <c r="P547" s="13" t="s">
        <v>4434</v>
      </c>
      <c r="Q547" s="13"/>
      <c r="R547" s="13"/>
      <c r="S547" s="13" t="s">
        <v>4435</v>
      </c>
      <c r="T547" s="12" t="s">
        <v>108</v>
      </c>
      <c r="U547" s="12" t="s">
        <v>4433</v>
      </c>
    </row>
    <row r="548" customFormat="false" ht="31.5" hidden="false" customHeight="true" outlineLevel="0" collapsed="false">
      <c r="A548" s="12" t="n">
        <v>461</v>
      </c>
      <c r="B548" s="12" t="s">
        <v>4436</v>
      </c>
      <c r="C548" s="12" t="s">
        <v>2511</v>
      </c>
      <c r="D548" s="12" t="s">
        <v>1055</v>
      </c>
      <c r="E548" s="12" t="s">
        <v>259</v>
      </c>
      <c r="F548" s="12"/>
      <c r="G548" s="12"/>
      <c r="H548" s="12"/>
      <c r="I548" s="12"/>
      <c r="J548" s="12"/>
      <c r="K548" s="12"/>
      <c r="L548" s="12" t="n">
        <v>1.4</v>
      </c>
      <c r="M548" s="12"/>
      <c r="N548" s="12"/>
      <c r="O548" s="13"/>
      <c r="P548" s="13" t="s">
        <v>4437</v>
      </c>
      <c r="Q548" s="13"/>
      <c r="R548" s="13"/>
      <c r="S548" s="13" t="s">
        <v>4438</v>
      </c>
      <c r="T548" s="12" t="s">
        <v>94</v>
      </c>
      <c r="U548" s="12" t="s">
        <v>4439</v>
      </c>
    </row>
    <row r="549" customFormat="false" ht="31.5" hidden="false" customHeight="true" outlineLevel="0" collapsed="false">
      <c r="A549" s="12" t="n">
        <v>461</v>
      </c>
      <c r="B549" s="12" t="s">
        <v>4436</v>
      </c>
      <c r="C549" s="12" t="s">
        <v>2511</v>
      </c>
      <c r="D549" s="12" t="s">
        <v>113</v>
      </c>
      <c r="E549" s="12" t="s">
        <v>83</v>
      </c>
      <c r="F549" s="12"/>
      <c r="G549" s="12"/>
      <c r="H549" s="12"/>
      <c r="I549" s="12"/>
      <c r="J549" s="12"/>
      <c r="K549" s="12"/>
      <c r="L549" s="12" t="n">
        <v>0.8</v>
      </c>
      <c r="M549" s="12"/>
      <c r="N549" s="12"/>
      <c r="O549" s="13"/>
      <c r="P549" s="13" t="s">
        <v>4440</v>
      </c>
      <c r="Q549" s="13"/>
      <c r="R549" s="13"/>
      <c r="S549" s="13" t="s">
        <v>4441</v>
      </c>
      <c r="T549" s="12" t="s">
        <v>94</v>
      </c>
      <c r="U549" s="12" t="s">
        <v>4439</v>
      </c>
    </row>
    <row r="550" customFormat="false" ht="31.5" hidden="false" customHeight="true" outlineLevel="0" collapsed="false">
      <c r="A550" s="12" t="n">
        <v>461</v>
      </c>
      <c r="B550" s="12" t="s">
        <v>4436</v>
      </c>
      <c r="C550" s="12" t="s">
        <v>2511</v>
      </c>
      <c r="D550" s="12" t="s">
        <v>1084</v>
      </c>
      <c r="E550" s="12" t="s">
        <v>83</v>
      </c>
      <c r="F550" s="12"/>
      <c r="G550" s="12"/>
      <c r="H550" s="12"/>
      <c r="I550" s="12"/>
      <c r="J550" s="12"/>
      <c r="K550" s="12"/>
      <c r="L550" s="12" t="n">
        <v>0.8</v>
      </c>
      <c r="M550" s="12"/>
      <c r="N550" s="12"/>
      <c r="O550" s="13"/>
      <c r="P550" s="13" t="s">
        <v>4442</v>
      </c>
      <c r="Q550" s="13"/>
      <c r="R550" s="13"/>
      <c r="S550" s="13" t="s">
        <v>4443</v>
      </c>
      <c r="T550" s="12" t="s">
        <v>94</v>
      </c>
      <c r="U550" s="12" t="s">
        <v>4439</v>
      </c>
    </row>
    <row r="551" customFormat="false" ht="31.5" hidden="false" customHeight="true" outlineLevel="0" collapsed="false">
      <c r="A551" s="12" t="n">
        <v>461</v>
      </c>
      <c r="B551" s="12" t="s">
        <v>4436</v>
      </c>
      <c r="C551" s="12" t="s">
        <v>2511</v>
      </c>
      <c r="D551" s="12" t="s">
        <v>317</v>
      </c>
      <c r="E551" s="12" t="s">
        <v>83</v>
      </c>
      <c r="F551" s="12"/>
      <c r="G551" s="12"/>
      <c r="H551" s="12"/>
      <c r="I551" s="12"/>
      <c r="J551" s="12"/>
      <c r="K551" s="12"/>
      <c r="L551" s="12" t="n">
        <v>1.5</v>
      </c>
      <c r="M551" s="12"/>
      <c r="N551" s="12"/>
      <c r="O551" s="13"/>
      <c r="P551" s="13" t="s">
        <v>4444</v>
      </c>
      <c r="Q551" s="13"/>
      <c r="R551" s="13"/>
      <c r="S551" s="13" t="s">
        <v>4445</v>
      </c>
      <c r="T551" s="12" t="s">
        <v>94</v>
      </c>
      <c r="U551" s="12" t="s">
        <v>4439</v>
      </c>
    </row>
    <row r="552" customFormat="false" ht="31.5" hidden="false" customHeight="true" outlineLevel="0" collapsed="false">
      <c r="A552" s="12" t="n">
        <v>462</v>
      </c>
      <c r="B552" s="12" t="s">
        <v>4446</v>
      </c>
      <c r="C552" s="12" t="s">
        <v>2618</v>
      </c>
      <c r="D552" s="12" t="s">
        <v>113</v>
      </c>
      <c r="E552" s="12" t="s">
        <v>83</v>
      </c>
      <c r="F552" s="12"/>
      <c r="G552" s="12"/>
      <c r="H552" s="12" t="s">
        <v>1113</v>
      </c>
      <c r="I552" s="12"/>
      <c r="J552" s="12" t="n">
        <v>75</v>
      </c>
      <c r="K552" s="12"/>
      <c r="L552" s="12"/>
      <c r="M552" s="12"/>
      <c r="N552" s="12"/>
      <c r="O552" s="13"/>
      <c r="P552" s="13" t="s">
        <v>4447</v>
      </c>
      <c r="Q552" s="13" t="s">
        <v>224</v>
      </c>
      <c r="R552" s="13"/>
      <c r="S552" s="13" t="s">
        <v>4448</v>
      </c>
      <c r="T552" s="12" t="s">
        <v>94</v>
      </c>
      <c r="U552" s="12" t="s">
        <v>4449</v>
      </c>
    </row>
    <row r="553" customFormat="false" ht="31.5" hidden="false" customHeight="true" outlineLevel="0" collapsed="false">
      <c r="A553" s="12" t="n">
        <v>463</v>
      </c>
      <c r="B553" s="12" t="s">
        <v>1115</v>
      </c>
      <c r="C553" s="12" t="s">
        <v>2630</v>
      </c>
      <c r="D553" s="12" t="s">
        <v>113</v>
      </c>
      <c r="E553" s="12" t="s">
        <v>83</v>
      </c>
      <c r="F553" s="12"/>
      <c r="G553" s="12"/>
      <c r="H553" s="12"/>
      <c r="I553" s="12"/>
      <c r="J553" s="12" t="n">
        <v>100</v>
      </c>
      <c r="K553" s="12" t="n">
        <v>250</v>
      </c>
      <c r="L553" s="12"/>
      <c r="M553" s="12" t="n">
        <v>363.9</v>
      </c>
      <c r="N553" s="12" t="n">
        <v>63800</v>
      </c>
      <c r="O553" s="13"/>
      <c r="P553" s="13" t="s">
        <v>4450</v>
      </c>
      <c r="Q553" s="13"/>
      <c r="R553" s="13"/>
      <c r="S553" s="13" t="s">
        <v>4451</v>
      </c>
      <c r="T553" s="12" t="s">
        <v>94</v>
      </c>
      <c r="U553" s="12" t="s">
        <v>4452</v>
      </c>
    </row>
    <row r="554" customFormat="false" ht="31.5" hidden="false" customHeight="true" outlineLevel="0" collapsed="false">
      <c r="A554" s="12" t="n">
        <v>463</v>
      </c>
      <c r="B554" s="12" t="s">
        <v>1115</v>
      </c>
      <c r="C554" s="12" t="s">
        <v>2516</v>
      </c>
      <c r="D554" s="12" t="s">
        <v>113</v>
      </c>
      <c r="E554" s="12" t="s">
        <v>83</v>
      </c>
      <c r="F554" s="12"/>
      <c r="G554" s="12"/>
      <c r="H554" s="12" t="s">
        <v>1705</v>
      </c>
      <c r="I554" s="12"/>
      <c r="J554" s="12" t="n">
        <v>25</v>
      </c>
      <c r="K554" s="12"/>
      <c r="L554" s="12"/>
      <c r="M554" s="12"/>
      <c r="N554" s="12" t="n">
        <v>63800</v>
      </c>
      <c r="O554" s="13" t="s">
        <v>4453</v>
      </c>
      <c r="P554" s="13" t="s">
        <v>4454</v>
      </c>
      <c r="Q554" s="13"/>
      <c r="R554" s="13"/>
      <c r="S554" s="13" t="s">
        <v>4455</v>
      </c>
      <c r="T554" s="12" t="s">
        <v>94</v>
      </c>
      <c r="U554" s="12" t="s">
        <v>4452</v>
      </c>
    </row>
    <row r="555" customFormat="false" ht="31.5" hidden="false" customHeight="true" outlineLevel="0" collapsed="false">
      <c r="A555" s="12" t="n">
        <v>464</v>
      </c>
      <c r="B555" s="12" t="s">
        <v>4456</v>
      </c>
      <c r="C555" s="12" t="s">
        <v>2506</v>
      </c>
      <c r="D555" s="12"/>
      <c r="E555" s="12"/>
      <c r="F555" s="12"/>
      <c r="G555" s="12"/>
      <c r="H555" s="12"/>
      <c r="I555" s="12"/>
      <c r="J555" s="12"/>
      <c r="K555" s="12"/>
      <c r="L555" s="12"/>
      <c r="M555" s="12"/>
      <c r="N555" s="12"/>
      <c r="O555" s="13"/>
      <c r="P555" s="13" t="s">
        <v>4457</v>
      </c>
      <c r="Q555" s="13"/>
      <c r="R555" s="13"/>
      <c r="S555" s="13" t="s">
        <v>4458</v>
      </c>
      <c r="T555" s="12" t="s">
        <v>94</v>
      </c>
      <c r="U555" s="12" t="s">
        <v>4459</v>
      </c>
    </row>
    <row r="556" customFormat="false" ht="31.5" hidden="false" customHeight="true" outlineLevel="0" collapsed="false">
      <c r="A556" s="12" t="n">
        <v>464</v>
      </c>
      <c r="B556" s="12" t="s">
        <v>4456</v>
      </c>
      <c r="C556" s="12" t="s">
        <v>2511</v>
      </c>
      <c r="D556" s="12" t="s">
        <v>113</v>
      </c>
      <c r="E556" s="12" t="s">
        <v>83</v>
      </c>
      <c r="F556" s="12"/>
      <c r="G556" s="12"/>
      <c r="H556" s="12"/>
      <c r="I556" s="12"/>
      <c r="J556" s="12"/>
      <c r="K556" s="12"/>
      <c r="L556" s="12"/>
      <c r="M556" s="12"/>
      <c r="N556" s="12"/>
      <c r="O556" s="13"/>
      <c r="P556" s="13" t="s">
        <v>4460</v>
      </c>
      <c r="Q556" s="13"/>
      <c r="R556" s="13"/>
      <c r="S556" s="13" t="s">
        <v>4461</v>
      </c>
      <c r="T556" s="12" t="s">
        <v>94</v>
      </c>
      <c r="U556" s="12" t="s">
        <v>4459</v>
      </c>
    </row>
    <row r="557" customFormat="false" ht="31.5" hidden="false" customHeight="true" outlineLevel="0" collapsed="false">
      <c r="A557" s="12" t="n">
        <v>465</v>
      </c>
      <c r="B557" s="12" t="s">
        <v>1127</v>
      </c>
      <c r="C557" s="12" t="s">
        <v>2511</v>
      </c>
      <c r="D557" s="12"/>
      <c r="E557" s="12"/>
      <c r="F557" s="12"/>
      <c r="G557" s="12"/>
      <c r="H557" s="12"/>
      <c r="I557" s="12"/>
      <c r="J557" s="12"/>
      <c r="K557" s="12"/>
      <c r="L557" s="12" t="n">
        <v>3.2</v>
      </c>
      <c r="M557" s="12"/>
      <c r="N557" s="12"/>
      <c r="O557" s="13" t="s">
        <v>4462</v>
      </c>
      <c r="P557" s="13" t="s">
        <v>4463</v>
      </c>
      <c r="Q557" s="13"/>
      <c r="R557" s="13"/>
      <c r="S557" s="13" t="s">
        <v>4464</v>
      </c>
      <c r="T557" s="12" t="s">
        <v>94</v>
      </c>
      <c r="U557" s="12" t="s">
        <v>4465</v>
      </c>
    </row>
    <row r="558" customFormat="false" ht="31.5" hidden="false" customHeight="true" outlineLevel="0" collapsed="false">
      <c r="A558" s="12" t="n">
        <v>465</v>
      </c>
      <c r="B558" s="12" t="s">
        <v>1127</v>
      </c>
      <c r="C558" s="12" t="s">
        <v>2630</v>
      </c>
      <c r="D558" s="12" t="s">
        <v>317</v>
      </c>
      <c r="E558" s="12" t="s">
        <v>83</v>
      </c>
      <c r="F558" s="12" t="n">
        <v>63.3</v>
      </c>
      <c r="G558" s="12"/>
      <c r="H558" s="12"/>
      <c r="I558" s="12"/>
      <c r="J558" s="12" t="n">
        <v>100</v>
      </c>
      <c r="K558" s="12" t="n">
        <v>125</v>
      </c>
      <c r="L558" s="12"/>
      <c r="M558" s="12" t="n">
        <v>778.04</v>
      </c>
      <c r="N558" s="12" t="n">
        <v>67.24</v>
      </c>
      <c r="O558" s="13"/>
      <c r="P558" s="13" t="s">
        <v>4466</v>
      </c>
      <c r="Q558" s="13"/>
      <c r="R558" s="13"/>
      <c r="S558" s="13" t="s">
        <v>4467</v>
      </c>
      <c r="T558" s="12" t="s">
        <v>108</v>
      </c>
      <c r="U558" s="12" t="s">
        <v>4465</v>
      </c>
    </row>
    <row r="559" customFormat="false" ht="31.5" hidden="false" customHeight="true" outlineLevel="0" collapsed="false">
      <c r="A559" s="12" t="n">
        <v>467</v>
      </c>
      <c r="B559" s="12" t="s">
        <v>1133</v>
      </c>
      <c r="C559" s="12" t="s">
        <v>2521</v>
      </c>
      <c r="D559" s="12" t="s">
        <v>113</v>
      </c>
      <c r="E559" s="12" t="s">
        <v>83</v>
      </c>
      <c r="F559" s="12" t="n">
        <v>63400</v>
      </c>
      <c r="G559" s="12"/>
      <c r="H559" s="12" t="s">
        <v>1135</v>
      </c>
      <c r="I559" s="12" t="n">
        <v>60500</v>
      </c>
      <c r="J559" s="12"/>
      <c r="K559" s="12"/>
      <c r="L559" s="12"/>
      <c r="M559" s="12"/>
      <c r="N559" s="12"/>
      <c r="O559" s="13" t="s">
        <v>4468</v>
      </c>
      <c r="P559" s="13" t="s">
        <v>4469</v>
      </c>
      <c r="Q559" s="13"/>
      <c r="R559" s="13"/>
      <c r="S559" s="13" t="s">
        <v>4470</v>
      </c>
      <c r="T559" s="12" t="s">
        <v>94</v>
      </c>
      <c r="U559" s="12" t="s">
        <v>1143</v>
      </c>
    </row>
    <row r="560" customFormat="false" ht="31.5" hidden="false" customHeight="true" outlineLevel="0" collapsed="false">
      <c r="A560" s="12" t="n">
        <v>468</v>
      </c>
      <c r="B560" s="12" t="s">
        <v>1137</v>
      </c>
      <c r="C560" s="12" t="s">
        <v>2630</v>
      </c>
      <c r="D560" s="12" t="s">
        <v>113</v>
      </c>
      <c r="E560" s="12" t="s">
        <v>83</v>
      </c>
      <c r="F560" s="12"/>
      <c r="G560" s="12"/>
      <c r="H560" s="12"/>
      <c r="I560" s="12"/>
      <c r="J560" s="12" t="n">
        <v>100</v>
      </c>
      <c r="K560" s="12"/>
      <c r="L560" s="12"/>
      <c r="M560" s="12"/>
      <c r="N560" s="12"/>
      <c r="O560" s="13"/>
      <c r="P560" s="13" t="s">
        <v>4471</v>
      </c>
      <c r="Q560" s="13"/>
      <c r="R560" s="13"/>
      <c r="S560" s="13" t="s">
        <v>4472</v>
      </c>
      <c r="T560" s="12" t="s">
        <v>94</v>
      </c>
      <c r="U560" s="12" t="s">
        <v>4473</v>
      </c>
    </row>
    <row r="561" customFormat="false" ht="31.5" hidden="false" customHeight="true" outlineLevel="0" collapsed="false">
      <c r="A561" s="12" t="n">
        <v>468</v>
      </c>
      <c r="B561" s="12" t="s">
        <v>1137</v>
      </c>
      <c r="C561" s="12" t="s">
        <v>2516</v>
      </c>
      <c r="D561" s="12" t="s">
        <v>113</v>
      </c>
      <c r="E561" s="12" t="s">
        <v>83</v>
      </c>
      <c r="F561" s="12"/>
      <c r="G561" s="12"/>
      <c r="H561" s="12"/>
      <c r="I561" s="12"/>
      <c r="J561" s="12"/>
      <c r="K561" s="12"/>
      <c r="L561" s="12"/>
      <c r="M561" s="12"/>
      <c r="N561" s="12"/>
      <c r="O561" s="13"/>
      <c r="P561" s="13" t="s">
        <v>4474</v>
      </c>
      <c r="Q561" s="13"/>
      <c r="R561" s="13" t="s">
        <v>4475</v>
      </c>
      <c r="S561" s="13" t="s">
        <v>4476</v>
      </c>
      <c r="T561" s="12" t="s">
        <v>94</v>
      </c>
      <c r="U561" s="12" t="s">
        <v>4473</v>
      </c>
    </row>
    <row r="562" customFormat="false" ht="31.5" hidden="false" customHeight="true" outlineLevel="0" collapsed="false">
      <c r="A562" s="12" t="n">
        <v>469</v>
      </c>
      <c r="B562" s="12" t="s">
        <v>4477</v>
      </c>
      <c r="C562" s="12" t="s">
        <v>2557</v>
      </c>
      <c r="D562" s="12" t="s">
        <v>113</v>
      </c>
      <c r="E562" s="12" t="s">
        <v>83</v>
      </c>
      <c r="F562" s="12"/>
      <c r="G562" s="12"/>
      <c r="H562" s="12" t="s">
        <v>4478</v>
      </c>
      <c r="I562" s="12"/>
      <c r="J562" s="12"/>
      <c r="K562" s="12" t="n">
        <v>250</v>
      </c>
      <c r="L562" s="12"/>
      <c r="M562" s="12" t="n">
        <v>305.06</v>
      </c>
      <c r="N562" s="12"/>
      <c r="O562" s="13"/>
      <c r="P562" s="13" t="s">
        <v>4479</v>
      </c>
      <c r="Q562" s="13"/>
      <c r="R562" s="13"/>
      <c r="S562" s="13" t="s">
        <v>4480</v>
      </c>
      <c r="T562" s="12" t="s">
        <v>94</v>
      </c>
      <c r="U562" s="12" t="s">
        <v>4481</v>
      </c>
    </row>
    <row r="563" customFormat="false" ht="31.5" hidden="false" customHeight="true" outlineLevel="0" collapsed="false">
      <c r="A563" s="12" t="n">
        <v>470</v>
      </c>
      <c r="B563" s="12" t="s">
        <v>4482</v>
      </c>
      <c r="C563" s="12" t="s">
        <v>2516</v>
      </c>
      <c r="D563" s="12" t="s">
        <v>113</v>
      </c>
      <c r="E563" s="12" t="s">
        <v>259</v>
      </c>
      <c r="F563" s="12" t="n">
        <v>66000</v>
      </c>
      <c r="G563" s="12"/>
      <c r="H563" s="12"/>
      <c r="I563" s="12"/>
      <c r="J563" s="12"/>
      <c r="K563" s="12"/>
      <c r="L563" s="12"/>
      <c r="M563" s="12"/>
      <c r="N563" s="12"/>
      <c r="O563" s="13"/>
      <c r="P563" s="13" t="s">
        <v>4483</v>
      </c>
      <c r="Q563" s="13"/>
      <c r="R563" s="13"/>
      <c r="S563" s="13" t="s">
        <v>4484</v>
      </c>
      <c r="T563" s="12" t="s">
        <v>108</v>
      </c>
      <c r="U563" s="12" t="s">
        <v>4485</v>
      </c>
    </row>
    <row r="564" customFormat="false" ht="31.5" hidden="false" customHeight="true" outlineLevel="0" collapsed="false">
      <c r="A564" s="12" t="n">
        <v>470</v>
      </c>
      <c r="B564" s="12" t="s">
        <v>4482</v>
      </c>
      <c r="C564" s="12" t="s">
        <v>2516</v>
      </c>
      <c r="D564" s="12" t="s">
        <v>113</v>
      </c>
      <c r="E564" s="12" t="s">
        <v>83</v>
      </c>
      <c r="F564" s="12" t="n">
        <v>63000</v>
      </c>
      <c r="G564" s="12"/>
      <c r="H564" s="12"/>
      <c r="I564" s="12"/>
      <c r="J564" s="12"/>
      <c r="K564" s="12"/>
      <c r="L564" s="12"/>
      <c r="M564" s="12"/>
      <c r="N564" s="12"/>
      <c r="O564" s="13"/>
      <c r="P564" s="13" t="s">
        <v>4486</v>
      </c>
      <c r="Q564" s="13"/>
      <c r="R564" s="13"/>
      <c r="S564" s="13" t="s">
        <v>4487</v>
      </c>
      <c r="T564" s="12" t="s">
        <v>108</v>
      </c>
      <c r="U564" s="12" t="s">
        <v>4485</v>
      </c>
    </row>
    <row r="565" customFormat="false" ht="31.5" hidden="false" customHeight="true" outlineLevel="0" collapsed="false">
      <c r="A565" s="12" t="n">
        <v>471</v>
      </c>
      <c r="B565" s="12" t="s">
        <v>4488</v>
      </c>
      <c r="C565" s="12" t="s">
        <v>2557</v>
      </c>
      <c r="D565" s="12" t="s">
        <v>113</v>
      </c>
      <c r="E565" s="12" t="s">
        <v>83</v>
      </c>
      <c r="F565" s="12"/>
      <c r="G565" s="12"/>
      <c r="H565" s="12" t="s">
        <v>4478</v>
      </c>
      <c r="I565" s="12"/>
      <c r="J565" s="12"/>
      <c r="K565" s="12"/>
      <c r="L565" s="12"/>
      <c r="M565" s="12"/>
      <c r="N565" s="12"/>
      <c r="O565" s="13"/>
      <c r="P565" s="13" t="s">
        <v>4489</v>
      </c>
      <c r="Q565" s="13"/>
      <c r="R565" s="13"/>
      <c r="S565" s="13" t="s">
        <v>4490</v>
      </c>
      <c r="T565" s="12" t="s">
        <v>94</v>
      </c>
      <c r="U565" s="12" t="s">
        <v>4491</v>
      </c>
    </row>
    <row r="566" customFormat="false" ht="31.5" hidden="false" customHeight="true" outlineLevel="0" collapsed="false">
      <c r="A566" s="12" t="n">
        <v>472</v>
      </c>
      <c r="B566" s="12" t="s">
        <v>1061</v>
      </c>
      <c r="C566" s="12" t="s">
        <v>2564</v>
      </c>
      <c r="D566" s="12" t="s">
        <v>1055</v>
      </c>
      <c r="E566" s="12" t="s">
        <v>259</v>
      </c>
      <c r="F566" s="12"/>
      <c r="G566" s="12"/>
      <c r="H566" s="12"/>
      <c r="I566" s="12" t="n">
        <v>0.468</v>
      </c>
      <c r="J566" s="12" t="n">
        <v>100</v>
      </c>
      <c r="K566" s="12"/>
      <c r="L566" s="12" t="n">
        <v>-1</v>
      </c>
      <c r="M566" s="12"/>
      <c r="N566" s="12"/>
      <c r="O566" s="13"/>
      <c r="P566" s="13" t="s">
        <v>4492</v>
      </c>
      <c r="Q566" s="13"/>
      <c r="R566" s="13"/>
      <c r="S566" s="13" t="s">
        <v>4493</v>
      </c>
      <c r="T566" s="12" t="s">
        <v>108</v>
      </c>
      <c r="U566" s="12" t="s">
        <v>4494</v>
      </c>
    </row>
    <row r="567" customFormat="false" ht="31.5" hidden="false" customHeight="true" outlineLevel="0" collapsed="false">
      <c r="A567" s="12" t="n">
        <v>473</v>
      </c>
      <c r="B567" s="12" t="s">
        <v>4495</v>
      </c>
      <c r="C567" s="12" t="s">
        <v>2511</v>
      </c>
      <c r="D567" s="12" t="s">
        <v>113</v>
      </c>
      <c r="E567" s="12"/>
      <c r="F567" s="12"/>
      <c r="G567" s="12"/>
      <c r="H567" s="12"/>
      <c r="I567" s="12"/>
      <c r="J567" s="12"/>
      <c r="K567" s="12"/>
      <c r="L567" s="12"/>
      <c r="M567" s="12"/>
      <c r="N567" s="12"/>
      <c r="O567" s="13"/>
      <c r="P567" s="13" t="s">
        <v>4496</v>
      </c>
      <c r="Q567" s="13"/>
      <c r="R567" s="13"/>
      <c r="S567" s="13" t="s">
        <v>4497</v>
      </c>
      <c r="T567" s="12" t="s">
        <v>94</v>
      </c>
      <c r="U567" s="12" t="s">
        <v>4498</v>
      </c>
    </row>
    <row r="568" customFormat="false" ht="31.5" hidden="false" customHeight="true" outlineLevel="0" collapsed="false">
      <c r="A568" s="12" t="n">
        <v>474</v>
      </c>
      <c r="B568" s="12" t="s">
        <v>1144</v>
      </c>
      <c r="C568" s="12" t="s">
        <v>2521</v>
      </c>
      <c r="D568" s="12" t="s">
        <v>113</v>
      </c>
      <c r="E568" s="12" t="s">
        <v>83</v>
      </c>
      <c r="F568" s="12" t="n">
        <v>63500</v>
      </c>
      <c r="G568" s="12"/>
      <c r="H568" s="12"/>
      <c r="I568" s="12" t="n">
        <v>61500</v>
      </c>
      <c r="J568" s="12"/>
      <c r="K568" s="12"/>
      <c r="L568" s="12"/>
      <c r="M568" s="12"/>
      <c r="N568" s="12"/>
      <c r="O568" s="13" t="s">
        <v>4499</v>
      </c>
      <c r="P568" s="13" t="s">
        <v>4500</v>
      </c>
      <c r="Q568" s="13"/>
      <c r="R568" s="13"/>
      <c r="S568" s="13" t="s">
        <v>4501</v>
      </c>
      <c r="T568" s="12" t="s">
        <v>94</v>
      </c>
      <c r="U568" s="12" t="s">
        <v>1155</v>
      </c>
    </row>
    <row r="569" customFormat="false" ht="31.5" hidden="false" customHeight="true" outlineLevel="0" collapsed="false">
      <c r="A569" s="12" t="n">
        <v>475</v>
      </c>
      <c r="B569" s="12" t="s">
        <v>4502</v>
      </c>
      <c r="C569" s="12" t="s">
        <v>2557</v>
      </c>
      <c r="D569" s="12" t="s">
        <v>113</v>
      </c>
      <c r="E569" s="12" t="s">
        <v>83</v>
      </c>
      <c r="F569" s="12"/>
      <c r="G569" s="12"/>
      <c r="H569" s="12"/>
      <c r="I569" s="12"/>
      <c r="J569" s="12"/>
      <c r="K569" s="12"/>
      <c r="L569" s="12"/>
      <c r="M569" s="12"/>
      <c r="N569" s="12" t="n">
        <v>63500</v>
      </c>
      <c r="O569" s="13"/>
      <c r="P569" s="13" t="s">
        <v>4503</v>
      </c>
      <c r="Q569" s="13"/>
      <c r="R569" s="13"/>
      <c r="S569" s="13" t="s">
        <v>4504</v>
      </c>
      <c r="T569" s="12" t="s">
        <v>108</v>
      </c>
      <c r="U569" s="12" t="s">
        <v>4505</v>
      </c>
    </row>
    <row r="570" customFormat="false" ht="31.5" hidden="false" customHeight="true" outlineLevel="0" collapsed="false">
      <c r="A570" s="12" t="n">
        <v>476</v>
      </c>
      <c r="B570" s="12" t="s">
        <v>4506</v>
      </c>
      <c r="C570" s="12" t="s">
        <v>2502</v>
      </c>
      <c r="D570" s="12"/>
      <c r="E570" s="12"/>
      <c r="F570" s="12"/>
      <c r="G570" s="12"/>
      <c r="H570" s="12"/>
      <c r="I570" s="12"/>
      <c r="J570" s="12"/>
      <c r="K570" s="12"/>
      <c r="L570" s="12"/>
      <c r="M570" s="12"/>
      <c r="N570" s="12"/>
      <c r="O570" s="13"/>
      <c r="P570" s="13" t="s">
        <v>4507</v>
      </c>
      <c r="Q570" s="13"/>
      <c r="R570" s="13"/>
      <c r="S570" s="13" t="s">
        <v>4508</v>
      </c>
      <c r="T570" s="12" t="s">
        <v>94</v>
      </c>
      <c r="U570" s="12" t="s">
        <v>4509</v>
      </c>
    </row>
    <row r="571" customFormat="false" ht="31.5" hidden="false" customHeight="true" outlineLevel="0" collapsed="false">
      <c r="A571" s="12" t="n">
        <v>477</v>
      </c>
      <c r="B571" s="12" t="s">
        <v>4510</v>
      </c>
      <c r="C571" s="12" t="s">
        <v>2557</v>
      </c>
      <c r="D571" s="12" t="s">
        <v>113</v>
      </c>
      <c r="E571" s="12" t="s">
        <v>83</v>
      </c>
      <c r="F571" s="12"/>
      <c r="G571" s="12"/>
      <c r="H571" s="12"/>
      <c r="I571" s="12"/>
      <c r="J571" s="12"/>
      <c r="K571" s="12"/>
      <c r="L571" s="12"/>
      <c r="M571" s="12"/>
      <c r="N571" s="12"/>
      <c r="O571" s="13" t="s">
        <v>4511</v>
      </c>
      <c r="P571" s="13" t="s">
        <v>4512</v>
      </c>
      <c r="Q571" s="13"/>
      <c r="R571" s="13"/>
      <c r="S571" s="13" t="s">
        <v>4513</v>
      </c>
      <c r="T571" s="12" t="s">
        <v>94</v>
      </c>
      <c r="U571" s="12" t="s">
        <v>4514</v>
      </c>
    </row>
    <row r="572" customFormat="false" ht="31.5" hidden="false" customHeight="true" outlineLevel="0" collapsed="false">
      <c r="A572" s="12" t="n">
        <v>477</v>
      </c>
      <c r="B572" s="12" t="s">
        <v>4510</v>
      </c>
      <c r="C572" s="12" t="s">
        <v>2670</v>
      </c>
      <c r="D572" s="12" t="s">
        <v>113</v>
      </c>
      <c r="E572" s="12" t="s">
        <v>83</v>
      </c>
      <c r="F572" s="12"/>
      <c r="G572" s="12"/>
      <c r="H572" s="12" t="s">
        <v>1146</v>
      </c>
      <c r="I572" s="12"/>
      <c r="J572" s="12"/>
      <c r="K572" s="12"/>
      <c r="L572" s="12" t="n">
        <v>0.5</v>
      </c>
      <c r="M572" s="12"/>
      <c r="N572" s="12"/>
      <c r="O572" s="13"/>
      <c r="P572" s="13" t="s">
        <v>4515</v>
      </c>
      <c r="Q572" s="13"/>
      <c r="R572" s="13"/>
      <c r="S572" s="13" t="s">
        <v>4516</v>
      </c>
      <c r="T572" s="12" t="s">
        <v>94</v>
      </c>
      <c r="U572" s="12" t="s">
        <v>4514</v>
      </c>
    </row>
    <row r="573" customFormat="false" ht="31.5" hidden="false" customHeight="true" outlineLevel="0" collapsed="false">
      <c r="A573" s="12" t="n">
        <v>478</v>
      </c>
      <c r="B573" s="12" t="s">
        <v>4517</v>
      </c>
      <c r="C573" s="12" t="s">
        <v>2527</v>
      </c>
      <c r="D573" s="12"/>
      <c r="E573" s="12"/>
      <c r="F573" s="12"/>
      <c r="G573" s="12"/>
      <c r="H573" s="12"/>
      <c r="I573" s="12"/>
      <c r="J573" s="12"/>
      <c r="K573" s="12"/>
      <c r="L573" s="12"/>
      <c r="M573" s="12"/>
      <c r="N573" s="12"/>
      <c r="O573" s="13"/>
      <c r="P573" s="13" t="s">
        <v>4518</v>
      </c>
      <c r="Q573" s="13"/>
      <c r="R573" s="13" t="s">
        <v>4519</v>
      </c>
      <c r="S573" s="13" t="s">
        <v>4520</v>
      </c>
      <c r="T573" s="12" t="s">
        <v>94</v>
      </c>
      <c r="U573" s="12" t="s">
        <v>4521</v>
      </c>
    </row>
    <row r="574" customFormat="false" ht="31.5" hidden="false" customHeight="true" outlineLevel="0" collapsed="false">
      <c r="A574" s="12" t="n">
        <v>479</v>
      </c>
      <c r="B574" s="12" t="s">
        <v>4522</v>
      </c>
      <c r="C574" s="12" t="s">
        <v>2581</v>
      </c>
      <c r="D574" s="12" t="s">
        <v>113</v>
      </c>
      <c r="E574" s="12" t="s">
        <v>83</v>
      </c>
      <c r="F574" s="12"/>
      <c r="G574" s="12"/>
      <c r="H574" s="12" t="s">
        <v>1927</v>
      </c>
      <c r="I574" s="12"/>
      <c r="J574" s="12" t="n">
        <v>40</v>
      </c>
      <c r="K574" s="12" t="n">
        <v>250</v>
      </c>
      <c r="L574" s="12"/>
      <c r="M574" s="12" t="n">
        <v>228.9</v>
      </c>
      <c r="N574" s="12" t="n">
        <v>64200</v>
      </c>
      <c r="O574" s="13"/>
      <c r="P574" s="13" t="s">
        <v>4523</v>
      </c>
      <c r="Q574" s="13"/>
      <c r="R574" s="13"/>
      <c r="S574" s="13" t="s">
        <v>4524</v>
      </c>
      <c r="T574" s="12" t="s">
        <v>94</v>
      </c>
      <c r="U574" s="12" t="s">
        <v>4525</v>
      </c>
    </row>
    <row r="575" customFormat="false" ht="31.5" hidden="false" customHeight="true" outlineLevel="0" collapsed="false">
      <c r="A575" s="12" t="n">
        <v>480</v>
      </c>
      <c r="B575" s="12" t="s">
        <v>4526</v>
      </c>
      <c r="C575" s="12" t="s">
        <v>2557</v>
      </c>
      <c r="D575" s="12" t="s">
        <v>113</v>
      </c>
      <c r="E575" s="12" t="s">
        <v>83</v>
      </c>
      <c r="F575" s="12"/>
      <c r="G575" s="12"/>
      <c r="H575" s="12"/>
      <c r="I575" s="12"/>
      <c r="J575" s="12"/>
      <c r="K575" s="12"/>
      <c r="L575" s="12"/>
      <c r="M575" s="12"/>
      <c r="N575" s="12"/>
      <c r="O575" s="13"/>
      <c r="P575" s="13" t="s">
        <v>4527</v>
      </c>
      <c r="Q575" s="13"/>
      <c r="R575" s="13"/>
      <c r="S575" s="13" t="s">
        <v>4528</v>
      </c>
      <c r="T575" s="12" t="s">
        <v>94</v>
      </c>
      <c r="U575" s="12" t="s">
        <v>4529</v>
      </c>
    </row>
    <row r="576" customFormat="false" ht="31.5" hidden="false" customHeight="true" outlineLevel="0" collapsed="false">
      <c r="A576" s="12" t="n">
        <v>481</v>
      </c>
      <c r="B576" s="12" t="s">
        <v>4530</v>
      </c>
      <c r="C576" s="12" t="s">
        <v>2527</v>
      </c>
      <c r="D576" s="12" t="s">
        <v>99</v>
      </c>
      <c r="E576" s="12"/>
      <c r="F576" s="12"/>
      <c r="G576" s="12"/>
      <c r="H576" s="12"/>
      <c r="I576" s="12"/>
      <c r="J576" s="12"/>
      <c r="K576" s="12"/>
      <c r="L576" s="12"/>
      <c r="M576" s="12"/>
      <c r="N576" s="12"/>
      <c r="O576" s="13"/>
      <c r="P576" s="13" t="s">
        <v>4531</v>
      </c>
      <c r="Q576" s="13"/>
      <c r="R576" s="13"/>
      <c r="S576" s="13" t="s">
        <v>4532</v>
      </c>
      <c r="T576" s="12" t="s">
        <v>94</v>
      </c>
      <c r="U576" s="12" t="s">
        <v>4533</v>
      </c>
    </row>
    <row r="577" customFormat="false" ht="31.5" hidden="false" customHeight="true" outlineLevel="0" collapsed="false">
      <c r="A577" s="12" t="n">
        <v>482</v>
      </c>
      <c r="B577" s="12" t="s">
        <v>1149</v>
      </c>
      <c r="C577" s="12" t="s">
        <v>2630</v>
      </c>
      <c r="D577" s="12" t="s">
        <v>113</v>
      </c>
      <c r="E577" s="12" t="s">
        <v>83</v>
      </c>
      <c r="F577" s="12"/>
      <c r="G577" s="12"/>
      <c r="H577" s="12"/>
      <c r="I577" s="12"/>
      <c r="J577" s="12" t="n">
        <v>100</v>
      </c>
      <c r="K577" s="12"/>
      <c r="L577" s="12"/>
      <c r="M577" s="12"/>
      <c r="N577" s="12" t="n">
        <v>64200</v>
      </c>
      <c r="O577" s="13"/>
      <c r="P577" s="13" t="s">
        <v>4534</v>
      </c>
      <c r="Q577" s="13" t="s">
        <v>224</v>
      </c>
      <c r="R577" s="13"/>
      <c r="S577" s="13" t="s">
        <v>4535</v>
      </c>
      <c r="T577" s="12" t="s">
        <v>94</v>
      </c>
      <c r="U577" s="12" t="s">
        <v>4536</v>
      </c>
    </row>
    <row r="578" customFormat="false" ht="31.5" hidden="false" customHeight="true" outlineLevel="0" collapsed="false">
      <c r="A578" s="12" t="n">
        <v>482</v>
      </c>
      <c r="B578" s="12" t="s">
        <v>1149</v>
      </c>
      <c r="C578" s="12" t="s">
        <v>2516</v>
      </c>
      <c r="D578" s="12" t="s">
        <v>113</v>
      </c>
      <c r="E578" s="12" t="s">
        <v>83</v>
      </c>
      <c r="F578" s="12" t="n">
        <v>63300</v>
      </c>
      <c r="G578" s="12"/>
      <c r="H578" s="12"/>
      <c r="I578" s="12"/>
      <c r="J578" s="12"/>
      <c r="K578" s="12"/>
      <c r="L578" s="12"/>
      <c r="M578" s="12"/>
      <c r="N578" s="12"/>
      <c r="O578" s="13"/>
      <c r="P578" s="13" t="s">
        <v>4537</v>
      </c>
      <c r="Q578" s="13"/>
      <c r="R578" s="13" t="s">
        <v>4538</v>
      </c>
      <c r="S578" s="13" t="s">
        <v>4539</v>
      </c>
      <c r="T578" s="12" t="s">
        <v>94</v>
      </c>
      <c r="U578" s="12" t="s">
        <v>4536</v>
      </c>
    </row>
    <row r="579" customFormat="false" ht="31.5" hidden="false" customHeight="true" outlineLevel="0" collapsed="false">
      <c r="A579" s="12" t="n">
        <v>483</v>
      </c>
      <c r="B579" s="12" t="s">
        <v>4540</v>
      </c>
      <c r="C579" s="12" t="s">
        <v>2557</v>
      </c>
      <c r="D579" s="12" t="s">
        <v>113</v>
      </c>
      <c r="E579" s="12" t="s">
        <v>83</v>
      </c>
      <c r="F579" s="12"/>
      <c r="G579" s="12"/>
      <c r="H579" s="12"/>
      <c r="I579" s="12"/>
      <c r="J579" s="12"/>
      <c r="K579" s="12"/>
      <c r="L579" s="12"/>
      <c r="M579" s="12"/>
      <c r="N579" s="12"/>
      <c r="O579" s="13"/>
      <c r="P579" s="13" t="s">
        <v>4541</v>
      </c>
      <c r="Q579" s="13"/>
      <c r="R579" s="13"/>
      <c r="S579" s="13" t="s">
        <v>4542</v>
      </c>
      <c r="T579" s="12" t="s">
        <v>94</v>
      </c>
      <c r="U579" s="12" t="s">
        <v>4543</v>
      </c>
    </row>
    <row r="580" customFormat="false" ht="31.5" hidden="false" customHeight="true" outlineLevel="0" collapsed="false">
      <c r="A580" s="12" t="n">
        <v>484</v>
      </c>
      <c r="B580" s="12" t="s">
        <v>1156</v>
      </c>
      <c r="C580" s="12" t="s">
        <v>2521</v>
      </c>
      <c r="D580" s="12" t="s">
        <v>685</v>
      </c>
      <c r="E580" s="12" t="s">
        <v>83</v>
      </c>
      <c r="F580" s="12" t="n">
        <v>1.76</v>
      </c>
      <c r="G580" s="12"/>
      <c r="H580" s="12" t="s">
        <v>1158</v>
      </c>
      <c r="I580" s="12" t="n">
        <v>1.6</v>
      </c>
      <c r="J580" s="12"/>
      <c r="K580" s="12"/>
      <c r="L580" s="12"/>
      <c r="M580" s="12"/>
      <c r="N580" s="12"/>
      <c r="O580" s="13" t="s">
        <v>1159</v>
      </c>
      <c r="P580" s="13" t="s">
        <v>4544</v>
      </c>
      <c r="Q580" s="13"/>
      <c r="R580" s="13"/>
      <c r="S580" s="13" t="s">
        <v>4545</v>
      </c>
      <c r="T580" s="12" t="s">
        <v>94</v>
      </c>
      <c r="U580" s="12" t="s">
        <v>1167</v>
      </c>
    </row>
    <row r="581" customFormat="false" ht="31.5" hidden="false" customHeight="true" outlineLevel="0" collapsed="false">
      <c r="A581" s="12" t="n">
        <v>485</v>
      </c>
      <c r="B581" s="12" t="s">
        <v>1168</v>
      </c>
      <c r="C581" s="12" t="s">
        <v>2521</v>
      </c>
      <c r="D581" s="12" t="s">
        <v>1169</v>
      </c>
      <c r="E581" s="12" t="s">
        <v>83</v>
      </c>
      <c r="F581" s="12" t="n">
        <v>0.039</v>
      </c>
      <c r="G581" s="12"/>
      <c r="H581" s="12" t="s">
        <v>1171</v>
      </c>
      <c r="I581" s="12" t="n">
        <v>0.0363</v>
      </c>
      <c r="J581" s="12"/>
      <c r="K581" s="12"/>
      <c r="L581" s="12"/>
      <c r="M581" s="12"/>
      <c r="N581" s="12"/>
      <c r="O581" s="13"/>
      <c r="P581" s="13" t="s">
        <v>4546</v>
      </c>
      <c r="Q581" s="13"/>
      <c r="R581" s="13"/>
      <c r="S581" s="13" t="s">
        <v>4547</v>
      </c>
      <c r="T581" s="12" t="s">
        <v>94</v>
      </c>
      <c r="U581" s="12" t="s">
        <v>1178</v>
      </c>
    </row>
    <row r="582" customFormat="false" ht="31.5" hidden="false" customHeight="true" outlineLevel="0" collapsed="false">
      <c r="A582" s="12" t="n">
        <v>486</v>
      </c>
      <c r="B582" s="12" t="s">
        <v>4548</v>
      </c>
      <c r="C582" s="12" t="s">
        <v>2557</v>
      </c>
      <c r="D582" s="12" t="s">
        <v>1169</v>
      </c>
      <c r="E582" s="12" t="s">
        <v>83</v>
      </c>
      <c r="F582" s="12"/>
      <c r="G582" s="12"/>
      <c r="H582" s="12"/>
      <c r="I582" s="12"/>
      <c r="J582" s="12"/>
      <c r="K582" s="12"/>
      <c r="L582" s="12"/>
      <c r="M582" s="12"/>
      <c r="N582" s="12" t="n">
        <v>0.039</v>
      </c>
      <c r="O582" s="13"/>
      <c r="P582" s="13" t="s">
        <v>4549</v>
      </c>
      <c r="Q582" s="13"/>
      <c r="R582" s="13"/>
      <c r="S582" s="13" t="s">
        <v>2628</v>
      </c>
      <c r="T582" s="12" t="s">
        <v>108</v>
      </c>
      <c r="U582" s="12" t="s">
        <v>4550</v>
      </c>
    </row>
    <row r="583" customFormat="false" ht="31.5" hidden="false" customHeight="true" outlineLevel="0" collapsed="false">
      <c r="A583" s="12" t="n">
        <v>487</v>
      </c>
      <c r="B583" s="12" t="s">
        <v>4551</v>
      </c>
      <c r="C583" s="12" t="s">
        <v>2557</v>
      </c>
      <c r="D583" s="12" t="s">
        <v>113</v>
      </c>
      <c r="E583" s="12" t="s">
        <v>83</v>
      </c>
      <c r="F583" s="12" t="n">
        <v>63094.1</v>
      </c>
      <c r="G583" s="12"/>
      <c r="H583" s="12"/>
      <c r="I583" s="12"/>
      <c r="J583" s="12"/>
      <c r="K583" s="12" t="n">
        <v>250</v>
      </c>
      <c r="L583" s="12"/>
      <c r="M583" s="12" t="n">
        <v>363.26</v>
      </c>
      <c r="N583" s="12"/>
      <c r="O583" s="13"/>
      <c r="P583" s="13" t="s">
        <v>4552</v>
      </c>
      <c r="Q583" s="13"/>
      <c r="R583" s="13"/>
      <c r="S583" s="13" t="s">
        <v>4553</v>
      </c>
      <c r="T583" s="12" t="s">
        <v>108</v>
      </c>
      <c r="U583" s="12" t="s">
        <v>4554</v>
      </c>
    </row>
    <row r="584" customFormat="false" ht="31.5" hidden="false" customHeight="true" outlineLevel="0" collapsed="false">
      <c r="A584" s="12" t="n">
        <v>488</v>
      </c>
      <c r="B584" s="12" t="s">
        <v>1179</v>
      </c>
      <c r="C584" s="12" t="s">
        <v>2630</v>
      </c>
      <c r="D584" s="12" t="s">
        <v>1180</v>
      </c>
      <c r="E584" s="12" t="s">
        <v>259</v>
      </c>
      <c r="F584" s="12"/>
      <c r="G584" s="12"/>
      <c r="H584" s="12"/>
      <c r="I584" s="12"/>
      <c r="J584" s="12" t="n">
        <v>100</v>
      </c>
      <c r="K584" s="12" t="n">
        <v>100</v>
      </c>
      <c r="L584" s="12"/>
      <c r="M584" s="12" t="n">
        <v>450.98</v>
      </c>
      <c r="N584" s="12"/>
      <c r="O584" s="13"/>
      <c r="P584" s="13" t="s">
        <v>4555</v>
      </c>
      <c r="Q584" s="13"/>
      <c r="R584" s="13"/>
      <c r="S584" s="13" t="s">
        <v>4556</v>
      </c>
      <c r="T584" s="12" t="s">
        <v>108</v>
      </c>
      <c r="U584" s="12" t="s">
        <v>1185</v>
      </c>
    </row>
    <row r="585" customFormat="false" ht="31.5" hidden="false" customHeight="true" outlineLevel="0" collapsed="false">
      <c r="A585" s="12" t="n">
        <v>489</v>
      </c>
      <c r="B585" s="12" t="s">
        <v>4557</v>
      </c>
      <c r="C585" s="12" t="s">
        <v>2527</v>
      </c>
      <c r="D585" s="12"/>
      <c r="E585" s="12"/>
      <c r="F585" s="12"/>
      <c r="G585" s="12"/>
      <c r="H585" s="12"/>
      <c r="I585" s="12"/>
      <c r="J585" s="12"/>
      <c r="K585" s="12"/>
      <c r="L585" s="12"/>
      <c r="M585" s="12"/>
      <c r="N585" s="12"/>
      <c r="O585" s="13"/>
      <c r="P585" s="13" t="s">
        <v>4558</v>
      </c>
      <c r="Q585" s="13" t="s">
        <v>336</v>
      </c>
      <c r="R585" s="13" t="s">
        <v>4559</v>
      </c>
      <c r="S585" s="13" t="s">
        <v>4560</v>
      </c>
      <c r="T585" s="12" t="s">
        <v>94</v>
      </c>
      <c r="U585" s="12" t="s">
        <v>4561</v>
      </c>
    </row>
    <row r="586" customFormat="false" ht="31.5" hidden="false" customHeight="true" outlineLevel="0" collapsed="false">
      <c r="A586" s="12" t="n">
        <v>490</v>
      </c>
      <c r="B586" s="12" t="s">
        <v>4562</v>
      </c>
      <c r="C586" s="12" t="s">
        <v>2527</v>
      </c>
      <c r="D586" s="12" t="s">
        <v>113</v>
      </c>
      <c r="E586" s="12"/>
      <c r="F586" s="12"/>
      <c r="G586" s="12"/>
      <c r="H586" s="12"/>
      <c r="I586" s="12"/>
      <c r="J586" s="12"/>
      <c r="K586" s="12"/>
      <c r="L586" s="12"/>
      <c r="M586" s="12"/>
      <c r="N586" s="12"/>
      <c r="O586" s="13"/>
      <c r="P586" s="13" t="s">
        <v>4563</v>
      </c>
      <c r="Q586" s="13"/>
      <c r="R586" s="13" t="s">
        <v>4564</v>
      </c>
      <c r="S586" s="13" t="s">
        <v>4565</v>
      </c>
      <c r="T586" s="12" t="s">
        <v>108</v>
      </c>
      <c r="U586" s="12" t="s">
        <v>4566</v>
      </c>
    </row>
    <row r="587" customFormat="false" ht="31.5" hidden="false" customHeight="true" outlineLevel="0" collapsed="false">
      <c r="A587" s="12" t="n">
        <v>491</v>
      </c>
      <c r="B587" s="12" t="s">
        <v>1186</v>
      </c>
      <c r="C587" s="12" t="s">
        <v>2527</v>
      </c>
      <c r="D587" s="12" t="s">
        <v>1187</v>
      </c>
      <c r="E587" s="12" t="s">
        <v>83</v>
      </c>
      <c r="F587" s="12"/>
      <c r="G587" s="12"/>
      <c r="H587" s="12"/>
      <c r="I587" s="12"/>
      <c r="J587" s="12"/>
      <c r="K587" s="12"/>
      <c r="L587" s="12"/>
      <c r="M587" s="12"/>
      <c r="N587" s="12"/>
      <c r="O587" s="13"/>
      <c r="P587" s="13" t="s">
        <v>4567</v>
      </c>
      <c r="Q587" s="13" t="s">
        <v>1190</v>
      </c>
      <c r="R587" s="13"/>
      <c r="S587" s="13" t="s">
        <v>4568</v>
      </c>
      <c r="T587" s="12" t="s">
        <v>94</v>
      </c>
      <c r="U587" s="12" t="s">
        <v>1193</v>
      </c>
    </row>
    <row r="588" customFormat="false" ht="31.5" hidden="false" customHeight="true" outlineLevel="0" collapsed="false">
      <c r="A588" s="12" t="n">
        <v>492</v>
      </c>
      <c r="B588" s="12" t="s">
        <v>1172</v>
      </c>
      <c r="C588" s="12" t="s">
        <v>2630</v>
      </c>
      <c r="D588" s="12" t="s">
        <v>1169</v>
      </c>
      <c r="E588" s="12" t="s">
        <v>83</v>
      </c>
      <c r="F588" s="12"/>
      <c r="G588" s="12"/>
      <c r="H588" s="12"/>
      <c r="I588" s="12"/>
      <c r="J588" s="12" t="n">
        <v>100</v>
      </c>
      <c r="K588" s="12"/>
      <c r="L588" s="12"/>
      <c r="M588" s="12"/>
      <c r="N588" s="12" t="n">
        <v>0.392</v>
      </c>
      <c r="O588" s="13"/>
      <c r="P588" s="13" t="s">
        <v>4569</v>
      </c>
      <c r="Q588" s="13"/>
      <c r="R588" s="13" t="s">
        <v>4570</v>
      </c>
      <c r="S588" s="13" t="s">
        <v>4571</v>
      </c>
      <c r="T588" s="12" t="s">
        <v>94</v>
      </c>
      <c r="U588" s="12" t="s">
        <v>4572</v>
      </c>
    </row>
    <row r="589" customFormat="false" ht="31.5" hidden="false" customHeight="true" outlineLevel="0" collapsed="false">
      <c r="A589" s="12" t="n">
        <v>492</v>
      </c>
      <c r="B589" s="12" t="s">
        <v>1172</v>
      </c>
      <c r="C589" s="12" t="s">
        <v>2557</v>
      </c>
      <c r="D589" s="12" t="s">
        <v>685</v>
      </c>
      <c r="E589" s="12" t="s">
        <v>83</v>
      </c>
      <c r="F589" s="12"/>
      <c r="G589" s="12"/>
      <c r="H589" s="12"/>
      <c r="I589" s="12"/>
      <c r="J589" s="12"/>
      <c r="K589" s="12"/>
      <c r="L589" s="12" t="n">
        <v>0.7</v>
      </c>
      <c r="M589" s="12"/>
      <c r="N589" s="12"/>
      <c r="O589" s="13"/>
      <c r="P589" s="13" t="s">
        <v>4573</v>
      </c>
      <c r="Q589" s="13"/>
      <c r="R589" s="13"/>
      <c r="S589" s="13" t="s">
        <v>4574</v>
      </c>
      <c r="T589" s="12" t="s">
        <v>94</v>
      </c>
      <c r="U589" s="12" t="s">
        <v>4572</v>
      </c>
    </row>
    <row r="590" customFormat="false" ht="31.5" hidden="false" customHeight="true" outlineLevel="0" collapsed="false">
      <c r="A590" s="12" t="n">
        <v>493</v>
      </c>
      <c r="B590" s="12" t="s">
        <v>1194</v>
      </c>
      <c r="C590" s="12" t="s">
        <v>2521</v>
      </c>
      <c r="D590" s="12" t="s">
        <v>113</v>
      </c>
      <c r="E590" s="12" t="s">
        <v>259</v>
      </c>
      <c r="F590" s="12" t="n">
        <v>66000</v>
      </c>
      <c r="G590" s="12"/>
      <c r="H590" s="12"/>
      <c r="I590" s="12" t="n">
        <v>68000</v>
      </c>
      <c r="J590" s="12"/>
      <c r="K590" s="12"/>
      <c r="L590" s="12"/>
      <c r="M590" s="12"/>
      <c r="N590" s="12"/>
      <c r="O590" s="13"/>
      <c r="P590" s="13" t="s">
        <v>4575</v>
      </c>
      <c r="Q590" s="13"/>
      <c r="R590" s="13"/>
      <c r="S590" s="13" t="s">
        <v>4576</v>
      </c>
      <c r="T590" s="12" t="s">
        <v>94</v>
      </c>
      <c r="U590" s="12" t="s">
        <v>1206</v>
      </c>
    </row>
    <row r="591" customFormat="false" ht="31.5" hidden="false" customHeight="true" outlineLevel="0" collapsed="false">
      <c r="A591" s="12" t="n">
        <v>494</v>
      </c>
      <c r="B591" s="12" t="s">
        <v>4577</v>
      </c>
      <c r="C591" s="12" t="s">
        <v>2557</v>
      </c>
      <c r="D591" s="12" t="s">
        <v>1169</v>
      </c>
      <c r="E591" s="12" t="s">
        <v>83</v>
      </c>
      <c r="F591" s="12" t="n">
        <v>0.0391</v>
      </c>
      <c r="G591" s="12"/>
      <c r="H591" s="12"/>
      <c r="I591" s="12"/>
      <c r="J591" s="12"/>
      <c r="K591" s="12" t="n">
        <v>75</v>
      </c>
      <c r="L591" s="12"/>
      <c r="M591" s="12" t="n">
        <v>292.53</v>
      </c>
      <c r="N591" s="12" t="n">
        <v>0.04062</v>
      </c>
      <c r="O591" s="13"/>
      <c r="P591" s="13" t="s">
        <v>4578</v>
      </c>
      <c r="Q591" s="13"/>
      <c r="R591" s="13"/>
      <c r="S591" s="13" t="s">
        <v>4579</v>
      </c>
      <c r="T591" s="12" t="s">
        <v>108</v>
      </c>
      <c r="U591" s="12" t="s">
        <v>4580</v>
      </c>
    </row>
    <row r="592" customFormat="false" ht="31.5" hidden="false" customHeight="true" outlineLevel="0" collapsed="false">
      <c r="A592" s="12" t="n">
        <v>495</v>
      </c>
      <c r="B592" s="12" t="s">
        <v>1199</v>
      </c>
      <c r="C592" s="12" t="s">
        <v>2549</v>
      </c>
      <c r="D592" s="12" t="s">
        <v>113</v>
      </c>
      <c r="E592" s="12" t="s">
        <v>259</v>
      </c>
      <c r="F592" s="12" t="n">
        <v>66000</v>
      </c>
      <c r="G592" s="12"/>
      <c r="H592" s="12"/>
      <c r="I592" s="12"/>
      <c r="J592" s="12"/>
      <c r="K592" s="12"/>
      <c r="L592" s="12"/>
      <c r="M592" s="12"/>
      <c r="N592" s="12"/>
      <c r="O592" s="13" t="s">
        <v>4581</v>
      </c>
      <c r="P592" s="13" t="s">
        <v>4582</v>
      </c>
      <c r="Q592" s="13"/>
      <c r="R592" s="13" t="s">
        <v>4583</v>
      </c>
      <c r="S592" s="13" t="s">
        <v>4584</v>
      </c>
      <c r="T592" s="12" t="s">
        <v>94</v>
      </c>
      <c r="U592" s="12" t="s">
        <v>4585</v>
      </c>
    </row>
    <row r="593" customFormat="false" ht="31.5" hidden="false" customHeight="true" outlineLevel="0" collapsed="false">
      <c r="A593" s="12" t="n">
        <v>496</v>
      </c>
      <c r="B593" s="12" t="s">
        <v>4586</v>
      </c>
      <c r="C593" s="12" t="s">
        <v>2527</v>
      </c>
      <c r="D593" s="12"/>
      <c r="E593" s="12"/>
      <c r="F593" s="12"/>
      <c r="G593" s="12"/>
      <c r="H593" s="12"/>
      <c r="I593" s="12"/>
      <c r="J593" s="12"/>
      <c r="K593" s="12"/>
      <c r="L593" s="12"/>
      <c r="M593" s="12"/>
      <c r="N593" s="12"/>
      <c r="O593" s="13"/>
      <c r="P593" s="13" t="s">
        <v>4587</v>
      </c>
      <c r="Q593" s="13"/>
      <c r="R593" s="13" t="s">
        <v>4588</v>
      </c>
      <c r="S593" s="13" t="s">
        <v>4589</v>
      </c>
      <c r="T593" s="12" t="s">
        <v>94</v>
      </c>
      <c r="U593" s="12" t="s">
        <v>4590</v>
      </c>
    </row>
    <row r="594" customFormat="false" ht="31.5" hidden="false" customHeight="true" outlineLevel="0" collapsed="false">
      <c r="A594" s="12" t="n">
        <v>497</v>
      </c>
      <c r="B594" s="12" t="s">
        <v>4591</v>
      </c>
      <c r="C594" s="12" t="s">
        <v>2502</v>
      </c>
      <c r="D594" s="12"/>
      <c r="E594" s="12"/>
      <c r="F594" s="12"/>
      <c r="G594" s="12"/>
      <c r="H594" s="12"/>
      <c r="I594" s="12"/>
      <c r="J594" s="12"/>
      <c r="K594" s="12"/>
      <c r="L594" s="12"/>
      <c r="M594" s="12"/>
      <c r="N594" s="12"/>
      <c r="O594" s="13"/>
      <c r="P594" s="13" t="s">
        <v>4592</v>
      </c>
      <c r="Q594" s="13"/>
      <c r="R594" s="13"/>
      <c r="S594" s="13" t="s">
        <v>4593</v>
      </c>
      <c r="T594" s="12" t="s">
        <v>94</v>
      </c>
      <c r="U594" s="12" t="s">
        <v>4594</v>
      </c>
    </row>
    <row r="595" customFormat="false" ht="31.5" hidden="false" customHeight="true" outlineLevel="0" collapsed="false">
      <c r="A595" s="12" t="n">
        <v>498</v>
      </c>
      <c r="B595" s="12" t="s">
        <v>4595</v>
      </c>
      <c r="C595" s="12" t="s">
        <v>2557</v>
      </c>
      <c r="D595" s="12" t="s">
        <v>685</v>
      </c>
      <c r="E595" s="12" t="s">
        <v>83</v>
      </c>
      <c r="F595" s="12"/>
      <c r="G595" s="12"/>
      <c r="H595" s="12" t="s">
        <v>1158</v>
      </c>
      <c r="I595" s="12"/>
      <c r="J595" s="12"/>
      <c r="K595" s="12"/>
      <c r="L595" s="12" t="n">
        <v>1</v>
      </c>
      <c r="M595" s="12"/>
      <c r="N595" s="12"/>
      <c r="O595" s="13"/>
      <c r="P595" s="13" t="s">
        <v>4596</v>
      </c>
      <c r="Q595" s="13"/>
      <c r="R595" s="13"/>
      <c r="S595" s="13" t="s">
        <v>4597</v>
      </c>
      <c r="T595" s="12" t="s">
        <v>94</v>
      </c>
      <c r="U595" s="12" t="s">
        <v>4598</v>
      </c>
    </row>
    <row r="596" customFormat="false" ht="31.5" hidden="false" customHeight="true" outlineLevel="0" collapsed="false">
      <c r="A596" s="12" t="n">
        <v>499</v>
      </c>
      <c r="B596" s="12" t="s">
        <v>4599</v>
      </c>
      <c r="C596" s="12" t="s">
        <v>2502</v>
      </c>
      <c r="D596" s="12"/>
      <c r="E596" s="12"/>
      <c r="F596" s="12"/>
      <c r="G596" s="12"/>
      <c r="H596" s="12"/>
      <c r="I596" s="12"/>
      <c r="J596" s="12"/>
      <c r="K596" s="12"/>
      <c r="L596" s="12"/>
      <c r="M596" s="12"/>
      <c r="N596" s="12"/>
      <c r="O596" s="13"/>
      <c r="P596" s="13" t="s">
        <v>4600</v>
      </c>
      <c r="Q596" s="13"/>
      <c r="R596" s="13"/>
      <c r="S596" s="13" t="s">
        <v>4601</v>
      </c>
      <c r="T596" s="12" t="s">
        <v>94</v>
      </c>
      <c r="U596" s="12" t="s">
        <v>4602</v>
      </c>
    </row>
    <row r="597" customFormat="false" ht="31.5" hidden="false" customHeight="true" outlineLevel="0" collapsed="false">
      <c r="A597" s="12" t="n">
        <v>499</v>
      </c>
      <c r="B597" s="12" t="s">
        <v>4599</v>
      </c>
      <c r="C597" s="12" t="s">
        <v>2588</v>
      </c>
      <c r="D597" s="12" t="s">
        <v>685</v>
      </c>
      <c r="E597" s="12" t="s">
        <v>83</v>
      </c>
      <c r="F597" s="12"/>
      <c r="G597" s="12"/>
      <c r="H597" s="12"/>
      <c r="I597" s="12" t="n">
        <v>1.76</v>
      </c>
      <c r="J597" s="12"/>
      <c r="K597" s="12"/>
      <c r="L597" s="12"/>
      <c r="M597" s="12"/>
      <c r="N597" s="12"/>
      <c r="O597" s="13"/>
      <c r="P597" s="13" t="s">
        <v>4603</v>
      </c>
      <c r="Q597" s="13"/>
      <c r="R597" s="13"/>
      <c r="S597" s="13" t="s">
        <v>4604</v>
      </c>
      <c r="T597" s="12" t="s">
        <v>108</v>
      </c>
      <c r="U597" s="12" t="s">
        <v>4602</v>
      </c>
    </row>
    <row r="598" customFormat="false" ht="31.5" hidden="false" customHeight="true" outlineLevel="0" collapsed="false">
      <c r="A598" s="12" t="n">
        <v>500</v>
      </c>
      <c r="B598" s="12" t="s">
        <v>1207</v>
      </c>
      <c r="C598" s="12" t="s">
        <v>2521</v>
      </c>
      <c r="D598" s="12" t="s">
        <v>476</v>
      </c>
      <c r="E598" s="12" t="s">
        <v>259</v>
      </c>
      <c r="F598" s="12" t="n">
        <v>530</v>
      </c>
      <c r="G598" s="12"/>
      <c r="H598" s="12" t="s">
        <v>1209</v>
      </c>
      <c r="I598" s="12" t="n">
        <v>550</v>
      </c>
      <c r="J598" s="12"/>
      <c r="K598" s="12"/>
      <c r="L598" s="12"/>
      <c r="M598" s="12"/>
      <c r="N598" s="12" t="n">
        <v>530</v>
      </c>
      <c r="O598" s="13"/>
      <c r="P598" s="13" t="s">
        <v>4605</v>
      </c>
      <c r="Q598" s="13"/>
      <c r="R598" s="13"/>
      <c r="S598" s="13" t="s">
        <v>4606</v>
      </c>
      <c r="T598" s="12" t="s">
        <v>94</v>
      </c>
      <c r="U598" s="12" t="s">
        <v>1217</v>
      </c>
    </row>
    <row r="599" customFormat="false" ht="31.5" hidden="false" customHeight="true" outlineLevel="0" collapsed="false">
      <c r="A599" s="12" t="n">
        <v>501</v>
      </c>
      <c r="B599" s="12" t="s">
        <v>4607</v>
      </c>
      <c r="C599" s="12" t="s">
        <v>2588</v>
      </c>
      <c r="D599" s="12" t="s">
        <v>476</v>
      </c>
      <c r="E599" s="12" t="s">
        <v>259</v>
      </c>
      <c r="F599" s="12"/>
      <c r="G599" s="12"/>
      <c r="H599" s="12"/>
      <c r="I599" s="12" t="n">
        <v>559</v>
      </c>
      <c r="J599" s="12"/>
      <c r="K599" s="12"/>
      <c r="L599" s="12"/>
      <c r="M599" s="12"/>
      <c r="N599" s="12"/>
      <c r="O599" s="13" t="s">
        <v>4608</v>
      </c>
      <c r="P599" s="13" t="s">
        <v>4609</v>
      </c>
      <c r="Q599" s="13"/>
      <c r="R599" s="13"/>
      <c r="S599" s="13" t="s">
        <v>4610</v>
      </c>
      <c r="T599" s="12" t="s">
        <v>94</v>
      </c>
      <c r="U599" s="12" t="s">
        <v>4611</v>
      </c>
    </row>
    <row r="600" customFormat="false" ht="31.5" hidden="false" customHeight="true" outlineLevel="0" collapsed="false">
      <c r="A600" s="12" t="n">
        <v>501</v>
      </c>
      <c r="B600" s="12" t="s">
        <v>4607</v>
      </c>
      <c r="C600" s="12" t="s">
        <v>2618</v>
      </c>
      <c r="D600" s="12" t="s">
        <v>476</v>
      </c>
      <c r="E600" s="12" t="s">
        <v>259</v>
      </c>
      <c r="F600" s="12"/>
      <c r="G600" s="12"/>
      <c r="H600" s="12" t="s">
        <v>1212</v>
      </c>
      <c r="I600" s="12"/>
      <c r="J600" s="12"/>
      <c r="K600" s="12"/>
      <c r="L600" s="12"/>
      <c r="M600" s="12"/>
      <c r="N600" s="12"/>
      <c r="O600" s="13" t="s">
        <v>4608</v>
      </c>
      <c r="P600" s="13" t="s">
        <v>4612</v>
      </c>
      <c r="Q600" s="13"/>
      <c r="R600" s="13"/>
      <c r="S600" s="13" t="s">
        <v>4610</v>
      </c>
      <c r="T600" s="12" t="s">
        <v>94</v>
      </c>
      <c r="U600" s="12" t="s">
        <v>4611</v>
      </c>
    </row>
    <row r="601" customFormat="false" ht="31.5" hidden="false" customHeight="true" outlineLevel="0" collapsed="false">
      <c r="A601" s="12" t="n">
        <v>502</v>
      </c>
      <c r="B601" s="12" t="s">
        <v>1218</v>
      </c>
      <c r="C601" s="12" t="s">
        <v>2521</v>
      </c>
      <c r="D601" s="12" t="s">
        <v>1219</v>
      </c>
      <c r="E601" s="12" t="s">
        <v>83</v>
      </c>
      <c r="F601" s="12" t="n">
        <v>357</v>
      </c>
      <c r="G601" s="12"/>
      <c r="H601" s="12" t="s">
        <v>1220</v>
      </c>
      <c r="I601" s="12" t="n">
        <v>320</v>
      </c>
      <c r="J601" s="12"/>
      <c r="K601" s="12"/>
      <c r="L601" s="12"/>
      <c r="M601" s="12"/>
      <c r="N601" s="12" t="n">
        <v>357</v>
      </c>
      <c r="O601" s="13"/>
      <c r="P601" s="13" t="s">
        <v>4613</v>
      </c>
      <c r="Q601" s="13" t="s">
        <v>191</v>
      </c>
      <c r="R601" s="13"/>
      <c r="S601" s="13" t="s">
        <v>4614</v>
      </c>
      <c r="T601" s="12" t="s">
        <v>94</v>
      </c>
      <c r="U601" s="12" t="s">
        <v>1227</v>
      </c>
    </row>
    <row r="602" customFormat="false" ht="31.5" hidden="false" customHeight="true" outlineLevel="0" collapsed="false">
      <c r="A602" s="12" t="n">
        <v>503</v>
      </c>
      <c r="B602" s="12" t="s">
        <v>1161</v>
      </c>
      <c r="C602" s="12" t="s">
        <v>2537</v>
      </c>
      <c r="D602" s="12" t="s">
        <v>113</v>
      </c>
      <c r="E602" s="12" t="s">
        <v>259</v>
      </c>
      <c r="F602" s="12"/>
      <c r="G602" s="12"/>
      <c r="H602" s="12"/>
      <c r="I602" s="12"/>
      <c r="J602" s="12"/>
      <c r="K602" s="12"/>
      <c r="L602" s="12"/>
      <c r="M602" s="12"/>
      <c r="N602" s="12"/>
      <c r="O602" s="13"/>
      <c r="P602" s="13" t="s">
        <v>4615</v>
      </c>
      <c r="Q602" s="13"/>
      <c r="R602" s="13"/>
      <c r="S602" s="13" t="s">
        <v>4616</v>
      </c>
      <c r="T602" s="12" t="s">
        <v>94</v>
      </c>
      <c r="U602" s="12" t="s">
        <v>4617</v>
      </c>
    </row>
    <row r="603" customFormat="false" ht="31.5" hidden="false" customHeight="true" outlineLevel="0" collapsed="false">
      <c r="A603" s="12" t="n">
        <v>503</v>
      </c>
      <c r="B603" s="12" t="s">
        <v>1161</v>
      </c>
      <c r="C603" s="12" t="s">
        <v>2630</v>
      </c>
      <c r="D603" s="12" t="s">
        <v>685</v>
      </c>
      <c r="E603" s="12" t="s">
        <v>83</v>
      </c>
      <c r="F603" s="12" t="n">
        <v>1.761</v>
      </c>
      <c r="G603" s="12"/>
      <c r="H603" s="12"/>
      <c r="I603" s="12"/>
      <c r="J603" s="12" t="n">
        <v>100</v>
      </c>
      <c r="K603" s="12" t="n">
        <v>90</v>
      </c>
      <c r="L603" s="12"/>
      <c r="M603" s="12" t="n">
        <v>91.99</v>
      </c>
      <c r="N603" s="12" t="n">
        <v>1.779</v>
      </c>
      <c r="O603" s="13"/>
      <c r="P603" s="13" t="s">
        <v>4618</v>
      </c>
      <c r="Q603" s="13"/>
      <c r="R603" s="13" t="s">
        <v>4619</v>
      </c>
      <c r="S603" s="13" t="s">
        <v>4620</v>
      </c>
      <c r="T603" s="12" t="s">
        <v>94</v>
      </c>
      <c r="U603" s="12" t="s">
        <v>4617</v>
      </c>
    </row>
    <row r="604" customFormat="false" ht="31.5" hidden="false" customHeight="true" outlineLevel="0" collapsed="false">
      <c r="A604" s="12" t="n">
        <v>503</v>
      </c>
      <c r="B604" s="12" t="s">
        <v>1161</v>
      </c>
      <c r="C604" s="12" t="s">
        <v>2618</v>
      </c>
      <c r="D604" s="12" t="s">
        <v>1219</v>
      </c>
      <c r="E604" s="12" t="s">
        <v>83</v>
      </c>
      <c r="F604" s="12"/>
      <c r="G604" s="12"/>
      <c r="H604" s="12" t="s">
        <v>4621</v>
      </c>
      <c r="I604" s="12"/>
      <c r="J604" s="12"/>
      <c r="K604" s="12"/>
      <c r="L604" s="12"/>
      <c r="M604" s="12"/>
      <c r="N604" s="12"/>
      <c r="O604" s="13"/>
      <c r="P604" s="13" t="s">
        <v>4622</v>
      </c>
      <c r="Q604" s="13"/>
      <c r="R604" s="13"/>
      <c r="S604" s="13" t="s">
        <v>4623</v>
      </c>
      <c r="T604" s="12" t="s">
        <v>108</v>
      </c>
      <c r="U604" s="12" t="s">
        <v>4617</v>
      </c>
    </row>
    <row r="605" customFormat="false" ht="31.5" hidden="false" customHeight="true" outlineLevel="0" collapsed="false">
      <c r="A605" s="12" t="n">
        <v>504</v>
      </c>
      <c r="B605" s="12" t="s">
        <v>4624</v>
      </c>
      <c r="C605" s="12" t="s">
        <v>2557</v>
      </c>
      <c r="D605" s="12" t="s">
        <v>113</v>
      </c>
      <c r="E605" s="12" t="s">
        <v>83</v>
      </c>
      <c r="F605" s="12"/>
      <c r="G605" s="12"/>
      <c r="H605" s="12"/>
      <c r="I605" s="12"/>
      <c r="J605" s="12"/>
      <c r="K605" s="12"/>
      <c r="L605" s="12"/>
      <c r="M605" s="12" t="n">
        <v>8</v>
      </c>
      <c r="N605" s="12"/>
      <c r="O605" s="13"/>
      <c r="P605" s="13" t="s">
        <v>4625</v>
      </c>
      <c r="Q605" s="13"/>
      <c r="R605" s="13"/>
      <c r="S605" s="13" t="s">
        <v>4626</v>
      </c>
      <c r="T605" s="12" t="s">
        <v>94</v>
      </c>
      <c r="U605" s="12" t="s">
        <v>4627</v>
      </c>
    </row>
    <row r="606" customFormat="false" ht="31.5" hidden="false" customHeight="true" outlineLevel="0" collapsed="false">
      <c r="A606" s="12" t="n">
        <v>504</v>
      </c>
      <c r="B606" s="12" t="s">
        <v>4624</v>
      </c>
      <c r="C606" s="12" t="s">
        <v>2557</v>
      </c>
      <c r="D606" s="12" t="s">
        <v>99</v>
      </c>
      <c r="E606" s="12" t="s">
        <v>83</v>
      </c>
      <c r="F606" s="12"/>
      <c r="G606" s="12"/>
      <c r="H606" s="12"/>
      <c r="I606" s="12"/>
      <c r="J606" s="12"/>
      <c r="K606" s="12"/>
      <c r="L606" s="12"/>
      <c r="M606" s="12" t="n">
        <v>20</v>
      </c>
      <c r="N606" s="12"/>
      <c r="O606" s="13"/>
      <c r="P606" s="13" t="s">
        <v>4628</v>
      </c>
      <c r="Q606" s="13"/>
      <c r="R606" s="13"/>
      <c r="S606" s="13" t="s">
        <v>4626</v>
      </c>
      <c r="T606" s="12" t="s">
        <v>94</v>
      </c>
      <c r="U606" s="12" t="s">
        <v>4627</v>
      </c>
    </row>
    <row r="607" customFormat="false" ht="31.5" hidden="false" customHeight="true" outlineLevel="0" collapsed="false">
      <c r="A607" s="12" t="n">
        <v>504</v>
      </c>
      <c r="B607" s="12" t="s">
        <v>4624</v>
      </c>
      <c r="C607" s="12" t="s">
        <v>2557</v>
      </c>
      <c r="D607" s="12" t="s">
        <v>317</v>
      </c>
      <c r="E607" s="12" t="s">
        <v>83</v>
      </c>
      <c r="F607" s="12"/>
      <c r="G607" s="12"/>
      <c r="H607" s="12"/>
      <c r="I607" s="12"/>
      <c r="J607" s="12"/>
      <c r="K607" s="12"/>
      <c r="L607" s="12"/>
      <c r="M607" s="12" t="n">
        <v>20</v>
      </c>
      <c r="N607" s="12"/>
      <c r="O607" s="13"/>
      <c r="P607" s="13" t="s">
        <v>4629</v>
      </c>
      <c r="Q607" s="13"/>
      <c r="R607" s="13"/>
      <c r="S607" s="13" t="s">
        <v>4626</v>
      </c>
      <c r="T607" s="12" t="s">
        <v>94</v>
      </c>
      <c r="U607" s="12" t="s">
        <v>4627</v>
      </c>
    </row>
    <row r="608" customFormat="false" ht="31.5" hidden="false" customHeight="true" outlineLevel="0" collapsed="false">
      <c r="A608" s="12" t="n">
        <v>505</v>
      </c>
      <c r="B608" s="12" t="s">
        <v>4630</v>
      </c>
      <c r="C608" s="12" t="s">
        <v>2670</v>
      </c>
      <c r="D608" s="12" t="s">
        <v>113</v>
      </c>
      <c r="E608" s="12" t="s">
        <v>259</v>
      </c>
      <c r="F608" s="12"/>
      <c r="G608" s="12"/>
      <c r="H608" s="12" t="s">
        <v>1861</v>
      </c>
      <c r="I608" s="12"/>
      <c r="J608" s="12"/>
      <c r="K608" s="12"/>
      <c r="L608" s="12"/>
      <c r="M608" s="12"/>
      <c r="N608" s="12"/>
      <c r="O608" s="13"/>
      <c r="P608" s="13" t="s">
        <v>4631</v>
      </c>
      <c r="Q608" s="13"/>
      <c r="R608" s="13"/>
      <c r="S608" s="13" t="s">
        <v>4632</v>
      </c>
      <c r="T608" s="12" t="s">
        <v>94</v>
      </c>
      <c r="U608" s="12" t="s">
        <v>4633</v>
      </c>
    </row>
    <row r="609" customFormat="false" ht="31.5" hidden="false" customHeight="true" outlineLevel="0" collapsed="false">
      <c r="A609" s="12" t="n">
        <v>505</v>
      </c>
      <c r="B609" s="12" t="s">
        <v>4630</v>
      </c>
      <c r="C609" s="12" t="s">
        <v>2618</v>
      </c>
      <c r="D609" s="12" t="s">
        <v>1219</v>
      </c>
      <c r="E609" s="12" t="s">
        <v>83</v>
      </c>
      <c r="F609" s="12"/>
      <c r="G609" s="12"/>
      <c r="H609" s="12" t="s">
        <v>4634</v>
      </c>
      <c r="I609" s="12"/>
      <c r="J609" s="12"/>
      <c r="K609" s="12"/>
      <c r="L609" s="12" t="n">
        <v>1</v>
      </c>
      <c r="M609" s="12"/>
      <c r="N609" s="12"/>
      <c r="O609" s="13"/>
      <c r="P609" s="13" t="s">
        <v>4635</v>
      </c>
      <c r="Q609" s="13"/>
      <c r="R609" s="13"/>
      <c r="S609" s="13" t="s">
        <v>4636</v>
      </c>
      <c r="T609" s="12" t="s">
        <v>94</v>
      </c>
      <c r="U609" s="12" t="s">
        <v>4633</v>
      </c>
    </row>
    <row r="610" customFormat="false" ht="31.5" hidden="false" customHeight="true" outlineLevel="0" collapsed="false">
      <c r="A610" s="12" t="n">
        <v>506</v>
      </c>
      <c r="B610" s="12" t="s">
        <v>4637</v>
      </c>
      <c r="C610" s="12" t="s">
        <v>2557</v>
      </c>
      <c r="D610" s="12" t="s">
        <v>1219</v>
      </c>
      <c r="E610" s="12" t="s">
        <v>83</v>
      </c>
      <c r="F610" s="12"/>
      <c r="G610" s="12"/>
      <c r="H610" s="12"/>
      <c r="I610" s="12"/>
      <c r="J610" s="12"/>
      <c r="K610" s="12"/>
      <c r="L610" s="12"/>
      <c r="M610" s="12"/>
      <c r="N610" s="12"/>
      <c r="O610" s="13"/>
      <c r="P610" s="13" t="s">
        <v>4638</v>
      </c>
      <c r="Q610" s="13"/>
      <c r="R610" s="13"/>
      <c r="S610" s="13" t="s">
        <v>4639</v>
      </c>
      <c r="T610" s="12" t="s">
        <v>94</v>
      </c>
      <c r="U610" s="12" t="s">
        <v>4640</v>
      </c>
    </row>
    <row r="611" customFormat="false" ht="31.5" hidden="false" customHeight="true" outlineLevel="0" collapsed="false">
      <c r="A611" s="12" t="n">
        <v>507</v>
      </c>
      <c r="B611" s="12" t="s">
        <v>1228</v>
      </c>
      <c r="C611" s="12" t="s">
        <v>2521</v>
      </c>
      <c r="D611" s="12" t="s">
        <v>527</v>
      </c>
      <c r="E611" s="12" t="s">
        <v>83</v>
      </c>
      <c r="F611" s="12" t="n">
        <v>0.653</v>
      </c>
      <c r="G611" s="12" t="n">
        <v>0.621</v>
      </c>
      <c r="H611" s="12" t="s">
        <v>1231</v>
      </c>
      <c r="I611" s="12" t="n">
        <v>0.5646</v>
      </c>
      <c r="J611" s="12" t="n">
        <v>70</v>
      </c>
      <c r="K611" s="12"/>
      <c r="L611" s="12"/>
      <c r="M611" s="12"/>
      <c r="N611" s="12" t="n">
        <v>0.653</v>
      </c>
      <c r="O611" s="13"/>
      <c r="P611" s="13" t="s">
        <v>4641</v>
      </c>
      <c r="Q611" s="13"/>
      <c r="R611" s="13"/>
      <c r="S611" s="13" t="s">
        <v>4642</v>
      </c>
      <c r="T611" s="12" t="s">
        <v>94</v>
      </c>
      <c r="U611" s="12" t="s">
        <v>1239</v>
      </c>
    </row>
    <row r="612" customFormat="false" ht="31.5" hidden="false" customHeight="true" outlineLevel="0" collapsed="false">
      <c r="A612" s="12" t="n">
        <v>508</v>
      </c>
      <c r="B612" s="12" t="s">
        <v>4643</v>
      </c>
      <c r="C612" s="12" t="s">
        <v>2537</v>
      </c>
      <c r="D612" s="12" t="s">
        <v>113</v>
      </c>
      <c r="E612" s="12" t="s">
        <v>259</v>
      </c>
      <c r="F612" s="12"/>
      <c r="G612" s="12"/>
      <c r="H612" s="12"/>
      <c r="I612" s="12"/>
      <c r="J612" s="12"/>
      <c r="K612" s="12"/>
      <c r="L612" s="12"/>
      <c r="M612" s="12"/>
      <c r="N612" s="12"/>
      <c r="O612" s="13" t="s">
        <v>4644</v>
      </c>
      <c r="P612" s="13" t="s">
        <v>4645</v>
      </c>
      <c r="Q612" s="13"/>
      <c r="R612" s="13"/>
      <c r="S612" s="13" t="s">
        <v>4646</v>
      </c>
      <c r="T612" s="12" t="s">
        <v>94</v>
      </c>
      <c r="U612" s="12" t="s">
        <v>4647</v>
      </c>
    </row>
    <row r="613" customFormat="false" ht="31.5" hidden="false" customHeight="true" outlineLevel="0" collapsed="false">
      <c r="A613" s="12" t="n">
        <v>509</v>
      </c>
      <c r="B613" s="12" t="s">
        <v>4648</v>
      </c>
      <c r="C613" s="12" t="s">
        <v>2581</v>
      </c>
      <c r="D613" s="12" t="s">
        <v>476</v>
      </c>
      <c r="E613" s="12" t="s">
        <v>259</v>
      </c>
      <c r="F613" s="12"/>
      <c r="G613" s="12"/>
      <c r="H613" s="12"/>
      <c r="I613" s="12"/>
      <c r="J613" s="12" t="n">
        <v>50</v>
      </c>
      <c r="K613" s="12"/>
      <c r="L613" s="12" t="n">
        <v>1</v>
      </c>
      <c r="M613" s="12"/>
      <c r="N613" s="12"/>
      <c r="O613" s="13"/>
      <c r="P613" s="13" t="s">
        <v>4649</v>
      </c>
      <c r="Q613" s="13"/>
      <c r="R613" s="13"/>
      <c r="S613" s="13" t="s">
        <v>4650</v>
      </c>
      <c r="T613" s="12" t="s">
        <v>94</v>
      </c>
      <c r="U613" s="12" t="s">
        <v>4651</v>
      </c>
    </row>
    <row r="614" customFormat="false" ht="31.5" hidden="false" customHeight="true" outlineLevel="0" collapsed="false">
      <c r="A614" s="12" t="n">
        <v>509</v>
      </c>
      <c r="B614" s="12" t="s">
        <v>4648</v>
      </c>
      <c r="C614" s="12" t="s">
        <v>2588</v>
      </c>
      <c r="D614" s="12" t="s">
        <v>476</v>
      </c>
      <c r="E614" s="12" t="s">
        <v>259</v>
      </c>
      <c r="F614" s="12"/>
      <c r="G614" s="12"/>
      <c r="H614" s="12"/>
      <c r="I614" s="12" t="n">
        <v>530</v>
      </c>
      <c r="J614" s="12"/>
      <c r="K614" s="12"/>
      <c r="L614" s="12"/>
      <c r="M614" s="12"/>
      <c r="N614" s="12"/>
      <c r="O614" s="13"/>
      <c r="P614" s="13" t="s">
        <v>4652</v>
      </c>
      <c r="Q614" s="13"/>
      <c r="R614" s="13"/>
      <c r="S614" s="13" t="s">
        <v>4650</v>
      </c>
      <c r="T614" s="12" t="s">
        <v>108</v>
      </c>
      <c r="U614" s="12" t="s">
        <v>4651</v>
      </c>
    </row>
    <row r="615" customFormat="false" ht="31.5" hidden="false" customHeight="true" outlineLevel="0" collapsed="false">
      <c r="A615" s="12" t="n">
        <v>510</v>
      </c>
      <c r="B615" s="12" t="s">
        <v>4653</v>
      </c>
      <c r="C615" s="12" t="s">
        <v>2581</v>
      </c>
      <c r="D615" s="12" t="s">
        <v>476</v>
      </c>
      <c r="E615" s="12" t="s">
        <v>259</v>
      </c>
      <c r="F615" s="12"/>
      <c r="G615" s="12"/>
      <c r="H615" s="12"/>
      <c r="I615" s="12"/>
      <c r="J615" s="12" t="n">
        <v>25</v>
      </c>
      <c r="K615" s="12"/>
      <c r="L615" s="12" t="n">
        <v>2</v>
      </c>
      <c r="M615" s="12"/>
      <c r="N615" s="12"/>
      <c r="O615" s="13"/>
      <c r="P615" s="13" t="s">
        <v>4654</v>
      </c>
      <c r="Q615" s="13"/>
      <c r="R615" s="13"/>
      <c r="S615" s="13" t="s">
        <v>4655</v>
      </c>
      <c r="T615" s="12" t="s">
        <v>94</v>
      </c>
      <c r="U615" s="12" t="s">
        <v>4656</v>
      </c>
    </row>
    <row r="616" customFormat="false" ht="31.5" hidden="false" customHeight="true" outlineLevel="0" collapsed="false">
      <c r="A616" s="12" t="n">
        <v>511</v>
      </c>
      <c r="B616" s="12" t="s">
        <v>4657</v>
      </c>
      <c r="C616" s="12" t="s">
        <v>2537</v>
      </c>
      <c r="D616" s="12" t="s">
        <v>113</v>
      </c>
      <c r="E616" s="12" t="s">
        <v>259</v>
      </c>
      <c r="F616" s="12" t="n">
        <v>66200</v>
      </c>
      <c r="G616" s="12" t="n">
        <v>66400</v>
      </c>
      <c r="H616" s="12"/>
      <c r="I616" s="12"/>
      <c r="J616" s="12" t="n">
        <v>50</v>
      </c>
      <c r="K616" s="12"/>
      <c r="L616" s="12"/>
      <c r="M616" s="12"/>
      <c r="N616" s="12"/>
      <c r="O616" s="13"/>
      <c r="P616" s="13" t="s">
        <v>4658</v>
      </c>
      <c r="Q616" s="13"/>
      <c r="R616" s="13"/>
      <c r="S616" s="13" t="s">
        <v>4659</v>
      </c>
      <c r="T616" s="12" t="s">
        <v>94</v>
      </c>
      <c r="U616" s="12" t="s">
        <v>4660</v>
      </c>
    </row>
    <row r="617" customFormat="false" ht="31.5" hidden="false" customHeight="true" outlineLevel="0" collapsed="false">
      <c r="A617" s="12" t="n">
        <v>511</v>
      </c>
      <c r="B617" s="12" t="s">
        <v>4657</v>
      </c>
      <c r="C617" s="12" t="s">
        <v>2618</v>
      </c>
      <c r="D617" s="12" t="s">
        <v>113</v>
      </c>
      <c r="E617" s="12" t="s">
        <v>259</v>
      </c>
      <c r="F617" s="12" t="n">
        <v>66200</v>
      </c>
      <c r="G617" s="12"/>
      <c r="H617" s="12" t="s">
        <v>4661</v>
      </c>
      <c r="I617" s="12"/>
      <c r="J617" s="12"/>
      <c r="K617" s="12"/>
      <c r="L617" s="12"/>
      <c r="M617" s="12"/>
      <c r="N617" s="12"/>
      <c r="O617" s="13"/>
      <c r="P617" s="13" t="s">
        <v>4662</v>
      </c>
      <c r="Q617" s="13"/>
      <c r="R617" s="13"/>
      <c r="S617" s="13" t="s">
        <v>4663</v>
      </c>
      <c r="T617" s="12" t="s">
        <v>94</v>
      </c>
      <c r="U617" s="12" t="s">
        <v>4660</v>
      </c>
    </row>
    <row r="618" customFormat="false" ht="31.5" hidden="false" customHeight="true" outlineLevel="0" collapsed="false">
      <c r="A618" s="12" t="n">
        <v>512</v>
      </c>
      <c r="B618" s="12" t="s">
        <v>1200</v>
      </c>
      <c r="C618" s="12" t="s">
        <v>2666</v>
      </c>
      <c r="D618" s="12" t="s">
        <v>113</v>
      </c>
      <c r="E618" s="12" t="s">
        <v>259</v>
      </c>
      <c r="F618" s="12" t="n">
        <v>66200</v>
      </c>
      <c r="G618" s="12"/>
      <c r="H618" s="12"/>
      <c r="I618" s="12"/>
      <c r="J618" s="12" t="n">
        <v>100</v>
      </c>
      <c r="K618" s="12" t="n">
        <v>250</v>
      </c>
      <c r="L618" s="12" t="n">
        <v>0.5</v>
      </c>
      <c r="M618" s="12" t="n">
        <v>160.49</v>
      </c>
      <c r="N618" s="12"/>
      <c r="O618" s="13"/>
      <c r="P618" s="13" t="s">
        <v>4664</v>
      </c>
      <c r="Q618" s="13"/>
      <c r="R618" s="13"/>
      <c r="S618" s="13" t="s">
        <v>4665</v>
      </c>
      <c r="T618" s="12" t="s">
        <v>94</v>
      </c>
      <c r="U618" s="12" t="s">
        <v>4666</v>
      </c>
    </row>
    <row r="619" customFormat="false" ht="31.5" hidden="false" customHeight="true" outlineLevel="0" collapsed="false">
      <c r="A619" s="12" t="n">
        <v>513</v>
      </c>
      <c r="B619" s="12" t="s">
        <v>4667</v>
      </c>
      <c r="C619" s="12" t="s">
        <v>2557</v>
      </c>
      <c r="D619" s="12" t="s">
        <v>113</v>
      </c>
      <c r="E619" s="12" t="s">
        <v>259</v>
      </c>
      <c r="F619" s="12" t="n">
        <v>67119.9</v>
      </c>
      <c r="G619" s="12"/>
      <c r="H619" s="12"/>
      <c r="I619" s="12"/>
      <c r="J619" s="12"/>
      <c r="K619" s="12" t="n">
        <v>150</v>
      </c>
      <c r="L619" s="12"/>
      <c r="M619" s="12" t="n">
        <v>331.94</v>
      </c>
      <c r="N619" s="12" t="n">
        <v>65634.5</v>
      </c>
      <c r="O619" s="13"/>
      <c r="P619" s="13" t="s">
        <v>4668</v>
      </c>
      <c r="Q619" s="13"/>
      <c r="R619" s="13"/>
      <c r="S619" s="13" t="s">
        <v>4669</v>
      </c>
      <c r="T619" s="12" t="s">
        <v>94</v>
      </c>
      <c r="U619" s="12" t="s">
        <v>4670</v>
      </c>
    </row>
    <row r="620" customFormat="false" ht="31.5" hidden="false" customHeight="true" outlineLevel="0" collapsed="false">
      <c r="A620" s="12" t="n">
        <v>513</v>
      </c>
      <c r="B620" s="12" t="s">
        <v>4667</v>
      </c>
      <c r="C620" s="12" t="s">
        <v>2511</v>
      </c>
      <c r="D620" s="12" t="s">
        <v>113</v>
      </c>
      <c r="E620" s="12"/>
      <c r="F620" s="12"/>
      <c r="G620" s="12"/>
      <c r="H620" s="12"/>
      <c r="I620" s="12"/>
      <c r="J620" s="12"/>
      <c r="K620" s="12"/>
      <c r="L620" s="12"/>
      <c r="M620" s="12"/>
      <c r="N620" s="12"/>
      <c r="O620" s="13"/>
      <c r="P620" s="13" t="s">
        <v>4671</v>
      </c>
      <c r="Q620" s="13"/>
      <c r="R620" s="13"/>
      <c r="S620" s="13" t="s">
        <v>4672</v>
      </c>
      <c r="T620" s="12" t="s">
        <v>94</v>
      </c>
      <c r="U620" s="12" t="s">
        <v>4670</v>
      </c>
    </row>
    <row r="621" customFormat="false" ht="31.5" hidden="false" customHeight="true" outlineLevel="0" collapsed="false">
      <c r="A621" s="12" t="n">
        <v>514</v>
      </c>
      <c r="B621" s="12" t="s">
        <v>4673</v>
      </c>
      <c r="C621" s="12" t="s">
        <v>2516</v>
      </c>
      <c r="D621" s="12" t="s">
        <v>113</v>
      </c>
      <c r="E621" s="12" t="s">
        <v>259</v>
      </c>
      <c r="F621" s="12" t="n">
        <v>67000</v>
      </c>
      <c r="G621" s="12"/>
      <c r="H621" s="12"/>
      <c r="I621" s="12"/>
      <c r="J621" s="12"/>
      <c r="K621" s="12"/>
      <c r="L621" s="12"/>
      <c r="M621" s="12"/>
      <c r="N621" s="12"/>
      <c r="O621" s="13"/>
      <c r="P621" s="13" t="s">
        <v>4674</v>
      </c>
      <c r="Q621" s="13"/>
      <c r="R621" s="13"/>
      <c r="S621" s="13" t="s">
        <v>4675</v>
      </c>
      <c r="T621" s="12" t="s">
        <v>94</v>
      </c>
      <c r="U621" s="12" t="s">
        <v>4676</v>
      </c>
    </row>
    <row r="622" customFormat="false" ht="31.5" hidden="false" customHeight="true" outlineLevel="0" collapsed="false">
      <c r="A622" s="12" t="n">
        <v>514</v>
      </c>
      <c r="B622" s="12" t="s">
        <v>4673</v>
      </c>
      <c r="C622" s="12" t="s">
        <v>2516</v>
      </c>
      <c r="D622" s="12" t="s">
        <v>113</v>
      </c>
      <c r="E622" s="12" t="s">
        <v>83</v>
      </c>
      <c r="F622" s="12" t="n">
        <v>64000</v>
      </c>
      <c r="G622" s="12"/>
      <c r="H622" s="12" t="s">
        <v>4677</v>
      </c>
      <c r="I622" s="12"/>
      <c r="J622" s="12"/>
      <c r="K622" s="12"/>
      <c r="L622" s="12"/>
      <c r="M622" s="12"/>
      <c r="N622" s="12"/>
      <c r="O622" s="13"/>
      <c r="P622" s="13" t="s">
        <v>4678</v>
      </c>
      <c r="Q622" s="13"/>
      <c r="R622" s="13"/>
      <c r="S622" s="13" t="s">
        <v>4679</v>
      </c>
      <c r="T622" s="12" t="s">
        <v>94</v>
      </c>
      <c r="U622" s="12" t="s">
        <v>4676</v>
      </c>
    </row>
    <row r="623" customFormat="false" ht="31.5" hidden="false" customHeight="true" outlineLevel="0" collapsed="false">
      <c r="A623" s="12" t="n">
        <v>514</v>
      </c>
      <c r="B623" s="12" t="s">
        <v>4673</v>
      </c>
      <c r="C623" s="12" t="s">
        <v>2527</v>
      </c>
      <c r="D623" s="12" t="s">
        <v>113</v>
      </c>
      <c r="E623" s="12"/>
      <c r="F623" s="12"/>
      <c r="G623" s="12"/>
      <c r="H623" s="12"/>
      <c r="I623" s="12"/>
      <c r="J623" s="12"/>
      <c r="K623" s="12"/>
      <c r="L623" s="12"/>
      <c r="M623" s="12"/>
      <c r="N623" s="12"/>
      <c r="O623" s="13"/>
      <c r="P623" s="13" t="s">
        <v>4680</v>
      </c>
      <c r="Q623" s="13" t="s">
        <v>336</v>
      </c>
      <c r="R623" s="13" t="s">
        <v>4681</v>
      </c>
      <c r="S623" s="13" t="s">
        <v>4682</v>
      </c>
      <c r="T623" s="12" t="s">
        <v>94</v>
      </c>
      <c r="U623" s="12" t="s">
        <v>4676</v>
      </c>
    </row>
    <row r="624" customFormat="false" ht="31.5" hidden="false" customHeight="true" outlineLevel="0" collapsed="false">
      <c r="A624" s="12" t="n">
        <v>515</v>
      </c>
      <c r="B624" s="12" t="s">
        <v>4683</v>
      </c>
      <c r="C624" s="12" t="s">
        <v>2527</v>
      </c>
      <c r="D624" s="12"/>
      <c r="E624" s="12"/>
      <c r="F624" s="12"/>
      <c r="G624" s="12"/>
      <c r="H624" s="12"/>
      <c r="I624" s="12"/>
      <c r="J624" s="12"/>
      <c r="K624" s="12"/>
      <c r="L624" s="12"/>
      <c r="M624" s="12"/>
      <c r="N624" s="12"/>
      <c r="O624" s="13"/>
      <c r="P624" s="13" t="s">
        <v>4684</v>
      </c>
      <c r="Q624" s="13"/>
      <c r="R624" s="13" t="s">
        <v>4685</v>
      </c>
      <c r="S624" s="13" t="s">
        <v>4686</v>
      </c>
      <c r="T624" s="12" t="s">
        <v>94</v>
      </c>
      <c r="U624" s="12" t="s">
        <v>4687</v>
      </c>
    </row>
    <row r="625" customFormat="false" ht="31.5" hidden="false" customHeight="true" outlineLevel="0" collapsed="false">
      <c r="A625" s="12" t="n">
        <v>516</v>
      </c>
      <c r="B625" s="12" t="s">
        <v>1240</v>
      </c>
      <c r="C625" s="12" t="s">
        <v>2521</v>
      </c>
      <c r="D625" s="12" t="s">
        <v>596</v>
      </c>
      <c r="E625" s="12" t="s">
        <v>83</v>
      </c>
      <c r="F625" s="12" t="n">
        <v>60</v>
      </c>
      <c r="G625" s="12"/>
      <c r="H625" s="12" t="s">
        <v>1243</v>
      </c>
      <c r="I625" s="12"/>
      <c r="J625" s="12"/>
      <c r="K625" s="12"/>
      <c r="L625" s="12"/>
      <c r="M625" s="12" t="n">
        <v>21.66</v>
      </c>
      <c r="N625" s="12"/>
      <c r="O625" s="13"/>
      <c r="P625" s="13" t="s">
        <v>4688</v>
      </c>
      <c r="Q625" s="13"/>
      <c r="R625" s="13"/>
      <c r="S625" s="13" t="s">
        <v>4689</v>
      </c>
      <c r="T625" s="12" t="s">
        <v>94</v>
      </c>
      <c r="U625" s="12" t="s">
        <v>1252</v>
      </c>
    </row>
    <row r="626" customFormat="false" ht="31.5" hidden="false" customHeight="true" outlineLevel="0" collapsed="false">
      <c r="A626" s="12" t="n">
        <v>517</v>
      </c>
      <c r="B626" s="12" t="s">
        <v>4690</v>
      </c>
      <c r="C626" s="12" t="s">
        <v>2516</v>
      </c>
      <c r="D626" s="12" t="s">
        <v>113</v>
      </c>
      <c r="E626" s="12" t="s">
        <v>259</v>
      </c>
      <c r="F626" s="12" t="n">
        <v>66700</v>
      </c>
      <c r="G626" s="12"/>
      <c r="H626" s="12"/>
      <c r="I626" s="12"/>
      <c r="J626" s="12"/>
      <c r="K626" s="12"/>
      <c r="L626" s="12"/>
      <c r="M626" s="12"/>
      <c r="N626" s="12"/>
      <c r="O626" s="13"/>
      <c r="P626" s="13" t="s">
        <v>4691</v>
      </c>
      <c r="Q626" s="13"/>
      <c r="R626" s="13"/>
      <c r="S626" s="13" t="s">
        <v>4692</v>
      </c>
      <c r="T626" s="12" t="s">
        <v>94</v>
      </c>
      <c r="U626" s="12" t="s">
        <v>4693</v>
      </c>
    </row>
    <row r="627" customFormat="false" ht="31.5" hidden="false" customHeight="true" outlineLevel="0" collapsed="false">
      <c r="A627" s="12" t="n">
        <v>518</v>
      </c>
      <c r="B627" s="12" t="s">
        <v>1253</v>
      </c>
      <c r="C627" s="12" t="s">
        <v>2521</v>
      </c>
      <c r="D627" s="12" t="s">
        <v>1254</v>
      </c>
      <c r="E627" s="12" t="s">
        <v>259</v>
      </c>
      <c r="F627" s="12" t="n">
        <v>0.01635</v>
      </c>
      <c r="G627" s="12"/>
      <c r="H627" s="12" t="s">
        <v>1256</v>
      </c>
      <c r="I627" s="12" t="n">
        <v>0.018</v>
      </c>
      <c r="J627" s="12"/>
      <c r="K627" s="12"/>
      <c r="L627" s="12"/>
      <c r="M627" s="12"/>
      <c r="N627" s="12" t="n">
        <v>0.01635</v>
      </c>
      <c r="O627" s="13" t="s">
        <v>4694</v>
      </c>
      <c r="P627" s="13" t="s">
        <v>4695</v>
      </c>
      <c r="Q627" s="13"/>
      <c r="R627" s="13"/>
      <c r="S627" s="13" t="s">
        <v>4696</v>
      </c>
      <c r="T627" s="12" t="s">
        <v>94</v>
      </c>
      <c r="U627" s="12" t="s">
        <v>1265</v>
      </c>
    </row>
    <row r="628" customFormat="false" ht="31.5" hidden="false" customHeight="true" outlineLevel="0" collapsed="false">
      <c r="A628" s="12" t="n">
        <v>519</v>
      </c>
      <c r="B628" s="12" t="s">
        <v>4697</v>
      </c>
      <c r="C628" s="12" t="s">
        <v>2581</v>
      </c>
      <c r="D628" s="12" t="s">
        <v>1254</v>
      </c>
      <c r="E628" s="12" t="s">
        <v>259</v>
      </c>
      <c r="F628" s="12" t="n">
        <v>0.01631</v>
      </c>
      <c r="G628" s="12"/>
      <c r="H628" s="12"/>
      <c r="I628" s="12"/>
      <c r="J628" s="12" t="n">
        <v>50</v>
      </c>
      <c r="K628" s="12" t="n">
        <v>10</v>
      </c>
      <c r="L628" s="12" t="n">
        <v>0.8</v>
      </c>
      <c r="M628" s="12" t="n">
        <v>71.28</v>
      </c>
      <c r="N628" s="12" t="n">
        <v>0.01515</v>
      </c>
      <c r="O628" s="13"/>
      <c r="P628" s="13" t="s">
        <v>4698</v>
      </c>
      <c r="Q628" s="13"/>
      <c r="R628" s="13"/>
      <c r="S628" s="13" t="s">
        <v>4699</v>
      </c>
      <c r="T628" s="12" t="s">
        <v>94</v>
      </c>
      <c r="U628" s="12" t="s">
        <v>4700</v>
      </c>
    </row>
    <row r="629" customFormat="false" ht="31.5" hidden="false" customHeight="true" outlineLevel="0" collapsed="false">
      <c r="A629" s="12" t="n">
        <v>519</v>
      </c>
      <c r="B629" s="12" t="s">
        <v>4697</v>
      </c>
      <c r="C629" s="12" t="s">
        <v>2588</v>
      </c>
      <c r="D629" s="12" t="s">
        <v>1254</v>
      </c>
      <c r="E629" s="12" t="s">
        <v>259</v>
      </c>
      <c r="F629" s="12" t="n">
        <v>0.01631</v>
      </c>
      <c r="G629" s="12"/>
      <c r="H629" s="12"/>
      <c r="I629" s="12" t="n">
        <v>0.01635</v>
      </c>
      <c r="J629" s="12"/>
      <c r="K629" s="12" t="n">
        <v>10</v>
      </c>
      <c r="L629" s="12" t="n">
        <v>0.8</v>
      </c>
      <c r="M629" s="12"/>
      <c r="N629" s="12" t="n">
        <v>0.01515</v>
      </c>
      <c r="O629" s="13"/>
      <c r="P629" s="13" t="s">
        <v>4701</v>
      </c>
      <c r="Q629" s="13"/>
      <c r="R629" s="13"/>
      <c r="S629" s="13" t="s">
        <v>4699</v>
      </c>
      <c r="T629" s="12" t="s">
        <v>108</v>
      </c>
      <c r="U629" s="12" t="s">
        <v>4700</v>
      </c>
    </row>
    <row r="630" customFormat="false" ht="31.5" hidden="false" customHeight="true" outlineLevel="0" collapsed="false">
      <c r="A630" s="12" t="n">
        <v>520</v>
      </c>
      <c r="B630" s="12" t="s">
        <v>4702</v>
      </c>
      <c r="C630" s="12" t="s">
        <v>2537</v>
      </c>
      <c r="D630" s="12" t="s">
        <v>527</v>
      </c>
      <c r="E630" s="12" t="s">
        <v>83</v>
      </c>
      <c r="F630" s="12" t="n">
        <v>0.653</v>
      </c>
      <c r="G630" s="12" t="n">
        <v>0.621</v>
      </c>
      <c r="H630" s="12"/>
      <c r="I630" s="12"/>
      <c r="J630" s="12" t="n">
        <v>25</v>
      </c>
      <c r="K630" s="12"/>
      <c r="L630" s="12"/>
      <c r="M630" s="12"/>
      <c r="N630" s="12"/>
      <c r="O630" s="13"/>
      <c r="P630" s="13" t="s">
        <v>4703</v>
      </c>
      <c r="Q630" s="13"/>
      <c r="R630" s="13" t="s">
        <v>4704</v>
      </c>
      <c r="S630" s="13" t="s">
        <v>4705</v>
      </c>
      <c r="T630" s="12" t="s">
        <v>94</v>
      </c>
      <c r="U630" s="12" t="s">
        <v>4706</v>
      </c>
    </row>
    <row r="631" customFormat="false" ht="31.5" hidden="false" customHeight="true" outlineLevel="0" collapsed="false">
      <c r="A631" s="12" t="n">
        <v>520</v>
      </c>
      <c r="B631" s="12" t="s">
        <v>4702</v>
      </c>
      <c r="C631" s="12" t="s">
        <v>2537</v>
      </c>
      <c r="D631" s="12" t="s">
        <v>527</v>
      </c>
      <c r="E631" s="12" t="s">
        <v>83</v>
      </c>
      <c r="F631" s="12" t="n">
        <v>0.653</v>
      </c>
      <c r="G631" s="12" t="n">
        <v>0.5846</v>
      </c>
      <c r="H631" s="12"/>
      <c r="I631" s="12"/>
      <c r="J631" s="12" t="n">
        <v>25</v>
      </c>
      <c r="K631" s="12"/>
      <c r="L631" s="12"/>
      <c r="M631" s="12"/>
      <c r="N631" s="12"/>
      <c r="O631" s="13"/>
      <c r="P631" s="13" t="s">
        <v>4707</v>
      </c>
      <c r="Q631" s="13"/>
      <c r="R631" s="13" t="s">
        <v>4704</v>
      </c>
      <c r="S631" s="13" t="s">
        <v>4705</v>
      </c>
      <c r="T631" s="12" t="s">
        <v>94</v>
      </c>
      <c r="U631" s="12" t="s">
        <v>4706</v>
      </c>
    </row>
    <row r="632" customFormat="false" ht="31.5" hidden="false" customHeight="true" outlineLevel="0" collapsed="false">
      <c r="A632" s="12" t="n">
        <v>520</v>
      </c>
      <c r="B632" s="12" t="s">
        <v>4702</v>
      </c>
      <c r="C632" s="12" t="s">
        <v>2588</v>
      </c>
      <c r="D632" s="12" t="s">
        <v>527</v>
      </c>
      <c r="E632" s="12" t="s">
        <v>83</v>
      </c>
      <c r="F632" s="12"/>
      <c r="G632" s="12"/>
      <c r="H632" s="12"/>
      <c r="I632" s="12" t="n">
        <v>0.563</v>
      </c>
      <c r="J632" s="12"/>
      <c r="K632" s="12"/>
      <c r="L632" s="12"/>
      <c r="M632" s="12"/>
      <c r="N632" s="12"/>
      <c r="O632" s="13"/>
      <c r="P632" s="13" t="s">
        <v>4708</v>
      </c>
      <c r="Q632" s="13"/>
      <c r="R632" s="13"/>
      <c r="S632" s="13" t="s">
        <v>4709</v>
      </c>
      <c r="T632" s="12" t="s">
        <v>94</v>
      </c>
      <c r="U632" s="12" t="s">
        <v>4706</v>
      </c>
    </row>
    <row r="633" customFormat="false" ht="31.5" hidden="false" customHeight="true" outlineLevel="0" collapsed="false">
      <c r="A633" s="12" t="n">
        <v>521</v>
      </c>
      <c r="B633" s="12" t="s">
        <v>4710</v>
      </c>
      <c r="C633" s="12" t="s">
        <v>2557</v>
      </c>
      <c r="D633" s="12" t="s">
        <v>527</v>
      </c>
      <c r="E633" s="12" t="s">
        <v>83</v>
      </c>
      <c r="F633" s="12"/>
      <c r="G633" s="12"/>
      <c r="H633" s="12"/>
      <c r="I633" s="12"/>
      <c r="J633" s="12" t="n">
        <v>50</v>
      </c>
      <c r="K633" s="12"/>
      <c r="L633" s="12"/>
      <c r="M633" s="12"/>
      <c r="N633" s="12"/>
      <c r="O633" s="13"/>
      <c r="P633" s="13" t="s">
        <v>4711</v>
      </c>
      <c r="Q633" s="13"/>
      <c r="R633" s="13"/>
      <c r="S633" s="13" t="s">
        <v>4712</v>
      </c>
      <c r="T633" s="12" t="s">
        <v>108</v>
      </c>
      <c r="U633" s="12" t="s">
        <v>4713</v>
      </c>
    </row>
    <row r="634" customFormat="false" ht="31.5" hidden="false" customHeight="true" outlineLevel="0" collapsed="false">
      <c r="A634" s="12" t="n">
        <v>522</v>
      </c>
      <c r="B634" s="12" t="s">
        <v>4714</v>
      </c>
      <c r="C634" s="12" t="s">
        <v>2506</v>
      </c>
      <c r="D634" s="12" t="s">
        <v>1254</v>
      </c>
      <c r="E634" s="12" t="s">
        <v>259</v>
      </c>
      <c r="F634" s="12"/>
      <c r="G634" s="12"/>
      <c r="H634" s="12"/>
      <c r="I634" s="12"/>
      <c r="J634" s="12" t="n">
        <v>50</v>
      </c>
      <c r="K634" s="12"/>
      <c r="L634" s="12"/>
      <c r="M634" s="12"/>
      <c r="N634" s="12"/>
      <c r="O634" s="13"/>
      <c r="P634" s="13" t="s">
        <v>4715</v>
      </c>
      <c r="Q634" s="13"/>
      <c r="R634" s="13"/>
      <c r="S634" s="13" t="s">
        <v>4716</v>
      </c>
      <c r="T634" s="12" t="s">
        <v>108</v>
      </c>
      <c r="U634" s="12" t="s">
        <v>4717</v>
      </c>
    </row>
    <row r="635" customFormat="false" ht="31.5" hidden="false" customHeight="true" outlineLevel="0" collapsed="false">
      <c r="A635" s="12" t="n">
        <v>523</v>
      </c>
      <c r="B635" s="12" t="s">
        <v>1260</v>
      </c>
      <c r="C635" s="12" t="s">
        <v>2630</v>
      </c>
      <c r="D635" s="12" t="s">
        <v>1254</v>
      </c>
      <c r="E635" s="12" t="s">
        <v>259</v>
      </c>
      <c r="F635" s="12"/>
      <c r="G635" s="12"/>
      <c r="H635" s="12"/>
      <c r="I635" s="12"/>
      <c r="J635" s="12" t="n">
        <v>100</v>
      </c>
      <c r="K635" s="12"/>
      <c r="L635" s="12" t="n">
        <v>0.5</v>
      </c>
      <c r="M635" s="12"/>
      <c r="N635" s="12"/>
      <c r="O635" s="13"/>
      <c r="P635" s="13" t="s">
        <v>4718</v>
      </c>
      <c r="Q635" s="13"/>
      <c r="R635" s="13"/>
      <c r="S635" s="13" t="s">
        <v>4719</v>
      </c>
      <c r="T635" s="12" t="s">
        <v>94</v>
      </c>
      <c r="U635" s="12" t="s">
        <v>4720</v>
      </c>
    </row>
    <row r="636" customFormat="false" ht="31.5" hidden="false" customHeight="true" outlineLevel="0" collapsed="false">
      <c r="A636" s="12" t="n">
        <v>524</v>
      </c>
      <c r="B636" s="12" t="s">
        <v>1266</v>
      </c>
      <c r="C636" s="12" t="s">
        <v>2521</v>
      </c>
      <c r="D636" s="12" t="s">
        <v>387</v>
      </c>
      <c r="E636" s="12" t="s">
        <v>83</v>
      </c>
      <c r="F636" s="12" t="n">
        <v>0.08123</v>
      </c>
      <c r="G636" s="12"/>
      <c r="H636" s="12" t="s">
        <v>1267</v>
      </c>
      <c r="I636" s="12" t="n">
        <v>0.0797</v>
      </c>
      <c r="J636" s="12"/>
      <c r="K636" s="12"/>
      <c r="L636" s="12" t="n">
        <v>1.6</v>
      </c>
      <c r="M636" s="12"/>
      <c r="N636" s="12" t="n">
        <v>0.08123</v>
      </c>
      <c r="O636" s="13" t="s">
        <v>4349</v>
      </c>
      <c r="P636" s="13" t="s">
        <v>4721</v>
      </c>
      <c r="Q636" s="13"/>
      <c r="R636" s="13"/>
      <c r="S636" s="13" t="s">
        <v>4722</v>
      </c>
      <c r="T636" s="12" t="s">
        <v>94</v>
      </c>
      <c r="U636" s="12" t="s">
        <v>1274</v>
      </c>
    </row>
    <row r="637" customFormat="false" ht="31.5" hidden="false" customHeight="true" outlineLevel="0" collapsed="false">
      <c r="A637" s="12" t="n">
        <v>525</v>
      </c>
      <c r="B637" s="12" t="s">
        <v>4723</v>
      </c>
      <c r="C637" s="12" t="s">
        <v>2557</v>
      </c>
      <c r="D637" s="12" t="s">
        <v>527</v>
      </c>
      <c r="E637" s="12" t="s">
        <v>83</v>
      </c>
      <c r="F637" s="12" t="n">
        <v>0.6545</v>
      </c>
      <c r="G637" s="12"/>
      <c r="H637" s="12"/>
      <c r="I637" s="12"/>
      <c r="J637" s="12"/>
      <c r="K637" s="12" t="n">
        <v>75</v>
      </c>
      <c r="L637" s="12" t="n">
        <v>0.6</v>
      </c>
      <c r="M637" s="12" t="n">
        <v>611.46</v>
      </c>
      <c r="N637" s="12" t="n">
        <v>0.7079</v>
      </c>
      <c r="O637" s="13"/>
      <c r="P637" s="13" t="s">
        <v>4724</v>
      </c>
      <c r="Q637" s="13"/>
      <c r="R637" s="13"/>
      <c r="S637" s="13" t="s">
        <v>4725</v>
      </c>
      <c r="T637" s="12" t="s">
        <v>94</v>
      </c>
      <c r="U637" s="12" t="s">
        <v>4726</v>
      </c>
    </row>
    <row r="638" customFormat="false" ht="31.5" hidden="false" customHeight="true" outlineLevel="0" collapsed="false">
      <c r="A638" s="12" t="n">
        <v>526</v>
      </c>
      <c r="B638" s="12" t="s">
        <v>1275</v>
      </c>
      <c r="C638" s="12" t="s">
        <v>2521</v>
      </c>
      <c r="D638" s="12" t="s">
        <v>113</v>
      </c>
      <c r="E638" s="12" t="s">
        <v>83</v>
      </c>
      <c r="F638" s="12" t="n">
        <v>64700</v>
      </c>
      <c r="G638" s="12" t="n">
        <v>63400</v>
      </c>
      <c r="H638" s="12" t="s">
        <v>1278</v>
      </c>
      <c r="I638" s="12" t="n">
        <v>62800</v>
      </c>
      <c r="J638" s="12"/>
      <c r="K638" s="12"/>
      <c r="L638" s="12"/>
      <c r="M638" s="12"/>
      <c r="N638" s="12" t="n">
        <v>64700</v>
      </c>
      <c r="O638" s="13" t="s">
        <v>4727</v>
      </c>
      <c r="P638" s="13" t="s">
        <v>4728</v>
      </c>
      <c r="Q638" s="13"/>
      <c r="R638" s="13"/>
      <c r="S638" s="13" t="s">
        <v>4729</v>
      </c>
      <c r="T638" s="12" t="s">
        <v>94</v>
      </c>
      <c r="U638" s="12" t="s">
        <v>1289</v>
      </c>
    </row>
    <row r="639" customFormat="false" ht="31.5" hidden="false" customHeight="true" outlineLevel="0" collapsed="false">
      <c r="A639" s="12" t="n">
        <v>527</v>
      </c>
      <c r="B639" s="12" t="s">
        <v>4730</v>
      </c>
      <c r="C639" s="12" t="s">
        <v>2516</v>
      </c>
      <c r="D639" s="12" t="s">
        <v>113</v>
      </c>
      <c r="E639" s="12" t="s">
        <v>83</v>
      </c>
      <c r="F639" s="12" t="n">
        <v>63900</v>
      </c>
      <c r="G639" s="12"/>
      <c r="H639" s="12"/>
      <c r="I639" s="12"/>
      <c r="J639" s="12"/>
      <c r="K639" s="12"/>
      <c r="L639" s="12"/>
      <c r="M639" s="12"/>
      <c r="N639" s="12"/>
      <c r="O639" s="13"/>
      <c r="P639" s="13" t="s">
        <v>4731</v>
      </c>
      <c r="Q639" s="13"/>
      <c r="R639" s="13"/>
      <c r="S639" s="13" t="s">
        <v>4732</v>
      </c>
      <c r="T639" s="12" t="s">
        <v>108</v>
      </c>
      <c r="U639" s="12" t="s">
        <v>1319</v>
      </c>
    </row>
    <row r="640" customFormat="false" ht="31.5" hidden="false" customHeight="true" outlineLevel="0" collapsed="false">
      <c r="A640" s="12" t="n">
        <v>528</v>
      </c>
      <c r="B640" s="12" t="s">
        <v>1269</v>
      </c>
      <c r="C640" s="12" t="s">
        <v>2564</v>
      </c>
      <c r="D640" s="12" t="s">
        <v>387</v>
      </c>
      <c r="E640" s="12" t="s">
        <v>83</v>
      </c>
      <c r="F640" s="12" t="n">
        <v>0.08123</v>
      </c>
      <c r="G640" s="12"/>
      <c r="H640" s="12"/>
      <c r="I640" s="12" t="n">
        <v>0.0797</v>
      </c>
      <c r="J640" s="12" t="n">
        <v>100</v>
      </c>
      <c r="K640" s="12"/>
      <c r="L640" s="12"/>
      <c r="M640" s="12"/>
      <c r="N640" s="12"/>
      <c r="O640" s="13"/>
      <c r="P640" s="13" t="s">
        <v>4733</v>
      </c>
      <c r="Q640" s="13"/>
      <c r="R640" s="13"/>
      <c r="S640" s="13" t="s">
        <v>4734</v>
      </c>
      <c r="T640" s="12" t="s">
        <v>94</v>
      </c>
      <c r="U640" s="12" t="s">
        <v>4735</v>
      </c>
    </row>
    <row r="641" customFormat="false" ht="31.5" hidden="false" customHeight="true" outlineLevel="0" collapsed="false">
      <c r="A641" s="12" t="n">
        <v>529</v>
      </c>
      <c r="B641" s="12" t="s">
        <v>1290</v>
      </c>
      <c r="C641" s="12" t="s">
        <v>2521</v>
      </c>
      <c r="D641" s="12" t="s">
        <v>1291</v>
      </c>
      <c r="E641" s="12" t="s">
        <v>83</v>
      </c>
      <c r="F641" s="12" t="n">
        <v>0.288</v>
      </c>
      <c r="G641" s="12"/>
      <c r="H641" s="12" t="s">
        <v>1293</v>
      </c>
      <c r="I641" s="12" t="n">
        <v>0.268</v>
      </c>
      <c r="J641" s="12"/>
      <c r="K641" s="12"/>
      <c r="L641" s="12"/>
      <c r="M641" s="12"/>
      <c r="N641" s="12" t="n">
        <v>0.288</v>
      </c>
      <c r="O641" s="13"/>
      <c r="P641" s="13" t="s">
        <v>4736</v>
      </c>
      <c r="Q641" s="13"/>
      <c r="R641" s="13"/>
      <c r="S641" s="13" t="s">
        <v>4737</v>
      </c>
      <c r="T641" s="12" t="s">
        <v>94</v>
      </c>
      <c r="U641" s="12" t="s">
        <v>1298</v>
      </c>
    </row>
    <row r="642" customFormat="false" ht="31.5" hidden="false" customHeight="true" outlineLevel="0" collapsed="false">
      <c r="A642" s="12" t="n">
        <v>530</v>
      </c>
      <c r="B642" s="12" t="s">
        <v>1299</v>
      </c>
      <c r="C642" s="12" t="s">
        <v>2549</v>
      </c>
      <c r="D642" s="12" t="s">
        <v>669</v>
      </c>
      <c r="E642" s="12" t="s">
        <v>83</v>
      </c>
      <c r="F642" s="12" t="n">
        <v>249.66</v>
      </c>
      <c r="G642" s="12"/>
      <c r="H642" s="12"/>
      <c r="I642" s="12"/>
      <c r="J642" s="12"/>
      <c r="K642" s="12" t="n">
        <v>100</v>
      </c>
      <c r="L642" s="12"/>
      <c r="M642" s="12" t="n">
        <v>256.08</v>
      </c>
      <c r="N642" s="12" t="n">
        <v>256.05</v>
      </c>
      <c r="O642" s="13"/>
      <c r="P642" s="13" t="s">
        <v>4738</v>
      </c>
      <c r="Q642" s="13"/>
      <c r="R642" s="13"/>
      <c r="S642" s="13" t="s">
        <v>4739</v>
      </c>
      <c r="T642" s="12" t="s">
        <v>94</v>
      </c>
      <c r="U642" s="12" t="s">
        <v>1305</v>
      </c>
    </row>
    <row r="643" customFormat="false" ht="31.5" hidden="false" customHeight="true" outlineLevel="0" collapsed="false">
      <c r="A643" s="12" t="n">
        <v>531</v>
      </c>
      <c r="B643" s="12" t="s">
        <v>4740</v>
      </c>
      <c r="C643" s="12" t="s">
        <v>2557</v>
      </c>
      <c r="D643" s="12" t="s">
        <v>113</v>
      </c>
      <c r="E643" s="12" t="s">
        <v>83</v>
      </c>
      <c r="F643" s="12" t="n">
        <v>64736.5</v>
      </c>
      <c r="G643" s="12"/>
      <c r="H643" s="12"/>
      <c r="I643" s="12"/>
      <c r="J643" s="12"/>
      <c r="K643" s="12" t="n">
        <v>150</v>
      </c>
      <c r="L643" s="12"/>
      <c r="M643" s="12" t="n">
        <v>119.18</v>
      </c>
      <c r="N643" s="12" t="n">
        <v>65257.6</v>
      </c>
      <c r="O643" s="13"/>
      <c r="P643" s="13" t="s">
        <v>4741</v>
      </c>
      <c r="Q643" s="13"/>
      <c r="R643" s="13" t="s">
        <v>4742</v>
      </c>
      <c r="S643" s="13" t="s">
        <v>4743</v>
      </c>
      <c r="T643" s="12" t="s">
        <v>94</v>
      </c>
      <c r="U643" s="12" t="s">
        <v>4744</v>
      </c>
    </row>
    <row r="644" customFormat="false" ht="31.5" hidden="false" customHeight="true" outlineLevel="0" collapsed="false">
      <c r="A644" s="12" t="n">
        <v>532</v>
      </c>
      <c r="B644" s="12" t="s">
        <v>4745</v>
      </c>
      <c r="C644" s="12" t="s">
        <v>2557</v>
      </c>
      <c r="D644" s="12" t="s">
        <v>113</v>
      </c>
      <c r="E644" s="12" t="s">
        <v>83</v>
      </c>
      <c r="F644" s="12"/>
      <c r="G644" s="12"/>
      <c r="H644" s="12"/>
      <c r="I644" s="12"/>
      <c r="J644" s="12"/>
      <c r="K644" s="12"/>
      <c r="L644" s="12"/>
      <c r="M644" s="12"/>
      <c r="N644" s="12" t="n">
        <v>66021.6</v>
      </c>
      <c r="O644" s="13"/>
      <c r="P644" s="13" t="s">
        <v>4746</v>
      </c>
      <c r="Q644" s="13"/>
      <c r="R644" s="13"/>
      <c r="S644" s="13" t="s">
        <v>4747</v>
      </c>
      <c r="T644" s="12" t="s">
        <v>94</v>
      </c>
      <c r="U644" s="12" t="s">
        <v>4748</v>
      </c>
    </row>
    <row r="645" customFormat="false" ht="31.5" hidden="false" customHeight="true" outlineLevel="0" collapsed="false">
      <c r="A645" s="12" t="n">
        <v>533</v>
      </c>
      <c r="B645" s="12" t="s">
        <v>4749</v>
      </c>
      <c r="C645" s="12" t="s">
        <v>2581</v>
      </c>
      <c r="D645" s="12" t="s">
        <v>113</v>
      </c>
      <c r="E645" s="12" t="s">
        <v>83</v>
      </c>
      <c r="F645" s="12" t="n">
        <v>64736.5</v>
      </c>
      <c r="G645" s="12"/>
      <c r="H645" s="12"/>
      <c r="I645" s="12"/>
      <c r="J645" s="12" t="n">
        <v>20</v>
      </c>
      <c r="K645" s="12" t="n">
        <v>150</v>
      </c>
      <c r="L645" s="12" t="n">
        <v>1</v>
      </c>
      <c r="M645" s="12" t="n">
        <v>367.41</v>
      </c>
      <c r="N645" s="12" t="n">
        <v>66370.9</v>
      </c>
      <c r="O645" s="13"/>
      <c r="P645" s="13" t="s">
        <v>4750</v>
      </c>
      <c r="Q645" s="13"/>
      <c r="R645" s="13"/>
      <c r="S645" s="13" t="s">
        <v>4751</v>
      </c>
      <c r="T645" s="12" t="s">
        <v>94</v>
      </c>
      <c r="U645" s="12" t="s">
        <v>4752</v>
      </c>
    </row>
    <row r="646" customFormat="false" ht="31.5" hidden="false" customHeight="true" outlineLevel="0" collapsed="false">
      <c r="A646" s="12" t="n">
        <v>534</v>
      </c>
      <c r="B646" s="12" t="s">
        <v>4753</v>
      </c>
      <c r="C646" s="12" t="s">
        <v>2670</v>
      </c>
      <c r="D646" s="12" t="s">
        <v>113</v>
      </c>
      <c r="E646" s="12" t="s">
        <v>83</v>
      </c>
      <c r="F646" s="12"/>
      <c r="G646" s="12"/>
      <c r="H646" s="12" t="s">
        <v>1278</v>
      </c>
      <c r="I646" s="12"/>
      <c r="J646" s="12" t="n">
        <v>20</v>
      </c>
      <c r="K646" s="12"/>
      <c r="L646" s="12" t="n">
        <v>1</v>
      </c>
      <c r="M646" s="12"/>
      <c r="N646" s="12"/>
      <c r="O646" s="13"/>
      <c r="P646" s="13" t="s">
        <v>4754</v>
      </c>
      <c r="Q646" s="13"/>
      <c r="R646" s="13"/>
      <c r="S646" s="13" t="s">
        <v>4755</v>
      </c>
      <c r="T646" s="12" t="s">
        <v>94</v>
      </c>
      <c r="U646" s="12" t="s">
        <v>4756</v>
      </c>
    </row>
    <row r="647" customFormat="false" ht="31.5" hidden="false" customHeight="true" outlineLevel="0" collapsed="false">
      <c r="A647" s="12" t="n">
        <v>535</v>
      </c>
      <c r="B647" s="12" t="s">
        <v>4757</v>
      </c>
      <c r="C647" s="12" t="s">
        <v>2588</v>
      </c>
      <c r="D647" s="12" t="s">
        <v>113</v>
      </c>
      <c r="E647" s="12" t="s">
        <v>83</v>
      </c>
      <c r="F647" s="12" t="n">
        <v>64700</v>
      </c>
      <c r="G647" s="12"/>
      <c r="H647" s="12"/>
      <c r="I647" s="12" t="n">
        <v>64700</v>
      </c>
      <c r="J647" s="12"/>
      <c r="K647" s="12"/>
      <c r="L647" s="12"/>
      <c r="M647" s="12"/>
      <c r="N647" s="12"/>
      <c r="O647" s="13"/>
      <c r="P647" s="13" t="s">
        <v>4758</v>
      </c>
      <c r="Q647" s="13" t="s">
        <v>1285</v>
      </c>
      <c r="R647" s="13" t="s">
        <v>4759</v>
      </c>
      <c r="S647" s="13" t="s">
        <v>4760</v>
      </c>
      <c r="T647" s="12" t="s">
        <v>108</v>
      </c>
      <c r="U647" s="12" t="s">
        <v>4761</v>
      </c>
    </row>
    <row r="648" customFormat="false" ht="31.5" hidden="false" customHeight="true" outlineLevel="0" collapsed="false">
      <c r="A648" s="12" t="n">
        <v>536</v>
      </c>
      <c r="B648" s="12" t="s">
        <v>1282</v>
      </c>
      <c r="C648" s="12" t="s">
        <v>128</v>
      </c>
      <c r="D648" s="12" t="s">
        <v>113</v>
      </c>
      <c r="E648" s="12" t="s">
        <v>83</v>
      </c>
      <c r="F648" s="12" t="n">
        <v>64700</v>
      </c>
      <c r="G648" s="12"/>
      <c r="H648" s="12"/>
      <c r="I648" s="12" t="n">
        <v>64700</v>
      </c>
      <c r="J648" s="12" t="n">
        <v>100</v>
      </c>
      <c r="K648" s="12"/>
      <c r="L648" s="12"/>
      <c r="M648" s="12"/>
      <c r="N648" s="12"/>
      <c r="O648" s="13"/>
      <c r="P648" s="13" t="s">
        <v>4762</v>
      </c>
      <c r="Q648" s="13"/>
      <c r="R648" s="13" t="s">
        <v>4763</v>
      </c>
      <c r="S648" s="13" t="s">
        <v>4764</v>
      </c>
      <c r="T648" s="12" t="s">
        <v>94</v>
      </c>
      <c r="U648" s="12" t="s">
        <v>4765</v>
      </c>
    </row>
    <row r="649" customFormat="false" ht="31.5" hidden="false" customHeight="true" outlineLevel="0" collapsed="false">
      <c r="A649" s="12" t="n">
        <v>537</v>
      </c>
      <c r="B649" s="12" t="s">
        <v>4766</v>
      </c>
      <c r="C649" s="12" t="s">
        <v>2516</v>
      </c>
      <c r="D649" s="12" t="s">
        <v>113</v>
      </c>
      <c r="E649" s="12" t="s">
        <v>83</v>
      </c>
      <c r="F649" s="12" t="n">
        <v>63800</v>
      </c>
      <c r="G649" s="12"/>
      <c r="H649" s="12"/>
      <c r="I649" s="12"/>
      <c r="J649" s="12"/>
      <c r="K649" s="12"/>
      <c r="L649" s="12"/>
      <c r="M649" s="12"/>
      <c r="N649" s="12"/>
      <c r="O649" s="13"/>
      <c r="P649" s="13" t="s">
        <v>4767</v>
      </c>
      <c r="Q649" s="13"/>
      <c r="R649" s="13"/>
      <c r="S649" s="13" t="s">
        <v>4768</v>
      </c>
      <c r="T649" s="12" t="s">
        <v>94</v>
      </c>
      <c r="U649" s="12" t="s">
        <v>4769</v>
      </c>
    </row>
    <row r="650" customFormat="false" ht="31.5" hidden="false" customHeight="true" outlineLevel="0" collapsed="false">
      <c r="A650" s="12" t="n">
        <v>538</v>
      </c>
      <c r="B650" s="12" t="s">
        <v>1306</v>
      </c>
      <c r="C650" s="12" t="s">
        <v>2537</v>
      </c>
      <c r="D650" s="12" t="s">
        <v>113</v>
      </c>
      <c r="E650" s="12" t="s">
        <v>83</v>
      </c>
      <c r="F650" s="12" t="n">
        <v>64600</v>
      </c>
      <c r="G650" s="12"/>
      <c r="H650" s="12"/>
      <c r="I650" s="12"/>
      <c r="J650" s="12"/>
      <c r="K650" s="12"/>
      <c r="L650" s="12"/>
      <c r="M650" s="12"/>
      <c r="N650" s="12"/>
      <c r="O650" s="13" t="s">
        <v>4770</v>
      </c>
      <c r="P650" s="13" t="s">
        <v>4771</v>
      </c>
      <c r="Q650" s="13"/>
      <c r="R650" s="13"/>
      <c r="S650" s="13" t="s">
        <v>4772</v>
      </c>
      <c r="T650" s="12" t="s">
        <v>94</v>
      </c>
      <c r="U650" s="12" t="s">
        <v>4773</v>
      </c>
    </row>
    <row r="651" customFormat="false" ht="31.5" hidden="false" customHeight="true" outlineLevel="0" collapsed="false">
      <c r="A651" s="12" t="n">
        <v>539</v>
      </c>
      <c r="B651" s="12" t="s">
        <v>4774</v>
      </c>
      <c r="C651" s="12" t="s">
        <v>2537</v>
      </c>
      <c r="D651" s="12" t="s">
        <v>113</v>
      </c>
      <c r="E651" s="12" t="s">
        <v>83</v>
      </c>
      <c r="F651" s="12"/>
      <c r="G651" s="12" t="n">
        <v>64200</v>
      </c>
      <c r="H651" s="12"/>
      <c r="I651" s="12" t="n">
        <v>62800</v>
      </c>
      <c r="J651" s="12"/>
      <c r="K651" s="12"/>
      <c r="L651" s="12"/>
      <c r="M651" s="12"/>
      <c r="N651" s="12"/>
      <c r="O651" s="13"/>
      <c r="P651" s="13" t="s">
        <v>4775</v>
      </c>
      <c r="Q651" s="13"/>
      <c r="R651" s="13"/>
      <c r="S651" s="13" t="s">
        <v>4776</v>
      </c>
      <c r="T651" s="12" t="s">
        <v>94</v>
      </c>
      <c r="U651" s="12" t="s">
        <v>4777</v>
      </c>
    </row>
    <row r="652" customFormat="false" ht="31.5" hidden="false" customHeight="true" outlineLevel="0" collapsed="false">
      <c r="A652" s="12" t="n">
        <v>539</v>
      </c>
      <c r="B652" s="12" t="s">
        <v>4774</v>
      </c>
      <c r="C652" s="12" t="s">
        <v>2521</v>
      </c>
      <c r="D652" s="12" t="s">
        <v>113</v>
      </c>
      <c r="E652" s="12" t="s">
        <v>83</v>
      </c>
      <c r="F652" s="12" t="n">
        <v>64300</v>
      </c>
      <c r="G652" s="12"/>
      <c r="H652" s="12"/>
      <c r="I652" s="12" t="n">
        <v>62800</v>
      </c>
      <c r="J652" s="12"/>
      <c r="K652" s="12"/>
      <c r="L652" s="12"/>
      <c r="M652" s="12"/>
      <c r="N652" s="12" t="n">
        <v>64300</v>
      </c>
      <c r="O652" s="13"/>
      <c r="P652" s="13" t="s">
        <v>4778</v>
      </c>
      <c r="Q652" s="13"/>
      <c r="R652" s="13"/>
      <c r="S652" s="13" t="s">
        <v>4779</v>
      </c>
      <c r="T652" s="12" t="s">
        <v>94</v>
      </c>
      <c r="U652" s="12" t="s">
        <v>4777</v>
      </c>
    </row>
    <row r="653" customFormat="false" ht="31.5" hidden="false" customHeight="true" outlineLevel="0" collapsed="false">
      <c r="A653" s="12" t="n">
        <v>540</v>
      </c>
      <c r="B653" s="12" t="s">
        <v>4780</v>
      </c>
      <c r="C653" s="12" t="s">
        <v>2557</v>
      </c>
      <c r="D653" s="12" t="s">
        <v>113</v>
      </c>
      <c r="E653" s="12" t="s">
        <v>83</v>
      </c>
      <c r="F653" s="12" t="n">
        <v>64500</v>
      </c>
      <c r="G653" s="12"/>
      <c r="H653" s="12" t="s">
        <v>1278</v>
      </c>
      <c r="I653" s="12"/>
      <c r="J653" s="12"/>
      <c r="K653" s="12"/>
      <c r="L653" s="12"/>
      <c r="M653" s="12"/>
      <c r="N653" s="12"/>
      <c r="O653" s="13"/>
      <c r="P653" s="13" t="s">
        <v>4781</v>
      </c>
      <c r="Q653" s="13"/>
      <c r="R653" s="13"/>
      <c r="S653" s="13" t="s">
        <v>4782</v>
      </c>
      <c r="T653" s="12" t="s">
        <v>94</v>
      </c>
      <c r="U653" s="12" t="s">
        <v>4783</v>
      </c>
    </row>
    <row r="654" customFormat="false" ht="31.5" hidden="false" customHeight="true" outlineLevel="0" collapsed="false">
      <c r="A654" s="12" t="n">
        <v>540</v>
      </c>
      <c r="B654" s="12" t="s">
        <v>4780</v>
      </c>
      <c r="C654" s="12" t="s">
        <v>2670</v>
      </c>
      <c r="D654" s="12" t="s">
        <v>113</v>
      </c>
      <c r="E654" s="12" t="s">
        <v>83</v>
      </c>
      <c r="F654" s="12" t="n">
        <v>64260</v>
      </c>
      <c r="G654" s="12"/>
      <c r="H654" s="12" t="s">
        <v>1494</v>
      </c>
      <c r="I654" s="12"/>
      <c r="J654" s="12"/>
      <c r="K654" s="12"/>
      <c r="L654" s="12" t="n">
        <v>0.5</v>
      </c>
      <c r="M654" s="12"/>
      <c r="N654" s="12"/>
      <c r="O654" s="13"/>
      <c r="P654" s="13" t="s">
        <v>4784</v>
      </c>
      <c r="Q654" s="13"/>
      <c r="R654" s="13"/>
      <c r="S654" s="13" t="s">
        <v>4785</v>
      </c>
      <c r="T654" s="12" t="s">
        <v>94</v>
      </c>
      <c r="U654" s="12" t="s">
        <v>4783</v>
      </c>
    </row>
    <row r="655" customFormat="false" ht="31.5" hidden="false" customHeight="true" outlineLevel="0" collapsed="false">
      <c r="A655" s="12" t="n">
        <v>541</v>
      </c>
      <c r="B655" s="12" t="s">
        <v>1320</v>
      </c>
      <c r="C655" s="12" t="s">
        <v>2521</v>
      </c>
      <c r="D655" s="12" t="s">
        <v>99</v>
      </c>
      <c r="E655" s="12" t="s">
        <v>83</v>
      </c>
      <c r="F655" s="12" t="n">
        <v>1750</v>
      </c>
      <c r="G655" s="12"/>
      <c r="H655" s="12" t="s">
        <v>1322</v>
      </c>
      <c r="I655" s="12" t="n">
        <v>1705</v>
      </c>
      <c r="J655" s="12"/>
      <c r="K655" s="12"/>
      <c r="L655" s="12"/>
      <c r="M655" s="12"/>
      <c r="N655" s="12" t="n">
        <v>1750</v>
      </c>
      <c r="O655" s="13"/>
      <c r="P655" s="13" t="s">
        <v>4786</v>
      </c>
      <c r="Q655" s="13"/>
      <c r="R655" s="13"/>
      <c r="S655" s="13" t="s">
        <v>4787</v>
      </c>
      <c r="T655" s="12" t="s">
        <v>94</v>
      </c>
      <c r="U655" s="12" t="s">
        <v>1329</v>
      </c>
    </row>
    <row r="656" customFormat="false" ht="31.5" hidden="false" customHeight="true" outlineLevel="0" collapsed="false">
      <c r="A656" s="12" t="n">
        <v>542</v>
      </c>
      <c r="B656" s="12" t="s">
        <v>1330</v>
      </c>
      <c r="C656" s="12" t="s">
        <v>2516</v>
      </c>
      <c r="D656" s="12" t="s">
        <v>1331</v>
      </c>
      <c r="E656" s="12" t="s">
        <v>259</v>
      </c>
      <c r="F656" s="12" t="n">
        <v>4299</v>
      </c>
      <c r="G656" s="12"/>
      <c r="H656" s="12"/>
      <c r="I656" s="12"/>
      <c r="J656" s="12"/>
      <c r="K656" s="12"/>
      <c r="L656" s="12"/>
      <c r="M656" s="12"/>
      <c r="N656" s="12"/>
      <c r="O656" s="13"/>
      <c r="P656" s="13" t="s">
        <v>4788</v>
      </c>
      <c r="Q656" s="13"/>
      <c r="R656" s="13"/>
      <c r="S656" s="13" t="s">
        <v>4789</v>
      </c>
      <c r="T656" s="12" t="s">
        <v>94</v>
      </c>
      <c r="U656" s="12" t="s">
        <v>1337</v>
      </c>
    </row>
    <row r="657" customFormat="false" ht="31.5" hidden="false" customHeight="true" outlineLevel="0" collapsed="false">
      <c r="A657" s="12" t="n">
        <v>543</v>
      </c>
      <c r="B657" s="12" t="s">
        <v>1338</v>
      </c>
      <c r="C657" s="12" t="s">
        <v>2521</v>
      </c>
      <c r="D657" s="12" t="s">
        <v>1339</v>
      </c>
      <c r="E657" s="12" t="s">
        <v>83</v>
      </c>
      <c r="F657" s="12"/>
      <c r="G657" s="12"/>
      <c r="H657" s="12"/>
      <c r="I657" s="12" t="n">
        <v>12.8</v>
      </c>
      <c r="J657" s="12"/>
      <c r="K657" s="12"/>
      <c r="L657" s="12"/>
      <c r="M657" s="12"/>
      <c r="N657" s="12"/>
      <c r="O657" s="13"/>
      <c r="P657" s="13" t="s">
        <v>4790</v>
      </c>
      <c r="Q657" s="13"/>
      <c r="R657" s="13"/>
      <c r="S657" s="13" t="s">
        <v>4791</v>
      </c>
      <c r="T657" s="12" t="s">
        <v>108</v>
      </c>
      <c r="U657" s="12" t="s">
        <v>1348</v>
      </c>
    </row>
    <row r="658" customFormat="false" ht="31.5" hidden="false" customHeight="true" outlineLevel="0" collapsed="false">
      <c r="A658" s="12" t="n">
        <v>543</v>
      </c>
      <c r="B658" s="12" t="s">
        <v>1338</v>
      </c>
      <c r="C658" s="12" t="s">
        <v>2516</v>
      </c>
      <c r="D658" s="12" t="s">
        <v>1339</v>
      </c>
      <c r="E658" s="12" t="s">
        <v>259</v>
      </c>
      <c r="F658" s="12" t="n">
        <v>20</v>
      </c>
      <c r="G658" s="12"/>
      <c r="H658" s="12"/>
      <c r="I658" s="12"/>
      <c r="J658" s="12"/>
      <c r="K658" s="12"/>
      <c r="L658" s="12"/>
      <c r="M658" s="12"/>
      <c r="N658" s="12"/>
      <c r="O658" s="13"/>
      <c r="P658" s="13" t="s">
        <v>4792</v>
      </c>
      <c r="Q658" s="13"/>
      <c r="R658" s="13"/>
      <c r="S658" s="13" t="s">
        <v>4793</v>
      </c>
      <c r="T658" s="12" t="s">
        <v>108</v>
      </c>
      <c r="U658" s="12" t="s">
        <v>1348</v>
      </c>
    </row>
    <row r="659" customFormat="false" ht="31.5" hidden="false" customHeight="true" outlineLevel="0" collapsed="false">
      <c r="A659" s="12" t="n">
        <v>544</v>
      </c>
      <c r="B659" s="12" t="s">
        <v>4794</v>
      </c>
      <c r="C659" s="12" t="s">
        <v>2527</v>
      </c>
      <c r="D659" s="12" t="s">
        <v>1339</v>
      </c>
      <c r="E659" s="12" t="s">
        <v>83</v>
      </c>
      <c r="F659" s="12"/>
      <c r="G659" s="12"/>
      <c r="H659" s="12"/>
      <c r="I659" s="12"/>
      <c r="J659" s="12"/>
      <c r="K659" s="12"/>
      <c r="L659" s="12"/>
      <c r="M659" s="12"/>
      <c r="N659" s="12"/>
      <c r="O659" s="13"/>
      <c r="P659" s="13" t="s">
        <v>4795</v>
      </c>
      <c r="Q659" s="13"/>
      <c r="R659" s="13"/>
      <c r="S659" s="13" t="s">
        <v>4796</v>
      </c>
      <c r="T659" s="12" t="s">
        <v>108</v>
      </c>
      <c r="U659" s="12" t="s">
        <v>4797</v>
      </c>
    </row>
    <row r="660" customFormat="false" ht="31.5" hidden="false" customHeight="true" outlineLevel="0" collapsed="false">
      <c r="A660" s="12" t="n">
        <v>545</v>
      </c>
      <c r="B660" s="12" t="s">
        <v>4798</v>
      </c>
      <c r="C660" s="12" t="s">
        <v>2537</v>
      </c>
      <c r="D660" s="12" t="s">
        <v>113</v>
      </c>
      <c r="E660" s="12" t="s">
        <v>83</v>
      </c>
      <c r="F660" s="12" t="n">
        <v>63900</v>
      </c>
      <c r="G660" s="12" t="n">
        <v>63300</v>
      </c>
      <c r="H660" s="12"/>
      <c r="I660" s="12"/>
      <c r="J660" s="12" t="n">
        <v>30</v>
      </c>
      <c r="K660" s="12"/>
      <c r="L660" s="12"/>
      <c r="M660" s="12"/>
      <c r="N660" s="12"/>
      <c r="O660" s="13"/>
      <c r="P660" s="13" t="s">
        <v>4799</v>
      </c>
      <c r="Q660" s="13"/>
      <c r="R660" s="13"/>
      <c r="S660" s="13" t="s">
        <v>4800</v>
      </c>
      <c r="T660" s="12" t="s">
        <v>94</v>
      </c>
      <c r="U660" s="12" t="s">
        <v>4801</v>
      </c>
    </row>
    <row r="661" customFormat="false" ht="31.5" hidden="false" customHeight="true" outlineLevel="0" collapsed="false">
      <c r="A661" s="12" t="n">
        <v>547</v>
      </c>
      <c r="B661" s="12" t="s">
        <v>4802</v>
      </c>
      <c r="C661" s="12" t="s">
        <v>2588</v>
      </c>
      <c r="D661" s="12" t="s">
        <v>113</v>
      </c>
      <c r="E661" s="12" t="s">
        <v>83</v>
      </c>
      <c r="F661" s="12"/>
      <c r="G661" s="12"/>
      <c r="H661" s="12"/>
      <c r="I661" s="12" t="n">
        <v>62200</v>
      </c>
      <c r="J661" s="12"/>
      <c r="K661" s="12"/>
      <c r="L661" s="12"/>
      <c r="M661" s="12"/>
      <c r="N661" s="12"/>
      <c r="O661" s="13"/>
      <c r="P661" s="13" t="s">
        <v>4803</v>
      </c>
      <c r="Q661" s="13" t="s">
        <v>191</v>
      </c>
      <c r="R661" s="13"/>
      <c r="S661" s="13" t="s">
        <v>4804</v>
      </c>
      <c r="T661" s="12" t="s">
        <v>94</v>
      </c>
      <c r="U661" s="12" t="s">
        <v>4805</v>
      </c>
    </row>
    <row r="662" customFormat="false" ht="31.5" hidden="false" customHeight="true" outlineLevel="0" collapsed="false">
      <c r="A662" s="12" t="n">
        <v>548</v>
      </c>
      <c r="B662" s="12" t="s">
        <v>1323</v>
      </c>
      <c r="C662" s="12" t="s">
        <v>2564</v>
      </c>
      <c r="D662" s="12" t="s">
        <v>113</v>
      </c>
      <c r="E662" s="12" t="s">
        <v>83</v>
      </c>
      <c r="F662" s="12"/>
      <c r="G662" s="12"/>
      <c r="H662" s="12"/>
      <c r="I662" s="12" t="n">
        <v>62200</v>
      </c>
      <c r="J662" s="12" t="n">
        <v>100</v>
      </c>
      <c r="K662" s="12"/>
      <c r="L662" s="12"/>
      <c r="M662" s="12"/>
      <c r="N662" s="12"/>
      <c r="O662" s="13"/>
      <c r="P662" s="13" t="s">
        <v>4806</v>
      </c>
      <c r="Q662" s="13" t="s">
        <v>336</v>
      </c>
      <c r="R662" s="13" t="s">
        <v>4807</v>
      </c>
      <c r="S662" s="13" t="s">
        <v>4808</v>
      </c>
      <c r="T662" s="12" t="s">
        <v>94</v>
      </c>
      <c r="U662" s="12" t="s">
        <v>4809</v>
      </c>
    </row>
    <row r="663" customFormat="false" ht="31.5" hidden="false" customHeight="true" outlineLevel="0" collapsed="false">
      <c r="A663" s="12" t="n">
        <v>548</v>
      </c>
      <c r="B663" s="12" t="s">
        <v>1323</v>
      </c>
      <c r="C663" s="12" t="s">
        <v>2564</v>
      </c>
      <c r="D663" s="12" t="s">
        <v>99</v>
      </c>
      <c r="E663" s="12" t="s">
        <v>83</v>
      </c>
      <c r="F663" s="12" t="n">
        <v>1750</v>
      </c>
      <c r="G663" s="12"/>
      <c r="H663" s="12"/>
      <c r="I663" s="12" t="n">
        <v>1705</v>
      </c>
      <c r="J663" s="12" t="n">
        <v>100</v>
      </c>
      <c r="K663" s="12"/>
      <c r="L663" s="12"/>
      <c r="M663" s="12"/>
      <c r="N663" s="12"/>
      <c r="O663" s="13"/>
      <c r="P663" s="13" t="s">
        <v>4810</v>
      </c>
      <c r="Q663" s="13"/>
      <c r="R663" s="13" t="s">
        <v>4811</v>
      </c>
      <c r="S663" s="13" t="s">
        <v>4812</v>
      </c>
      <c r="T663" s="12" t="s">
        <v>94</v>
      </c>
      <c r="U663" s="12" t="s">
        <v>4809</v>
      </c>
    </row>
    <row r="664" customFormat="false" ht="31.5" hidden="false" customHeight="true" outlineLevel="0" collapsed="false">
      <c r="A664" s="12" t="n">
        <v>549</v>
      </c>
      <c r="B664" s="12" t="s">
        <v>4813</v>
      </c>
      <c r="C664" s="12" t="s">
        <v>2557</v>
      </c>
      <c r="D664" s="12" t="s">
        <v>113</v>
      </c>
      <c r="E664" s="12" t="s">
        <v>83</v>
      </c>
      <c r="F664" s="12"/>
      <c r="G664" s="12"/>
      <c r="H664" s="12"/>
      <c r="I664" s="12"/>
      <c r="J664" s="12"/>
      <c r="K664" s="12"/>
      <c r="L664" s="12"/>
      <c r="M664" s="12"/>
      <c r="N664" s="12"/>
      <c r="O664" s="13" t="s">
        <v>4814</v>
      </c>
      <c r="P664" s="13" t="s">
        <v>4815</v>
      </c>
      <c r="Q664" s="13" t="s">
        <v>336</v>
      </c>
      <c r="R664" s="13" t="s">
        <v>4816</v>
      </c>
      <c r="S664" s="13" t="s">
        <v>4817</v>
      </c>
      <c r="T664" s="12" t="s">
        <v>94</v>
      </c>
      <c r="U664" s="12" t="s">
        <v>4818</v>
      </c>
    </row>
    <row r="665" customFormat="false" ht="31.5" hidden="false" customHeight="true" outlineLevel="0" collapsed="false">
      <c r="A665" s="12" t="n">
        <v>550</v>
      </c>
      <c r="B665" s="12" t="s">
        <v>4819</v>
      </c>
      <c r="C665" s="12" t="s">
        <v>2511</v>
      </c>
      <c r="D665" s="12" t="s">
        <v>113</v>
      </c>
      <c r="E665" s="12"/>
      <c r="F665" s="12"/>
      <c r="G665" s="12"/>
      <c r="H665" s="12"/>
      <c r="I665" s="12"/>
      <c r="J665" s="12"/>
      <c r="K665" s="12"/>
      <c r="L665" s="12"/>
      <c r="M665" s="12"/>
      <c r="N665" s="12"/>
      <c r="O665" s="13" t="s">
        <v>4820</v>
      </c>
      <c r="P665" s="13" t="s">
        <v>4821</v>
      </c>
      <c r="Q665" s="13"/>
      <c r="R665" s="13"/>
      <c r="S665" s="13" t="s">
        <v>4822</v>
      </c>
      <c r="T665" s="12" t="s">
        <v>94</v>
      </c>
      <c r="U665" s="12" t="s">
        <v>4823</v>
      </c>
    </row>
    <row r="666" customFormat="false" ht="31.5" hidden="false" customHeight="true" outlineLevel="0" collapsed="false">
      <c r="A666" s="12" t="n">
        <v>551</v>
      </c>
      <c r="B666" s="12" t="s">
        <v>4824</v>
      </c>
      <c r="C666" s="12" t="s">
        <v>2557</v>
      </c>
      <c r="D666" s="12" t="s">
        <v>1339</v>
      </c>
      <c r="E666" s="12" t="s">
        <v>83</v>
      </c>
      <c r="F666" s="12" t="n">
        <v>15.679</v>
      </c>
      <c r="G666" s="12"/>
      <c r="H666" s="12"/>
      <c r="I666" s="12"/>
      <c r="J666" s="12"/>
      <c r="K666" s="12"/>
      <c r="L666" s="12"/>
      <c r="M666" s="12"/>
      <c r="N666" s="12" t="n">
        <v>17.015</v>
      </c>
      <c r="O666" s="13"/>
      <c r="P666" s="13" t="s">
        <v>4825</v>
      </c>
      <c r="Q666" s="13"/>
      <c r="R666" s="13"/>
      <c r="S666" s="13" t="s">
        <v>4826</v>
      </c>
      <c r="T666" s="12" t="s">
        <v>94</v>
      </c>
      <c r="U666" s="12" t="s">
        <v>4827</v>
      </c>
    </row>
    <row r="667" customFormat="false" ht="31.5" hidden="false" customHeight="true" outlineLevel="0" collapsed="false">
      <c r="A667" s="12" t="n">
        <v>552</v>
      </c>
      <c r="B667" s="12" t="s">
        <v>1356</v>
      </c>
      <c r="C667" s="12" t="s">
        <v>2521</v>
      </c>
      <c r="D667" s="12" t="s">
        <v>113</v>
      </c>
      <c r="E667" s="12" t="s">
        <v>83</v>
      </c>
      <c r="F667" s="12" t="n">
        <v>62800</v>
      </c>
      <c r="G667" s="12"/>
      <c r="H667" s="12" t="s">
        <v>1358</v>
      </c>
      <c r="I667" s="12" t="n">
        <v>60500</v>
      </c>
      <c r="J667" s="12"/>
      <c r="K667" s="12"/>
      <c r="L667" s="12"/>
      <c r="M667" s="12"/>
      <c r="N667" s="12" t="n">
        <v>62800</v>
      </c>
      <c r="O667" s="13" t="s">
        <v>4828</v>
      </c>
      <c r="P667" s="13" t="s">
        <v>4829</v>
      </c>
      <c r="Q667" s="13"/>
      <c r="R667" s="13"/>
      <c r="S667" s="13" t="s">
        <v>4830</v>
      </c>
      <c r="T667" s="12" t="s">
        <v>94</v>
      </c>
      <c r="U667" s="12" t="s">
        <v>1371</v>
      </c>
    </row>
    <row r="668" customFormat="false" ht="31.5" hidden="false" customHeight="true" outlineLevel="0" collapsed="false">
      <c r="A668" s="12" t="n">
        <v>552</v>
      </c>
      <c r="B668" s="12" t="s">
        <v>1356</v>
      </c>
      <c r="C668" s="12" t="s">
        <v>2557</v>
      </c>
      <c r="D668" s="12" t="s">
        <v>113</v>
      </c>
      <c r="E668" s="12" t="s">
        <v>83</v>
      </c>
      <c r="F668" s="12" t="n">
        <v>63700</v>
      </c>
      <c r="G668" s="12"/>
      <c r="H668" s="12"/>
      <c r="I668" s="12"/>
      <c r="J668" s="12"/>
      <c r="K668" s="12"/>
      <c r="L668" s="12"/>
      <c r="M668" s="12"/>
      <c r="N668" s="12"/>
      <c r="O668" s="13"/>
      <c r="P668" s="13" t="s">
        <v>4831</v>
      </c>
      <c r="Q668" s="13"/>
      <c r="R668" s="13"/>
      <c r="S668" s="13" t="s">
        <v>4832</v>
      </c>
      <c r="T668" s="12" t="s">
        <v>94</v>
      </c>
      <c r="U668" s="12" t="s">
        <v>1371</v>
      </c>
    </row>
    <row r="669" customFormat="false" ht="31.5" hidden="false" customHeight="true" outlineLevel="0" collapsed="false">
      <c r="A669" s="12" t="n">
        <v>553</v>
      </c>
      <c r="B669" s="12" t="s">
        <v>1342</v>
      </c>
      <c r="C669" s="12" t="s">
        <v>2630</v>
      </c>
      <c r="D669" s="12" t="s">
        <v>1339</v>
      </c>
      <c r="E669" s="12" t="s">
        <v>83</v>
      </c>
      <c r="F669" s="12"/>
      <c r="G669" s="12"/>
      <c r="H669" s="12"/>
      <c r="I669" s="12"/>
      <c r="J669" s="12" t="n">
        <v>100</v>
      </c>
      <c r="K669" s="12"/>
      <c r="L669" s="12"/>
      <c r="M669" s="12"/>
      <c r="N669" s="12" t="n">
        <v>18</v>
      </c>
      <c r="O669" s="13"/>
      <c r="P669" s="13" t="s">
        <v>4833</v>
      </c>
      <c r="Q669" s="13"/>
      <c r="R669" s="13"/>
      <c r="S669" s="13" t="s">
        <v>4834</v>
      </c>
      <c r="T669" s="12" t="s">
        <v>94</v>
      </c>
      <c r="U669" s="12" t="s">
        <v>4835</v>
      </c>
    </row>
    <row r="670" customFormat="false" ht="31.5" hidden="false" customHeight="true" outlineLevel="0" collapsed="false">
      <c r="A670" s="12" t="n">
        <v>554</v>
      </c>
      <c r="B670" s="12" t="s">
        <v>4836</v>
      </c>
      <c r="C670" s="12" t="s">
        <v>2630</v>
      </c>
      <c r="D670" s="12" t="s">
        <v>1339</v>
      </c>
      <c r="E670" s="12" t="s">
        <v>83</v>
      </c>
      <c r="F670" s="12" t="n">
        <v>15.679</v>
      </c>
      <c r="G670" s="12"/>
      <c r="H670" s="12"/>
      <c r="I670" s="12"/>
      <c r="J670" s="12" t="n">
        <v>100</v>
      </c>
      <c r="K670" s="12"/>
      <c r="L670" s="12"/>
      <c r="M670" s="12"/>
      <c r="N670" s="12" t="n">
        <v>18.008</v>
      </c>
      <c r="O670" s="13"/>
      <c r="P670" s="13" t="s">
        <v>4837</v>
      </c>
      <c r="Q670" s="13"/>
      <c r="R670" s="13"/>
      <c r="S670" s="13" t="s">
        <v>4838</v>
      </c>
      <c r="T670" s="12" t="s">
        <v>94</v>
      </c>
      <c r="U670" s="12" t="s">
        <v>4839</v>
      </c>
    </row>
    <row r="671" customFormat="false" ht="31.5" hidden="false" customHeight="true" outlineLevel="0" collapsed="false">
      <c r="A671" s="12" t="n">
        <v>555</v>
      </c>
      <c r="B671" s="12" t="s">
        <v>1364</v>
      </c>
      <c r="C671" s="12" t="s">
        <v>2557</v>
      </c>
      <c r="D671" s="12" t="s">
        <v>113</v>
      </c>
      <c r="E671" s="12" t="s">
        <v>83</v>
      </c>
      <c r="F671" s="12" t="n">
        <v>63700</v>
      </c>
      <c r="G671" s="12"/>
      <c r="H671" s="12"/>
      <c r="I671" s="12"/>
      <c r="J671" s="12"/>
      <c r="K671" s="12"/>
      <c r="L671" s="12"/>
      <c r="M671" s="12"/>
      <c r="N671" s="12"/>
      <c r="O671" s="13"/>
      <c r="P671" s="13" t="s">
        <v>4840</v>
      </c>
      <c r="Q671" s="13"/>
      <c r="R671" s="13"/>
      <c r="S671" s="13" t="s">
        <v>4841</v>
      </c>
      <c r="T671" s="12" t="s">
        <v>94</v>
      </c>
      <c r="U671" s="12" t="s">
        <v>4842</v>
      </c>
    </row>
    <row r="672" customFormat="false" ht="31.5" hidden="false" customHeight="true" outlineLevel="0" collapsed="false">
      <c r="A672" s="12" t="n">
        <v>555</v>
      </c>
      <c r="B672" s="12" t="s">
        <v>1364</v>
      </c>
      <c r="C672" s="12" t="s">
        <v>2549</v>
      </c>
      <c r="D672" s="12" t="s">
        <v>113</v>
      </c>
      <c r="E672" s="12" t="s">
        <v>83</v>
      </c>
      <c r="F672" s="12" t="n">
        <v>62800</v>
      </c>
      <c r="G672" s="12"/>
      <c r="H672" s="12"/>
      <c r="I672" s="12" t="n">
        <v>60500</v>
      </c>
      <c r="J672" s="12"/>
      <c r="K672" s="12"/>
      <c r="L672" s="12"/>
      <c r="M672" s="12"/>
      <c r="N672" s="12"/>
      <c r="O672" s="13"/>
      <c r="P672" s="13" t="s">
        <v>4843</v>
      </c>
      <c r="Q672" s="13"/>
      <c r="R672" s="13"/>
      <c r="S672" s="13" t="s">
        <v>4844</v>
      </c>
      <c r="T672" s="12" t="s">
        <v>94</v>
      </c>
      <c r="U672" s="12" t="s">
        <v>4842</v>
      </c>
    </row>
    <row r="673" customFormat="false" ht="31.5" hidden="false" customHeight="true" outlineLevel="0" collapsed="false">
      <c r="A673" s="12" t="n">
        <v>556</v>
      </c>
      <c r="B673" s="12" t="s">
        <v>1372</v>
      </c>
      <c r="C673" s="12" t="s">
        <v>2549</v>
      </c>
      <c r="D673" s="12" t="s">
        <v>1373</v>
      </c>
      <c r="E673" s="12" t="s">
        <v>83</v>
      </c>
      <c r="F673" s="12"/>
      <c r="G673" s="12"/>
      <c r="H673" s="12" t="s">
        <v>1375</v>
      </c>
      <c r="I673" s="12"/>
      <c r="J673" s="12"/>
      <c r="K673" s="12"/>
      <c r="L673" s="12"/>
      <c r="M673" s="12"/>
      <c r="N673" s="12"/>
      <c r="O673" s="13" t="s">
        <v>4845</v>
      </c>
      <c r="P673" s="13" t="s">
        <v>4846</v>
      </c>
      <c r="Q673" s="13"/>
      <c r="R673" s="13"/>
      <c r="S673" s="13" t="s">
        <v>4847</v>
      </c>
      <c r="T673" s="12" t="s">
        <v>94</v>
      </c>
      <c r="U673" s="12" t="s">
        <v>1381</v>
      </c>
    </row>
    <row r="674" customFormat="false" ht="31.5" hidden="false" customHeight="true" outlineLevel="0" collapsed="false">
      <c r="A674" s="12" t="n">
        <v>557</v>
      </c>
      <c r="B674" s="12" t="s">
        <v>4848</v>
      </c>
      <c r="C674" s="12" t="s">
        <v>2581</v>
      </c>
      <c r="D674" s="12" t="s">
        <v>113</v>
      </c>
      <c r="E674" s="12" t="s">
        <v>83</v>
      </c>
      <c r="F674" s="12" t="n">
        <v>62800</v>
      </c>
      <c r="G674" s="12"/>
      <c r="H674" s="12"/>
      <c r="I674" s="12"/>
      <c r="J674" s="12" t="n">
        <v>50</v>
      </c>
      <c r="K674" s="12"/>
      <c r="L674" s="12"/>
      <c r="M674" s="12"/>
      <c r="N674" s="12"/>
      <c r="O674" s="13"/>
      <c r="P674" s="13" t="s">
        <v>4849</v>
      </c>
      <c r="Q674" s="13"/>
      <c r="R674" s="13"/>
      <c r="S674" s="13" t="s">
        <v>4850</v>
      </c>
      <c r="T674" s="12" t="s">
        <v>94</v>
      </c>
      <c r="U674" s="12" t="s">
        <v>4851</v>
      </c>
    </row>
    <row r="675" customFormat="false" ht="31.5" hidden="false" customHeight="true" outlineLevel="0" collapsed="false">
      <c r="A675" s="12" t="n">
        <v>557</v>
      </c>
      <c r="B675" s="12" t="s">
        <v>4848</v>
      </c>
      <c r="C675" s="12" t="s">
        <v>2537</v>
      </c>
      <c r="D675" s="12" t="s">
        <v>113</v>
      </c>
      <c r="E675" s="12" t="s">
        <v>83</v>
      </c>
      <c r="F675" s="12" t="n">
        <v>62800</v>
      </c>
      <c r="G675" s="12" t="n">
        <v>61500</v>
      </c>
      <c r="H675" s="12"/>
      <c r="I675" s="12"/>
      <c r="J675" s="12" t="n">
        <v>50</v>
      </c>
      <c r="K675" s="12"/>
      <c r="L675" s="12"/>
      <c r="M675" s="12"/>
      <c r="N675" s="12"/>
      <c r="O675" s="13"/>
      <c r="P675" s="13" t="s">
        <v>4852</v>
      </c>
      <c r="Q675" s="13"/>
      <c r="R675" s="13"/>
      <c r="S675" s="13" t="s">
        <v>4853</v>
      </c>
      <c r="T675" s="12" t="s">
        <v>94</v>
      </c>
      <c r="U675" s="12" t="s">
        <v>4851</v>
      </c>
    </row>
    <row r="676" customFormat="false" ht="31.5" hidden="false" customHeight="true" outlineLevel="0" collapsed="false">
      <c r="A676" s="12" t="n">
        <v>557</v>
      </c>
      <c r="B676" s="12" t="s">
        <v>4848</v>
      </c>
      <c r="C676" s="12" t="s">
        <v>2557</v>
      </c>
      <c r="D676" s="12" t="s">
        <v>113</v>
      </c>
      <c r="E676" s="12" t="s">
        <v>83</v>
      </c>
      <c r="F676" s="12"/>
      <c r="G676" s="12"/>
      <c r="H676" s="12"/>
      <c r="I676" s="12"/>
      <c r="J676" s="12"/>
      <c r="K676" s="12"/>
      <c r="L676" s="12"/>
      <c r="M676" s="12"/>
      <c r="N676" s="12"/>
      <c r="O676" s="13"/>
      <c r="P676" s="13" t="s">
        <v>4854</v>
      </c>
      <c r="Q676" s="13"/>
      <c r="R676" s="13" t="s">
        <v>4855</v>
      </c>
      <c r="S676" s="13" t="s">
        <v>4856</v>
      </c>
      <c r="T676" s="12" t="s">
        <v>94</v>
      </c>
      <c r="U676" s="12" t="s">
        <v>4851</v>
      </c>
    </row>
    <row r="677" customFormat="false" ht="31.5" hidden="false" customHeight="true" outlineLevel="0" collapsed="false">
      <c r="A677" s="12" t="n">
        <v>558</v>
      </c>
      <c r="B677" s="12" t="s">
        <v>4857</v>
      </c>
      <c r="C677" s="12" t="s">
        <v>2557</v>
      </c>
      <c r="D677" s="12" t="s">
        <v>113</v>
      </c>
      <c r="E677" s="12" t="s">
        <v>83</v>
      </c>
      <c r="F677" s="12"/>
      <c r="G677" s="12"/>
      <c r="H677" s="12" t="s">
        <v>1358</v>
      </c>
      <c r="I677" s="12"/>
      <c r="J677" s="12"/>
      <c r="K677" s="12"/>
      <c r="L677" s="12"/>
      <c r="M677" s="12"/>
      <c r="N677" s="12"/>
      <c r="O677" s="13"/>
      <c r="P677" s="13" t="s">
        <v>4858</v>
      </c>
      <c r="Q677" s="13"/>
      <c r="R677" s="13"/>
      <c r="S677" s="13" t="s">
        <v>4859</v>
      </c>
      <c r="T677" s="12" t="s">
        <v>94</v>
      </c>
      <c r="U677" s="12" t="s">
        <v>4860</v>
      </c>
    </row>
    <row r="678" customFormat="false" ht="31.5" hidden="false" customHeight="true" outlineLevel="0" collapsed="false">
      <c r="A678" s="12" t="n">
        <v>559</v>
      </c>
      <c r="B678" s="12" t="s">
        <v>4861</v>
      </c>
      <c r="C678" s="12" t="s">
        <v>2581</v>
      </c>
      <c r="D678" s="12" t="s">
        <v>1373</v>
      </c>
      <c r="E678" s="12" t="s">
        <v>83</v>
      </c>
      <c r="F678" s="12" t="n">
        <v>0.75</v>
      </c>
      <c r="G678" s="12"/>
      <c r="H678" s="12"/>
      <c r="I678" s="12"/>
      <c r="J678" s="12" t="n">
        <v>50</v>
      </c>
      <c r="K678" s="12"/>
      <c r="L678" s="12"/>
      <c r="M678" s="12" t="n">
        <v>43</v>
      </c>
      <c r="N678" s="12"/>
      <c r="O678" s="13"/>
      <c r="P678" s="13" t="s">
        <v>4862</v>
      </c>
      <c r="Q678" s="13"/>
      <c r="R678" s="13"/>
      <c r="S678" s="13" t="s">
        <v>4863</v>
      </c>
      <c r="T678" s="12" t="s">
        <v>108</v>
      </c>
      <c r="U678" s="12" t="s">
        <v>4864</v>
      </c>
    </row>
    <row r="679" customFormat="false" ht="31.5" hidden="false" customHeight="true" outlineLevel="0" collapsed="false">
      <c r="A679" s="12" t="n">
        <v>560</v>
      </c>
      <c r="B679" s="12" t="s">
        <v>4865</v>
      </c>
      <c r="C679" s="12" t="s">
        <v>2557</v>
      </c>
      <c r="D679" s="12" t="s">
        <v>113</v>
      </c>
      <c r="E679" s="12" t="s">
        <v>83</v>
      </c>
      <c r="F679" s="12" t="n">
        <v>63667.3</v>
      </c>
      <c r="G679" s="12"/>
      <c r="H679" s="12"/>
      <c r="I679" s="12"/>
      <c r="J679" s="12"/>
      <c r="K679" s="12" t="n">
        <v>150</v>
      </c>
      <c r="L679" s="12"/>
      <c r="M679" s="12" t="n">
        <v>60.28</v>
      </c>
      <c r="N679" s="12" t="n">
        <v>63923.2</v>
      </c>
      <c r="O679" s="13"/>
      <c r="P679" s="13" t="s">
        <v>4866</v>
      </c>
      <c r="Q679" s="13"/>
      <c r="R679" s="13"/>
      <c r="S679" s="13" t="s">
        <v>4867</v>
      </c>
      <c r="T679" s="12" t="s">
        <v>94</v>
      </c>
      <c r="U679" s="12" t="s">
        <v>4868</v>
      </c>
    </row>
    <row r="680" customFormat="false" ht="31.5" hidden="false" customHeight="true" outlineLevel="0" collapsed="false">
      <c r="A680" s="12" t="n">
        <v>561</v>
      </c>
      <c r="B680" s="12" t="s">
        <v>4869</v>
      </c>
      <c r="C680" s="12" t="s">
        <v>2588</v>
      </c>
      <c r="D680" s="12" t="s">
        <v>113</v>
      </c>
      <c r="E680" s="12" t="s">
        <v>83</v>
      </c>
      <c r="F680" s="12" t="n">
        <v>62800</v>
      </c>
      <c r="G680" s="12"/>
      <c r="H680" s="12"/>
      <c r="I680" s="12" t="n">
        <v>62800</v>
      </c>
      <c r="J680" s="12"/>
      <c r="K680" s="12" t="n">
        <v>200</v>
      </c>
      <c r="L680" s="12"/>
      <c r="M680" s="12" t="n">
        <v>291.06</v>
      </c>
      <c r="N680" s="12"/>
      <c r="O680" s="13"/>
      <c r="P680" s="13" t="s">
        <v>4870</v>
      </c>
      <c r="Q680" s="13"/>
      <c r="R680" s="13"/>
      <c r="S680" s="13" t="s">
        <v>4871</v>
      </c>
      <c r="T680" s="12" t="s">
        <v>94</v>
      </c>
      <c r="U680" s="12" t="s">
        <v>4872</v>
      </c>
    </row>
    <row r="681" customFormat="false" ht="31.5" hidden="false" customHeight="true" outlineLevel="0" collapsed="false">
      <c r="A681" s="12" t="n">
        <v>562</v>
      </c>
      <c r="B681" s="12" t="s">
        <v>1312</v>
      </c>
      <c r="C681" s="12" t="s">
        <v>2630</v>
      </c>
      <c r="D681" s="12" t="s">
        <v>113</v>
      </c>
      <c r="E681" s="12" t="s">
        <v>83</v>
      </c>
      <c r="F681" s="12" t="n">
        <v>63667.3</v>
      </c>
      <c r="G681" s="12"/>
      <c r="H681" s="12"/>
      <c r="I681" s="12"/>
      <c r="J681" s="12" t="n">
        <v>100</v>
      </c>
      <c r="K681" s="12" t="n">
        <v>150</v>
      </c>
      <c r="L681" s="12"/>
      <c r="M681" s="12" t="n">
        <v>60.28</v>
      </c>
      <c r="N681" s="12" t="n">
        <v>63923.2</v>
      </c>
      <c r="O681" s="13"/>
      <c r="P681" s="13" t="s">
        <v>4873</v>
      </c>
      <c r="Q681" s="13"/>
      <c r="R681" s="13"/>
      <c r="S681" s="13" t="s">
        <v>4874</v>
      </c>
      <c r="T681" s="12" t="s">
        <v>94</v>
      </c>
      <c r="U681" s="12" t="s">
        <v>4875</v>
      </c>
    </row>
    <row r="682" customFormat="false" ht="31.5" hidden="false" customHeight="true" outlineLevel="0" collapsed="false">
      <c r="A682" s="12" t="n">
        <v>563</v>
      </c>
      <c r="B682" s="12" t="s">
        <v>4876</v>
      </c>
      <c r="C682" s="12" t="s">
        <v>2581</v>
      </c>
      <c r="D682" s="12" t="s">
        <v>113</v>
      </c>
      <c r="E682" s="12" t="s">
        <v>83</v>
      </c>
      <c r="F682" s="12" t="n">
        <v>62800</v>
      </c>
      <c r="G682" s="12"/>
      <c r="H682" s="12"/>
      <c r="I682" s="12"/>
      <c r="J682" s="12" t="n">
        <v>50</v>
      </c>
      <c r="K682" s="12" t="n">
        <v>200</v>
      </c>
      <c r="L682" s="12"/>
      <c r="M682" s="12" t="n">
        <v>335.51</v>
      </c>
      <c r="N682" s="12"/>
      <c r="O682" s="13"/>
      <c r="P682" s="13" t="s">
        <v>4877</v>
      </c>
      <c r="Q682" s="13"/>
      <c r="R682" s="13"/>
      <c r="S682" s="13" t="s">
        <v>4878</v>
      </c>
      <c r="T682" s="12" t="s">
        <v>94</v>
      </c>
      <c r="U682" s="12" t="s">
        <v>4879</v>
      </c>
    </row>
    <row r="683" customFormat="false" ht="31.5" hidden="false" customHeight="true" outlineLevel="0" collapsed="false">
      <c r="A683" s="12" t="n">
        <v>563</v>
      </c>
      <c r="B683" s="12" t="s">
        <v>4876</v>
      </c>
      <c r="C683" s="12" t="s">
        <v>2670</v>
      </c>
      <c r="D683" s="12" t="s">
        <v>113</v>
      </c>
      <c r="E683" s="12" t="s">
        <v>83</v>
      </c>
      <c r="F683" s="12" t="n">
        <v>62800</v>
      </c>
      <c r="G683" s="12"/>
      <c r="H683" s="12" t="s">
        <v>1780</v>
      </c>
      <c r="I683" s="12"/>
      <c r="J683" s="12" t="n">
        <v>50</v>
      </c>
      <c r="K683" s="12" t="n">
        <v>200</v>
      </c>
      <c r="L683" s="12"/>
      <c r="M683" s="12"/>
      <c r="N683" s="12"/>
      <c r="O683" s="13"/>
      <c r="P683" s="13" t="s">
        <v>4880</v>
      </c>
      <c r="Q683" s="13"/>
      <c r="R683" s="13"/>
      <c r="S683" s="13" t="s">
        <v>4878</v>
      </c>
      <c r="T683" s="12" t="s">
        <v>94</v>
      </c>
      <c r="U683" s="12" t="s">
        <v>4879</v>
      </c>
    </row>
    <row r="684" customFormat="false" ht="31.5" hidden="false" customHeight="true" outlineLevel="0" collapsed="false">
      <c r="A684" s="12" t="n">
        <v>564</v>
      </c>
      <c r="B684" s="12" t="s">
        <v>4881</v>
      </c>
      <c r="C684" s="12" t="s">
        <v>2537</v>
      </c>
      <c r="D684" s="12" t="s">
        <v>113</v>
      </c>
      <c r="E684" s="12" t="s">
        <v>83</v>
      </c>
      <c r="F684" s="12" t="n">
        <v>63000</v>
      </c>
      <c r="G684" s="12" t="n">
        <v>63800</v>
      </c>
      <c r="H684" s="12"/>
      <c r="I684" s="12"/>
      <c r="J684" s="12" t="n">
        <v>25</v>
      </c>
      <c r="K684" s="12"/>
      <c r="L684" s="12"/>
      <c r="M684" s="12"/>
      <c r="N684" s="12"/>
      <c r="O684" s="13"/>
      <c r="P684" s="13" t="s">
        <v>4882</v>
      </c>
      <c r="Q684" s="13"/>
      <c r="R684" s="13"/>
      <c r="S684" s="13" t="s">
        <v>4883</v>
      </c>
      <c r="T684" s="12" t="s">
        <v>94</v>
      </c>
      <c r="U684" s="12" t="s">
        <v>4884</v>
      </c>
    </row>
    <row r="685" customFormat="false" ht="31.5" hidden="false" customHeight="true" outlineLevel="0" collapsed="false">
      <c r="A685" s="12" t="n">
        <v>564</v>
      </c>
      <c r="B685" s="12" t="s">
        <v>4881</v>
      </c>
      <c r="C685" s="12" t="s">
        <v>2537</v>
      </c>
      <c r="D685" s="12" t="s">
        <v>113</v>
      </c>
      <c r="E685" s="12" t="s">
        <v>83</v>
      </c>
      <c r="F685" s="12"/>
      <c r="G685" s="12" t="n">
        <v>61500</v>
      </c>
      <c r="H685" s="12"/>
      <c r="I685" s="12"/>
      <c r="J685" s="12" t="n">
        <v>25</v>
      </c>
      <c r="K685" s="12"/>
      <c r="L685" s="12"/>
      <c r="M685" s="12"/>
      <c r="N685" s="12"/>
      <c r="O685" s="13"/>
      <c r="P685" s="13" t="s">
        <v>4885</v>
      </c>
      <c r="Q685" s="13"/>
      <c r="R685" s="13"/>
      <c r="S685" s="13" t="s">
        <v>4886</v>
      </c>
      <c r="T685" s="12" t="s">
        <v>94</v>
      </c>
      <c r="U685" s="12" t="s">
        <v>4884</v>
      </c>
    </row>
    <row r="686" customFormat="false" ht="31.5" hidden="false" customHeight="true" outlineLevel="0" collapsed="false">
      <c r="A686" s="12" t="n">
        <v>564</v>
      </c>
      <c r="B686" s="12" t="s">
        <v>4881</v>
      </c>
      <c r="C686" s="12" t="s">
        <v>2557</v>
      </c>
      <c r="D686" s="12" t="s">
        <v>113</v>
      </c>
      <c r="E686" s="12" t="s">
        <v>83</v>
      </c>
      <c r="F686" s="12"/>
      <c r="G686" s="12"/>
      <c r="H686" s="12" t="s">
        <v>4887</v>
      </c>
      <c r="I686" s="12" t="n">
        <v>60500</v>
      </c>
      <c r="J686" s="12"/>
      <c r="K686" s="12"/>
      <c r="L686" s="12"/>
      <c r="M686" s="12"/>
      <c r="N686" s="12"/>
      <c r="O686" s="13"/>
      <c r="P686" s="13" t="s">
        <v>4888</v>
      </c>
      <c r="Q686" s="13"/>
      <c r="R686" s="13" t="s">
        <v>1649</v>
      </c>
      <c r="S686" s="13" t="s">
        <v>4889</v>
      </c>
      <c r="T686" s="12" t="s">
        <v>94</v>
      </c>
      <c r="U686" s="12" t="s">
        <v>4884</v>
      </c>
    </row>
    <row r="687" customFormat="false" ht="31.5" hidden="false" customHeight="true" outlineLevel="0" collapsed="false">
      <c r="A687" s="12" t="n">
        <v>564</v>
      </c>
      <c r="B687" s="12" t="s">
        <v>4881</v>
      </c>
      <c r="C687" s="12" t="s">
        <v>2581</v>
      </c>
      <c r="D687" s="12" t="s">
        <v>113</v>
      </c>
      <c r="E687" s="12" t="s">
        <v>83</v>
      </c>
      <c r="F687" s="12" t="n">
        <v>62800</v>
      </c>
      <c r="G687" s="12"/>
      <c r="H687" s="12"/>
      <c r="I687" s="12"/>
      <c r="J687" s="12" t="n">
        <v>50</v>
      </c>
      <c r="K687" s="12"/>
      <c r="L687" s="12"/>
      <c r="M687" s="12"/>
      <c r="N687" s="12" t="n">
        <v>64150</v>
      </c>
      <c r="O687" s="13"/>
      <c r="P687" s="13" t="s">
        <v>4890</v>
      </c>
      <c r="Q687" s="13"/>
      <c r="R687" s="13"/>
      <c r="S687" s="13" t="s">
        <v>4891</v>
      </c>
      <c r="T687" s="12" t="s">
        <v>94</v>
      </c>
      <c r="U687" s="12" t="s">
        <v>4884</v>
      </c>
    </row>
    <row r="688" customFormat="false" ht="31.5" hidden="false" customHeight="true" outlineLevel="0" collapsed="false">
      <c r="A688" s="12" t="n">
        <v>565</v>
      </c>
      <c r="B688" s="12" t="s">
        <v>4892</v>
      </c>
      <c r="C688" s="12" t="s">
        <v>2537</v>
      </c>
      <c r="D688" s="12" t="s">
        <v>113</v>
      </c>
      <c r="E688" s="12" t="s">
        <v>83</v>
      </c>
      <c r="F688" s="12"/>
      <c r="G688" s="12" t="n">
        <v>61500</v>
      </c>
      <c r="H688" s="12"/>
      <c r="I688" s="12"/>
      <c r="J688" s="12" t="n">
        <v>25</v>
      </c>
      <c r="K688" s="12"/>
      <c r="L688" s="12"/>
      <c r="M688" s="12"/>
      <c r="N688" s="12"/>
      <c r="O688" s="13"/>
      <c r="P688" s="13" t="s">
        <v>4893</v>
      </c>
      <c r="Q688" s="13"/>
      <c r="R688" s="13"/>
      <c r="S688" s="13" t="s">
        <v>4894</v>
      </c>
      <c r="T688" s="12" t="s">
        <v>108</v>
      </c>
      <c r="U688" s="12" t="s">
        <v>4895</v>
      </c>
    </row>
    <row r="689" customFormat="false" ht="31.5" hidden="false" customHeight="true" outlineLevel="0" collapsed="false">
      <c r="A689" s="12" t="n">
        <v>566</v>
      </c>
      <c r="B689" s="12" t="s">
        <v>4896</v>
      </c>
      <c r="C689" s="12" t="s">
        <v>2557</v>
      </c>
      <c r="D689" s="12" t="s">
        <v>113</v>
      </c>
      <c r="E689" s="12" t="s">
        <v>83</v>
      </c>
      <c r="F689" s="12" t="n">
        <v>63044</v>
      </c>
      <c r="G689" s="12"/>
      <c r="H689" s="12" t="s">
        <v>1494</v>
      </c>
      <c r="I689" s="12"/>
      <c r="J689" s="12"/>
      <c r="K689" s="12" t="n">
        <v>150</v>
      </c>
      <c r="L689" s="12"/>
      <c r="M689" s="12" t="n">
        <v>368.83</v>
      </c>
      <c r="N689" s="12" t="n">
        <v>64594.2</v>
      </c>
      <c r="O689" s="13"/>
      <c r="P689" s="13" t="s">
        <v>4897</v>
      </c>
      <c r="Q689" s="13"/>
      <c r="R689" s="13"/>
      <c r="S689" s="13" t="s">
        <v>4898</v>
      </c>
      <c r="T689" s="12" t="s">
        <v>94</v>
      </c>
      <c r="U689" s="12" t="s">
        <v>4899</v>
      </c>
    </row>
    <row r="690" customFormat="false" ht="31.5" hidden="false" customHeight="true" outlineLevel="0" collapsed="false">
      <c r="A690" s="12" t="n">
        <v>567</v>
      </c>
      <c r="B690" s="12" t="s">
        <v>1365</v>
      </c>
      <c r="C690" s="12" t="s">
        <v>2666</v>
      </c>
      <c r="D690" s="12" t="s">
        <v>113</v>
      </c>
      <c r="E690" s="12" t="s">
        <v>83</v>
      </c>
      <c r="F690" s="12" t="n">
        <v>63044</v>
      </c>
      <c r="G690" s="12"/>
      <c r="H690" s="12" t="s">
        <v>1494</v>
      </c>
      <c r="I690" s="12"/>
      <c r="J690" s="12"/>
      <c r="K690" s="12" t="n">
        <v>150</v>
      </c>
      <c r="L690" s="12"/>
      <c r="M690" s="12" t="n">
        <v>462.5</v>
      </c>
      <c r="N690" s="12" t="n">
        <v>64987.9</v>
      </c>
      <c r="O690" s="13"/>
      <c r="P690" s="13" t="s">
        <v>4900</v>
      </c>
      <c r="Q690" s="13"/>
      <c r="R690" s="13"/>
      <c r="S690" s="13" t="s">
        <v>4901</v>
      </c>
      <c r="T690" s="12" t="s">
        <v>94</v>
      </c>
      <c r="U690" s="12" t="s">
        <v>4902</v>
      </c>
    </row>
    <row r="691" customFormat="false" ht="31.5" hidden="false" customHeight="true" outlineLevel="0" collapsed="false">
      <c r="A691" s="12" t="n">
        <v>568</v>
      </c>
      <c r="B691" s="12" t="s">
        <v>4903</v>
      </c>
      <c r="C691" s="12" t="s">
        <v>2630</v>
      </c>
      <c r="D691" s="12" t="s">
        <v>113</v>
      </c>
      <c r="E691" s="12" t="s">
        <v>83</v>
      </c>
      <c r="F691" s="12"/>
      <c r="G691" s="12"/>
      <c r="H691" s="12" t="s">
        <v>4904</v>
      </c>
      <c r="I691" s="12"/>
      <c r="J691" s="12" t="n">
        <v>100</v>
      </c>
      <c r="K691" s="12"/>
      <c r="L691" s="12"/>
      <c r="M691" s="12"/>
      <c r="N691" s="12"/>
      <c r="O691" s="13"/>
      <c r="P691" s="13" t="s">
        <v>4905</v>
      </c>
      <c r="Q691" s="13"/>
      <c r="R691" s="13"/>
      <c r="S691" s="13" t="s">
        <v>4906</v>
      </c>
      <c r="T691" s="12" t="s">
        <v>94</v>
      </c>
      <c r="U691" s="12" t="s">
        <v>4907</v>
      </c>
    </row>
    <row r="692" customFormat="false" ht="31.5" hidden="false" customHeight="true" outlineLevel="0" collapsed="false">
      <c r="A692" s="12" t="n">
        <v>569</v>
      </c>
      <c r="B692" s="12" t="s">
        <v>4908</v>
      </c>
      <c r="C692" s="12" t="s">
        <v>2506</v>
      </c>
      <c r="D692" s="12" t="s">
        <v>113</v>
      </c>
      <c r="E692" s="12"/>
      <c r="F692" s="12"/>
      <c r="G692" s="12"/>
      <c r="H692" s="12"/>
      <c r="I692" s="12"/>
      <c r="J692" s="12"/>
      <c r="K692" s="12"/>
      <c r="L692" s="12"/>
      <c r="M692" s="12"/>
      <c r="N692" s="12"/>
      <c r="O692" s="13" t="s">
        <v>4909</v>
      </c>
      <c r="P692" s="13" t="s">
        <v>4910</v>
      </c>
      <c r="Q692" s="13"/>
      <c r="R692" s="13"/>
      <c r="S692" s="13" t="s">
        <v>4911</v>
      </c>
      <c r="T692" s="12" t="s">
        <v>94</v>
      </c>
      <c r="U692" s="12" t="s">
        <v>4912</v>
      </c>
    </row>
    <row r="693" customFormat="false" ht="31.5" hidden="false" customHeight="true" outlineLevel="0" collapsed="false">
      <c r="A693" s="12" t="n">
        <v>570</v>
      </c>
      <c r="B693" s="12" t="s">
        <v>4913</v>
      </c>
      <c r="C693" s="12" t="s">
        <v>2516</v>
      </c>
      <c r="D693" s="12" t="s">
        <v>113</v>
      </c>
      <c r="E693" s="12" t="s">
        <v>83</v>
      </c>
      <c r="F693" s="12" t="n">
        <v>63900</v>
      </c>
      <c r="G693" s="12"/>
      <c r="H693" s="12"/>
      <c r="I693" s="12"/>
      <c r="J693" s="12"/>
      <c r="K693" s="12"/>
      <c r="L693" s="12"/>
      <c r="M693" s="12"/>
      <c r="N693" s="12" t="n">
        <v>64700</v>
      </c>
      <c r="O693" s="13"/>
      <c r="P693" s="13" t="s">
        <v>4914</v>
      </c>
      <c r="Q693" s="13"/>
      <c r="R693" s="13"/>
      <c r="S693" s="13" t="s">
        <v>4915</v>
      </c>
      <c r="T693" s="12" t="s">
        <v>94</v>
      </c>
      <c r="U693" s="12" t="s">
        <v>1393</v>
      </c>
    </row>
    <row r="694" customFormat="false" ht="31.5" hidden="false" customHeight="true" outlineLevel="0" collapsed="false">
      <c r="A694" s="12" t="n">
        <v>571</v>
      </c>
      <c r="B694" s="12" t="s">
        <v>4916</v>
      </c>
      <c r="C694" s="12" t="s">
        <v>2516</v>
      </c>
      <c r="D694" s="12" t="s">
        <v>113</v>
      </c>
      <c r="E694" s="12" t="s">
        <v>83</v>
      </c>
      <c r="F694" s="12" t="n">
        <v>63600</v>
      </c>
      <c r="G694" s="12"/>
      <c r="H694" s="12"/>
      <c r="I694" s="12"/>
      <c r="J694" s="12"/>
      <c r="K694" s="12"/>
      <c r="L694" s="12"/>
      <c r="M694" s="12"/>
      <c r="N694" s="12"/>
      <c r="O694" s="13"/>
      <c r="P694" s="13" t="s">
        <v>4917</v>
      </c>
      <c r="Q694" s="13"/>
      <c r="R694" s="13"/>
      <c r="S694" s="13" t="s">
        <v>4918</v>
      </c>
      <c r="T694" s="12" t="s">
        <v>108</v>
      </c>
      <c r="U694" s="12" t="s">
        <v>4919</v>
      </c>
    </row>
    <row r="695" customFormat="false" ht="31.5" hidden="false" customHeight="true" outlineLevel="0" collapsed="false">
      <c r="A695" s="12" t="n">
        <v>572</v>
      </c>
      <c r="B695" s="12" t="s">
        <v>1382</v>
      </c>
      <c r="C695" s="12" t="s">
        <v>2521</v>
      </c>
      <c r="D695" s="12" t="s">
        <v>113</v>
      </c>
      <c r="E695" s="12" t="s">
        <v>83</v>
      </c>
      <c r="F695" s="12" t="n">
        <v>63940</v>
      </c>
      <c r="G695" s="12" t="n">
        <v>61500</v>
      </c>
      <c r="H695" s="12"/>
      <c r="I695" s="12" t="n">
        <v>61000</v>
      </c>
      <c r="J695" s="12" t="n">
        <v>70</v>
      </c>
      <c r="K695" s="12"/>
      <c r="L695" s="12"/>
      <c r="M695" s="12"/>
      <c r="N695" s="12"/>
      <c r="O695" s="13" t="s">
        <v>4920</v>
      </c>
      <c r="P695" s="13" t="s">
        <v>4921</v>
      </c>
      <c r="Q695" s="13"/>
      <c r="R695" s="13"/>
      <c r="S695" s="13" t="s">
        <v>4922</v>
      </c>
      <c r="T695" s="12" t="s">
        <v>94</v>
      </c>
      <c r="U695" s="12" t="s">
        <v>4923</v>
      </c>
    </row>
    <row r="696" customFormat="false" ht="31.5" hidden="false" customHeight="true" outlineLevel="0" collapsed="false">
      <c r="A696" s="12" t="n">
        <v>573</v>
      </c>
      <c r="B696" s="12" t="s">
        <v>4924</v>
      </c>
      <c r="C696" s="12" t="s">
        <v>2537</v>
      </c>
      <c r="D696" s="12" t="s">
        <v>113</v>
      </c>
      <c r="E696" s="12" t="s">
        <v>83</v>
      </c>
      <c r="F696" s="12"/>
      <c r="G696" s="12" t="n">
        <v>62700</v>
      </c>
      <c r="H696" s="12"/>
      <c r="I696" s="12"/>
      <c r="J696" s="12"/>
      <c r="K696" s="12"/>
      <c r="L696" s="12"/>
      <c r="M696" s="12"/>
      <c r="N696" s="12" t="n">
        <v>62700</v>
      </c>
      <c r="O696" s="13"/>
      <c r="P696" s="13" t="s">
        <v>4925</v>
      </c>
      <c r="Q696" s="13"/>
      <c r="R696" s="13"/>
      <c r="S696" s="13" t="s">
        <v>4926</v>
      </c>
      <c r="T696" s="12" t="s">
        <v>108</v>
      </c>
      <c r="U696" s="12" t="s">
        <v>4927</v>
      </c>
    </row>
    <row r="697" customFormat="false" ht="31.5" hidden="false" customHeight="true" outlineLevel="0" collapsed="false">
      <c r="A697" s="12" t="n">
        <v>574</v>
      </c>
      <c r="B697" s="12" t="s">
        <v>4928</v>
      </c>
      <c r="C697" s="12" t="s">
        <v>2557</v>
      </c>
      <c r="D697" s="12" t="s">
        <v>113</v>
      </c>
      <c r="E697" s="12" t="s">
        <v>83</v>
      </c>
      <c r="F697" s="12"/>
      <c r="G697" s="12"/>
      <c r="H697" s="12"/>
      <c r="I697" s="12"/>
      <c r="J697" s="12"/>
      <c r="K697" s="12"/>
      <c r="L697" s="12"/>
      <c r="M697" s="12"/>
      <c r="N697" s="12"/>
      <c r="O697" s="13"/>
      <c r="P697" s="13" t="s">
        <v>4929</v>
      </c>
      <c r="Q697" s="13" t="s">
        <v>191</v>
      </c>
      <c r="R697" s="13" t="s">
        <v>4930</v>
      </c>
      <c r="S697" s="13" t="s">
        <v>4931</v>
      </c>
      <c r="T697" s="12" t="s">
        <v>94</v>
      </c>
      <c r="U697" s="12" t="s">
        <v>4932</v>
      </c>
    </row>
    <row r="698" customFormat="false" ht="31.5" hidden="false" customHeight="true" outlineLevel="0" collapsed="false">
      <c r="A698" s="12" t="n">
        <v>575</v>
      </c>
      <c r="B698" s="12" t="s">
        <v>1394</v>
      </c>
      <c r="C698" s="12" t="s">
        <v>2516</v>
      </c>
      <c r="D698" s="12" t="s">
        <v>1395</v>
      </c>
      <c r="E698" s="12" t="s">
        <v>259</v>
      </c>
      <c r="F698" s="12" t="n">
        <v>155</v>
      </c>
      <c r="G698" s="12"/>
      <c r="H698" s="12" t="s">
        <v>1397</v>
      </c>
      <c r="I698" s="12"/>
      <c r="J698" s="12"/>
      <c r="K698" s="12"/>
      <c r="L698" s="12"/>
      <c r="M698" s="12"/>
      <c r="N698" s="12"/>
      <c r="O698" s="13"/>
      <c r="P698" s="13" t="s">
        <v>4933</v>
      </c>
      <c r="Q698" s="13"/>
      <c r="R698" s="13"/>
      <c r="S698" s="13" t="s">
        <v>4934</v>
      </c>
      <c r="T698" s="12" t="s">
        <v>94</v>
      </c>
      <c r="U698" s="12" t="s">
        <v>1402</v>
      </c>
    </row>
    <row r="699" customFormat="false" ht="31.5" hidden="false" customHeight="true" outlineLevel="0" collapsed="false">
      <c r="A699" s="12" t="n">
        <v>576</v>
      </c>
      <c r="B699" s="12" t="s">
        <v>1403</v>
      </c>
      <c r="C699" s="12" t="s">
        <v>2521</v>
      </c>
      <c r="D699" s="12" t="s">
        <v>1404</v>
      </c>
      <c r="E699" s="12" t="s">
        <v>83</v>
      </c>
      <c r="F699" s="12" t="n">
        <v>0.214</v>
      </c>
      <c r="G699" s="12"/>
      <c r="H699" s="12" t="s">
        <v>1406</v>
      </c>
      <c r="I699" s="12" t="n">
        <v>0.1969</v>
      </c>
      <c r="J699" s="12"/>
      <c r="K699" s="12"/>
      <c r="L699" s="12"/>
      <c r="M699" s="12"/>
      <c r="N699" s="12"/>
      <c r="O699" s="13"/>
      <c r="P699" s="13" t="s">
        <v>4935</v>
      </c>
      <c r="Q699" s="13" t="s">
        <v>1410</v>
      </c>
      <c r="R699" s="13" t="s">
        <v>4936</v>
      </c>
      <c r="S699" s="13" t="s">
        <v>4937</v>
      </c>
      <c r="T699" s="12" t="s">
        <v>94</v>
      </c>
      <c r="U699" s="12" t="s">
        <v>1414</v>
      </c>
    </row>
    <row r="700" customFormat="false" ht="31.5" hidden="false" customHeight="true" outlineLevel="0" collapsed="false">
      <c r="A700" s="12" t="n">
        <v>577</v>
      </c>
      <c r="B700" s="12" t="s">
        <v>4938</v>
      </c>
      <c r="C700" s="12" t="s">
        <v>2527</v>
      </c>
      <c r="D700" s="12" t="s">
        <v>113</v>
      </c>
      <c r="E700" s="12"/>
      <c r="F700" s="12"/>
      <c r="G700" s="12"/>
      <c r="H700" s="12"/>
      <c r="I700" s="12"/>
      <c r="J700" s="12"/>
      <c r="K700" s="12"/>
      <c r="L700" s="12"/>
      <c r="M700" s="12"/>
      <c r="N700" s="12"/>
      <c r="O700" s="13"/>
      <c r="P700" s="13" t="s">
        <v>4939</v>
      </c>
      <c r="Q700" s="13"/>
      <c r="R700" s="13"/>
      <c r="S700" s="13" t="s">
        <v>4940</v>
      </c>
      <c r="T700" s="12" t="s">
        <v>94</v>
      </c>
      <c r="U700" s="12" t="s">
        <v>4941</v>
      </c>
    </row>
    <row r="701" customFormat="false" ht="31.5" hidden="false" customHeight="true" outlineLevel="0" collapsed="false">
      <c r="A701" s="12" t="n">
        <v>578</v>
      </c>
      <c r="B701" s="12" t="s">
        <v>4942</v>
      </c>
      <c r="C701" s="12" t="s">
        <v>2557</v>
      </c>
      <c r="D701" s="12" t="s">
        <v>113</v>
      </c>
      <c r="E701" s="12" t="s">
        <v>83</v>
      </c>
      <c r="F701" s="12" t="n">
        <v>63300</v>
      </c>
      <c r="G701" s="12"/>
      <c r="H701" s="12"/>
      <c r="I701" s="12"/>
      <c r="J701" s="12"/>
      <c r="K701" s="12"/>
      <c r="L701" s="12"/>
      <c r="M701" s="12"/>
      <c r="N701" s="12"/>
      <c r="O701" s="13"/>
      <c r="P701" s="13" t="s">
        <v>4943</v>
      </c>
      <c r="Q701" s="13"/>
      <c r="R701" s="13"/>
      <c r="S701" s="13" t="s">
        <v>4944</v>
      </c>
      <c r="T701" s="12" t="s">
        <v>94</v>
      </c>
      <c r="U701" s="12" t="s">
        <v>4945</v>
      </c>
    </row>
    <row r="702" customFormat="false" ht="31.5" hidden="false" customHeight="true" outlineLevel="0" collapsed="false">
      <c r="A702" s="12" t="n">
        <v>579</v>
      </c>
      <c r="B702" s="12" t="s">
        <v>4946</v>
      </c>
      <c r="C702" s="12" t="s">
        <v>2557</v>
      </c>
      <c r="D702" s="12" t="s">
        <v>113</v>
      </c>
      <c r="E702" s="12" t="s">
        <v>83</v>
      </c>
      <c r="F702" s="12"/>
      <c r="G702" s="12"/>
      <c r="H702" s="12"/>
      <c r="I702" s="12"/>
      <c r="J702" s="12"/>
      <c r="K702" s="12"/>
      <c r="L702" s="12"/>
      <c r="M702" s="12"/>
      <c r="N702" s="12"/>
      <c r="O702" s="13"/>
      <c r="P702" s="13" t="s">
        <v>4947</v>
      </c>
      <c r="Q702" s="13" t="s">
        <v>191</v>
      </c>
      <c r="R702" s="13"/>
      <c r="S702" s="13" t="s">
        <v>4948</v>
      </c>
      <c r="T702" s="12" t="s">
        <v>94</v>
      </c>
      <c r="U702" s="12" t="s">
        <v>4949</v>
      </c>
    </row>
    <row r="703" customFormat="false" ht="31.5" hidden="false" customHeight="true" outlineLevel="0" collapsed="false">
      <c r="A703" s="12" t="n">
        <v>579</v>
      </c>
      <c r="B703" s="12" t="s">
        <v>4946</v>
      </c>
      <c r="C703" s="12" t="s">
        <v>2516</v>
      </c>
      <c r="D703" s="12" t="s">
        <v>113</v>
      </c>
      <c r="E703" s="12" t="s">
        <v>83</v>
      </c>
      <c r="F703" s="12"/>
      <c r="G703" s="12"/>
      <c r="H703" s="12"/>
      <c r="I703" s="12" t="n">
        <v>59000</v>
      </c>
      <c r="J703" s="12"/>
      <c r="K703" s="12"/>
      <c r="L703" s="12"/>
      <c r="M703" s="12"/>
      <c r="N703" s="12"/>
      <c r="O703" s="13"/>
      <c r="P703" s="13" t="s">
        <v>4950</v>
      </c>
      <c r="Q703" s="13"/>
      <c r="R703" s="13"/>
      <c r="S703" s="13" t="s">
        <v>4951</v>
      </c>
      <c r="T703" s="12" t="s">
        <v>94</v>
      </c>
      <c r="U703" s="12" t="s">
        <v>4949</v>
      </c>
    </row>
    <row r="704" customFormat="false" ht="31.5" hidden="false" customHeight="true" outlineLevel="0" collapsed="false">
      <c r="A704" s="12" t="n">
        <v>580</v>
      </c>
      <c r="B704" s="12" t="s">
        <v>1387</v>
      </c>
      <c r="C704" s="12" t="s">
        <v>2564</v>
      </c>
      <c r="D704" s="12" t="s">
        <v>113</v>
      </c>
      <c r="E704" s="12" t="s">
        <v>83</v>
      </c>
      <c r="F704" s="12"/>
      <c r="G704" s="12"/>
      <c r="H704" s="12"/>
      <c r="I704" s="12"/>
      <c r="J704" s="12"/>
      <c r="K704" s="12"/>
      <c r="L704" s="12" t="n">
        <v>-1.25</v>
      </c>
      <c r="M704" s="12"/>
      <c r="N704" s="12"/>
      <c r="O704" s="13"/>
      <c r="P704" s="13" t="s">
        <v>4952</v>
      </c>
      <c r="Q704" s="13" t="s">
        <v>191</v>
      </c>
      <c r="R704" s="13"/>
      <c r="S704" s="13" t="s">
        <v>4953</v>
      </c>
      <c r="T704" s="12" t="s">
        <v>94</v>
      </c>
      <c r="U704" s="12" t="s">
        <v>4954</v>
      </c>
    </row>
    <row r="705" customFormat="false" ht="31.5" hidden="false" customHeight="true" outlineLevel="0" collapsed="false">
      <c r="A705" s="12" t="n">
        <v>582</v>
      </c>
      <c r="B705" s="12" t="s">
        <v>1415</v>
      </c>
      <c r="C705" s="12" t="s">
        <v>2549</v>
      </c>
      <c r="D705" s="12" t="s">
        <v>113</v>
      </c>
      <c r="E705" s="12" t="s">
        <v>83</v>
      </c>
      <c r="F705" s="12" t="n">
        <v>59500</v>
      </c>
      <c r="G705" s="12"/>
      <c r="H705" s="12"/>
      <c r="I705" s="12"/>
      <c r="J705" s="12"/>
      <c r="K705" s="12"/>
      <c r="L705" s="12"/>
      <c r="M705" s="12"/>
      <c r="N705" s="12"/>
      <c r="O705" s="13"/>
      <c r="P705" s="13" t="s">
        <v>4955</v>
      </c>
      <c r="Q705" s="13" t="s">
        <v>1423</v>
      </c>
      <c r="R705" s="13"/>
      <c r="S705" s="13" t="s">
        <v>4956</v>
      </c>
      <c r="T705" s="12" t="s">
        <v>94</v>
      </c>
      <c r="U705" s="12" t="s">
        <v>1427</v>
      </c>
    </row>
    <row r="706" customFormat="false" ht="31.5" hidden="false" customHeight="true" outlineLevel="0" collapsed="false">
      <c r="A706" s="12" t="n">
        <v>584</v>
      </c>
      <c r="B706" s="12" t="s">
        <v>4957</v>
      </c>
      <c r="C706" s="12" t="s">
        <v>2809</v>
      </c>
      <c r="D706" s="12" t="s">
        <v>113</v>
      </c>
      <c r="E706" s="12" t="s">
        <v>83</v>
      </c>
      <c r="F706" s="12"/>
      <c r="G706" s="12"/>
      <c r="H706" s="12"/>
      <c r="I706" s="12" t="n">
        <v>56000</v>
      </c>
      <c r="J706" s="12"/>
      <c r="K706" s="12"/>
      <c r="L706" s="12"/>
      <c r="M706" s="12"/>
      <c r="N706" s="12"/>
      <c r="O706" s="13"/>
      <c r="P706" s="13" t="s">
        <v>4958</v>
      </c>
      <c r="Q706" s="13"/>
      <c r="R706" s="13"/>
      <c r="S706" s="13" t="s">
        <v>4959</v>
      </c>
      <c r="T706" s="12" t="s">
        <v>108</v>
      </c>
      <c r="U706" s="12" t="s">
        <v>4960</v>
      </c>
    </row>
    <row r="707" customFormat="false" ht="31.5" hidden="false" customHeight="true" outlineLevel="0" collapsed="false">
      <c r="A707" s="12" t="n">
        <v>585</v>
      </c>
      <c r="B707" s="12" t="s">
        <v>4961</v>
      </c>
      <c r="C707" s="12" t="s">
        <v>2521</v>
      </c>
      <c r="D707" s="12" t="s">
        <v>113</v>
      </c>
      <c r="E707" s="12" t="s">
        <v>83</v>
      </c>
      <c r="F707" s="12" t="n">
        <v>59400</v>
      </c>
      <c r="G707" s="12"/>
      <c r="H707" s="12" t="s">
        <v>1417</v>
      </c>
      <c r="I707" s="12" t="n">
        <v>57500</v>
      </c>
      <c r="J707" s="12"/>
      <c r="K707" s="12"/>
      <c r="L707" s="12"/>
      <c r="M707" s="12"/>
      <c r="N707" s="12"/>
      <c r="O707" s="13" t="s">
        <v>4468</v>
      </c>
      <c r="P707" s="13" t="s">
        <v>4962</v>
      </c>
      <c r="Q707" s="13"/>
      <c r="R707" s="13"/>
      <c r="S707" s="13" t="s">
        <v>4963</v>
      </c>
      <c r="T707" s="12" t="s">
        <v>94</v>
      </c>
      <c r="U707" s="12" t="s">
        <v>4964</v>
      </c>
    </row>
    <row r="708" customFormat="false" ht="31.5" hidden="false" customHeight="true" outlineLevel="0" collapsed="false">
      <c r="A708" s="12" t="n">
        <v>586</v>
      </c>
      <c r="B708" s="12" t="s">
        <v>1407</v>
      </c>
      <c r="C708" s="12" t="s">
        <v>2564</v>
      </c>
      <c r="D708" s="12" t="s">
        <v>1404</v>
      </c>
      <c r="E708" s="12" t="s">
        <v>83</v>
      </c>
      <c r="F708" s="12"/>
      <c r="G708" s="12"/>
      <c r="H708" s="12"/>
      <c r="I708" s="12"/>
      <c r="J708" s="12"/>
      <c r="K708" s="12"/>
      <c r="L708" s="12"/>
      <c r="M708" s="12"/>
      <c r="N708" s="12"/>
      <c r="O708" s="13"/>
      <c r="P708" s="13" t="s">
        <v>4965</v>
      </c>
      <c r="Q708" s="13"/>
      <c r="R708" s="13" t="s">
        <v>4966</v>
      </c>
      <c r="S708" s="13" t="s">
        <v>4967</v>
      </c>
      <c r="T708" s="12" t="s">
        <v>94</v>
      </c>
      <c r="U708" s="12" t="s">
        <v>4968</v>
      </c>
    </row>
    <row r="709" customFormat="false" ht="31.5" hidden="false" customHeight="true" outlineLevel="0" collapsed="false">
      <c r="A709" s="12" t="n">
        <v>587</v>
      </c>
      <c r="B709" s="12" t="s">
        <v>4969</v>
      </c>
      <c r="C709" s="12" t="s">
        <v>2557</v>
      </c>
      <c r="D709" s="12" t="s">
        <v>113</v>
      </c>
      <c r="E709" s="12" t="s">
        <v>83</v>
      </c>
      <c r="F709" s="12" t="n">
        <v>59214.3</v>
      </c>
      <c r="G709" s="12"/>
      <c r="H709" s="12"/>
      <c r="I709" s="12"/>
      <c r="J709" s="12"/>
      <c r="K709" s="12" t="n">
        <v>150</v>
      </c>
      <c r="L709" s="12"/>
      <c r="M709" s="12" t="n">
        <v>353.22</v>
      </c>
      <c r="N709" s="12" t="n">
        <v>60649.7</v>
      </c>
      <c r="O709" s="13"/>
      <c r="P709" s="13" t="s">
        <v>4970</v>
      </c>
      <c r="Q709" s="13"/>
      <c r="R709" s="13"/>
      <c r="S709" s="13" t="s">
        <v>4971</v>
      </c>
      <c r="T709" s="12" t="s">
        <v>94</v>
      </c>
      <c r="U709" s="12" t="s">
        <v>4972</v>
      </c>
    </row>
    <row r="710" customFormat="false" ht="31.5" hidden="false" customHeight="true" outlineLevel="0" collapsed="false">
      <c r="A710" s="12" t="n">
        <v>588</v>
      </c>
      <c r="B710" s="12" t="s">
        <v>4973</v>
      </c>
      <c r="C710" s="12" t="s">
        <v>2557</v>
      </c>
      <c r="D710" s="12" t="s">
        <v>113</v>
      </c>
      <c r="E710" s="12" t="s">
        <v>83</v>
      </c>
      <c r="F710" s="12" t="n">
        <v>59595.1</v>
      </c>
      <c r="G710" s="12"/>
      <c r="H710" s="12"/>
      <c r="I710" s="12"/>
      <c r="J710" s="12"/>
      <c r="K710" s="12" t="n">
        <v>150</v>
      </c>
      <c r="L710" s="12"/>
      <c r="M710" s="12" t="n">
        <v>301.62</v>
      </c>
      <c r="N710" s="12" t="n">
        <v>60793.4</v>
      </c>
      <c r="O710" s="13"/>
      <c r="P710" s="13" t="s">
        <v>4974</v>
      </c>
      <c r="Q710" s="13"/>
      <c r="R710" s="13"/>
      <c r="S710" s="13" t="s">
        <v>4975</v>
      </c>
      <c r="T710" s="12" t="s">
        <v>94</v>
      </c>
      <c r="U710" s="12" t="s">
        <v>4976</v>
      </c>
    </row>
    <row r="711" customFormat="false" ht="31.5" hidden="false" customHeight="true" outlineLevel="0" collapsed="false">
      <c r="A711" s="12" t="n">
        <v>589</v>
      </c>
      <c r="B711" s="12" t="s">
        <v>4977</v>
      </c>
      <c r="C711" s="12" t="s">
        <v>2557</v>
      </c>
      <c r="D711" s="12" t="s">
        <v>113</v>
      </c>
      <c r="E711" s="12" t="s">
        <v>83</v>
      </c>
      <c r="F711" s="12" t="n">
        <v>59595.1</v>
      </c>
      <c r="G711" s="12"/>
      <c r="H711" s="12"/>
      <c r="I711" s="12"/>
      <c r="J711" s="12"/>
      <c r="K711" s="12" t="n">
        <v>150</v>
      </c>
      <c r="L711" s="12" t="n">
        <v>1.1</v>
      </c>
      <c r="M711" s="12" t="n">
        <v>383.11</v>
      </c>
      <c r="N711" s="12" t="n">
        <v>61117.2</v>
      </c>
      <c r="O711" s="13"/>
      <c r="P711" s="13" t="s">
        <v>4978</v>
      </c>
      <c r="Q711" s="13" t="s">
        <v>1519</v>
      </c>
      <c r="R711" s="13"/>
      <c r="S711" s="13" t="s">
        <v>4979</v>
      </c>
      <c r="T711" s="12" t="s">
        <v>94</v>
      </c>
      <c r="U711" s="12" t="s">
        <v>4980</v>
      </c>
    </row>
    <row r="712" customFormat="false" ht="31.5" hidden="false" customHeight="true" outlineLevel="0" collapsed="false">
      <c r="A712" s="12" t="n">
        <v>589</v>
      </c>
      <c r="B712" s="12" t="s">
        <v>4977</v>
      </c>
      <c r="C712" s="12" t="s">
        <v>2581</v>
      </c>
      <c r="D712" s="12" t="s">
        <v>113</v>
      </c>
      <c r="E712" s="12" t="s">
        <v>83</v>
      </c>
      <c r="F712" s="12"/>
      <c r="G712" s="12"/>
      <c r="H712" s="12"/>
      <c r="I712" s="12"/>
      <c r="J712" s="12" t="n">
        <v>25</v>
      </c>
      <c r="K712" s="12"/>
      <c r="L712" s="12"/>
      <c r="M712" s="12"/>
      <c r="N712" s="12" t="n">
        <v>61117.2</v>
      </c>
      <c r="O712" s="13"/>
      <c r="P712" s="13" t="s">
        <v>4981</v>
      </c>
      <c r="Q712" s="13"/>
      <c r="R712" s="13"/>
      <c r="S712" s="13" t="s">
        <v>4982</v>
      </c>
      <c r="T712" s="12" t="s">
        <v>108</v>
      </c>
      <c r="U712" s="12" t="s">
        <v>4980</v>
      </c>
    </row>
    <row r="713" customFormat="false" ht="31.5" hidden="false" customHeight="true" outlineLevel="0" collapsed="false">
      <c r="A713" s="12" t="n">
        <v>589</v>
      </c>
      <c r="B713" s="12" t="s">
        <v>4977</v>
      </c>
      <c r="C713" s="12" t="s">
        <v>2670</v>
      </c>
      <c r="D713" s="12" t="s">
        <v>113</v>
      </c>
      <c r="E713" s="12" t="s">
        <v>83</v>
      </c>
      <c r="F713" s="12"/>
      <c r="G713" s="12"/>
      <c r="H713" s="12" t="s">
        <v>1419</v>
      </c>
      <c r="I713" s="12"/>
      <c r="J713" s="12"/>
      <c r="K713" s="12"/>
      <c r="L713" s="12"/>
      <c r="M713" s="12"/>
      <c r="N713" s="12"/>
      <c r="O713" s="13"/>
      <c r="P713" s="13" t="s">
        <v>4983</v>
      </c>
      <c r="Q713" s="13"/>
      <c r="R713" s="13"/>
      <c r="S713" s="13" t="s">
        <v>4984</v>
      </c>
      <c r="T713" s="12" t="s">
        <v>94</v>
      </c>
      <c r="U713" s="12" t="s">
        <v>4980</v>
      </c>
    </row>
    <row r="714" customFormat="false" ht="31.5" hidden="false" customHeight="true" outlineLevel="0" collapsed="false">
      <c r="A714" s="12" t="n">
        <v>590</v>
      </c>
      <c r="B714" s="12" t="s">
        <v>4985</v>
      </c>
      <c r="C714" s="12" t="s">
        <v>2557</v>
      </c>
      <c r="D714" s="12" t="s">
        <v>113</v>
      </c>
      <c r="E714" s="12" t="s">
        <v>83</v>
      </c>
      <c r="F714" s="12" t="n">
        <v>59214.3</v>
      </c>
      <c r="G714" s="12"/>
      <c r="H714" s="12"/>
      <c r="I714" s="12"/>
      <c r="J714" s="12"/>
      <c r="K714" s="12"/>
      <c r="L714" s="12"/>
      <c r="M714" s="12" t="n">
        <v>445.88</v>
      </c>
      <c r="N714" s="12" t="n">
        <v>61037.6</v>
      </c>
      <c r="O714" s="13"/>
      <c r="P714" s="13" t="s">
        <v>4986</v>
      </c>
      <c r="Q714" s="13"/>
      <c r="R714" s="13"/>
      <c r="S714" s="13" t="s">
        <v>4987</v>
      </c>
      <c r="T714" s="12" t="s">
        <v>94</v>
      </c>
      <c r="U714" s="12" t="s">
        <v>4988</v>
      </c>
    </row>
    <row r="715" customFormat="false" ht="31.5" hidden="false" customHeight="true" outlineLevel="0" collapsed="false">
      <c r="A715" s="12" t="n">
        <v>591</v>
      </c>
      <c r="B715" s="12" t="s">
        <v>1420</v>
      </c>
      <c r="C715" s="12" t="s">
        <v>2630</v>
      </c>
      <c r="D715" s="12" t="s">
        <v>113</v>
      </c>
      <c r="E715" s="12" t="s">
        <v>83</v>
      </c>
      <c r="F715" s="12" t="n">
        <v>59595.1</v>
      </c>
      <c r="G715" s="12"/>
      <c r="H715" s="12"/>
      <c r="I715" s="12"/>
      <c r="J715" s="12" t="n">
        <v>100</v>
      </c>
      <c r="K715" s="12" t="n">
        <v>150</v>
      </c>
      <c r="L715" s="12"/>
      <c r="M715" s="12" t="n">
        <v>383.11</v>
      </c>
      <c r="N715" s="12" t="n">
        <v>61117.2</v>
      </c>
      <c r="O715" s="13"/>
      <c r="P715" s="13" t="s">
        <v>4989</v>
      </c>
      <c r="Q715" s="13"/>
      <c r="R715" s="13"/>
      <c r="S715" s="13" t="s">
        <v>4990</v>
      </c>
      <c r="T715" s="12" t="s">
        <v>94</v>
      </c>
      <c r="U715" s="12" t="s">
        <v>4991</v>
      </c>
    </row>
    <row r="716" customFormat="false" ht="31.5" hidden="false" customHeight="true" outlineLevel="0" collapsed="false">
      <c r="A716" s="12" t="n">
        <v>591</v>
      </c>
      <c r="B716" s="12" t="s">
        <v>1420</v>
      </c>
      <c r="C716" s="12" t="s">
        <v>2670</v>
      </c>
      <c r="D716" s="12" t="s">
        <v>113</v>
      </c>
      <c r="E716" s="12" t="s">
        <v>83</v>
      </c>
      <c r="F716" s="12"/>
      <c r="G716" s="12"/>
      <c r="H716" s="12" t="s">
        <v>4992</v>
      </c>
      <c r="I716" s="12"/>
      <c r="J716" s="12" t="n">
        <v>50</v>
      </c>
      <c r="K716" s="12"/>
      <c r="L716" s="12"/>
      <c r="M716" s="12"/>
      <c r="N716" s="12" t="n">
        <v>61117.2</v>
      </c>
      <c r="O716" s="13"/>
      <c r="P716" s="13" t="s">
        <v>4993</v>
      </c>
      <c r="Q716" s="13"/>
      <c r="R716" s="13"/>
      <c r="S716" s="13" t="s">
        <v>4994</v>
      </c>
      <c r="T716" s="12" t="s">
        <v>94</v>
      </c>
      <c r="U716" s="12" t="s">
        <v>4991</v>
      </c>
    </row>
    <row r="717" customFormat="false" ht="31.5" hidden="false" customHeight="true" outlineLevel="0" collapsed="false">
      <c r="A717" s="12" t="n">
        <v>592</v>
      </c>
      <c r="B717" s="12" t="s">
        <v>4995</v>
      </c>
      <c r="C717" s="12" t="s">
        <v>2557</v>
      </c>
      <c r="D717" s="12" t="s">
        <v>113</v>
      </c>
      <c r="E717" s="12" t="s">
        <v>83</v>
      </c>
      <c r="F717" s="12" t="n">
        <v>59214.3</v>
      </c>
      <c r="G717" s="12"/>
      <c r="H717" s="12"/>
      <c r="I717" s="12"/>
      <c r="J717" s="12"/>
      <c r="K717" s="12"/>
      <c r="L717" s="12"/>
      <c r="M717" s="12" t="n">
        <v>446.88</v>
      </c>
      <c r="N717" s="12" t="n">
        <v>61042.1</v>
      </c>
      <c r="O717" s="13"/>
      <c r="P717" s="13" t="s">
        <v>4996</v>
      </c>
      <c r="Q717" s="13"/>
      <c r="R717" s="13"/>
      <c r="S717" s="13" t="s">
        <v>4997</v>
      </c>
      <c r="T717" s="12" t="s">
        <v>94</v>
      </c>
      <c r="U717" s="12" t="s">
        <v>4998</v>
      </c>
    </row>
    <row r="718" customFormat="false" ht="31.5" hidden="false" customHeight="true" outlineLevel="0" collapsed="false">
      <c r="A718" s="12" t="n">
        <v>593</v>
      </c>
      <c r="B718" s="12" t="s">
        <v>1428</v>
      </c>
      <c r="C718" s="12" t="s">
        <v>2521</v>
      </c>
      <c r="D718" s="12" t="s">
        <v>1429</v>
      </c>
      <c r="E718" s="12" t="s">
        <v>83</v>
      </c>
      <c r="F718" s="12" t="n">
        <v>0.00011</v>
      </c>
      <c r="G718" s="12"/>
      <c r="H718" s="12" t="s">
        <v>1430</v>
      </c>
      <c r="I718" s="12" t="n">
        <v>9E-005</v>
      </c>
      <c r="J718" s="12"/>
      <c r="K718" s="12"/>
      <c r="L718" s="12"/>
      <c r="M718" s="12"/>
      <c r="N718" s="12"/>
      <c r="O718" s="13" t="s">
        <v>4999</v>
      </c>
      <c r="P718" s="13" t="s">
        <v>5000</v>
      </c>
      <c r="Q718" s="13"/>
      <c r="R718" s="13"/>
      <c r="S718" s="13" t="s">
        <v>5001</v>
      </c>
      <c r="T718" s="12" t="s">
        <v>94</v>
      </c>
      <c r="U718" s="12" t="s">
        <v>1439</v>
      </c>
    </row>
    <row r="719" customFormat="false" ht="31.5" hidden="false" customHeight="true" outlineLevel="0" collapsed="false">
      <c r="A719" s="12" t="n">
        <v>594</v>
      </c>
      <c r="B719" s="12" t="s">
        <v>1440</v>
      </c>
      <c r="C719" s="12" t="s">
        <v>2549</v>
      </c>
      <c r="D719" s="12" t="s">
        <v>113</v>
      </c>
      <c r="E719" s="12" t="s">
        <v>83</v>
      </c>
      <c r="F719" s="12" t="n">
        <v>61200</v>
      </c>
      <c r="G719" s="12"/>
      <c r="H719" s="12"/>
      <c r="I719" s="12"/>
      <c r="J719" s="12"/>
      <c r="K719" s="12"/>
      <c r="L719" s="12"/>
      <c r="M719" s="12"/>
      <c r="N719" s="12"/>
      <c r="O719" s="13" t="s">
        <v>5002</v>
      </c>
      <c r="P719" s="13" t="s">
        <v>5003</v>
      </c>
      <c r="Q719" s="13"/>
      <c r="R719" s="13"/>
      <c r="S719" s="13" t="s">
        <v>5004</v>
      </c>
      <c r="T719" s="12" t="s">
        <v>94</v>
      </c>
      <c r="U719" s="12" t="s">
        <v>1449</v>
      </c>
    </row>
    <row r="720" customFormat="false" ht="31.5" hidden="false" customHeight="true" outlineLevel="0" collapsed="false">
      <c r="A720" s="12" t="n">
        <v>594</v>
      </c>
      <c r="B720" s="12" t="s">
        <v>1440</v>
      </c>
      <c r="C720" s="12" t="s">
        <v>2516</v>
      </c>
      <c r="D720" s="12" t="s">
        <v>113</v>
      </c>
      <c r="E720" s="12" t="s">
        <v>83</v>
      </c>
      <c r="F720" s="12"/>
      <c r="G720" s="12"/>
      <c r="H720" s="12"/>
      <c r="I720" s="12"/>
      <c r="J720" s="12"/>
      <c r="K720" s="12"/>
      <c r="L720" s="12"/>
      <c r="M720" s="12"/>
      <c r="N720" s="12" t="n">
        <v>60600</v>
      </c>
      <c r="O720" s="13"/>
      <c r="P720" s="13" t="s">
        <v>5005</v>
      </c>
      <c r="Q720" s="13"/>
      <c r="R720" s="13"/>
      <c r="S720" s="13" t="s">
        <v>5006</v>
      </c>
      <c r="T720" s="12" t="s">
        <v>94</v>
      </c>
      <c r="U720" s="12" t="s">
        <v>1449</v>
      </c>
    </row>
    <row r="721" customFormat="false" ht="31.5" hidden="false" customHeight="true" outlineLevel="0" collapsed="false">
      <c r="A721" s="12" t="n">
        <v>595</v>
      </c>
      <c r="B721" s="12" t="s">
        <v>5007</v>
      </c>
      <c r="C721" s="12" t="s">
        <v>2521</v>
      </c>
      <c r="D721" s="12" t="s">
        <v>113</v>
      </c>
      <c r="E721" s="12" t="s">
        <v>83</v>
      </c>
      <c r="F721" s="12" t="n">
        <v>61300</v>
      </c>
      <c r="G721" s="12"/>
      <c r="H721" s="12"/>
      <c r="I721" s="12" t="n">
        <v>58600</v>
      </c>
      <c r="J721" s="12" t="n">
        <v>50</v>
      </c>
      <c r="K721" s="12"/>
      <c r="L721" s="12"/>
      <c r="M721" s="12"/>
      <c r="N721" s="12"/>
      <c r="O721" s="13" t="s">
        <v>5008</v>
      </c>
      <c r="P721" s="13" t="s">
        <v>5009</v>
      </c>
      <c r="Q721" s="13"/>
      <c r="R721" s="13"/>
      <c r="S721" s="13" t="s">
        <v>5010</v>
      </c>
      <c r="T721" s="12" t="s">
        <v>94</v>
      </c>
      <c r="U721" s="12" t="s">
        <v>5011</v>
      </c>
    </row>
    <row r="722" customFormat="false" ht="31.5" hidden="false" customHeight="true" outlineLevel="0" collapsed="false">
      <c r="A722" s="12" t="n">
        <v>596</v>
      </c>
      <c r="B722" s="12" t="s">
        <v>5012</v>
      </c>
      <c r="C722" s="12" t="s">
        <v>2557</v>
      </c>
      <c r="D722" s="12" t="s">
        <v>113</v>
      </c>
      <c r="E722" s="12" t="s">
        <v>83</v>
      </c>
      <c r="F722" s="12"/>
      <c r="G722" s="12"/>
      <c r="H722" s="12"/>
      <c r="I722" s="12"/>
      <c r="J722" s="12"/>
      <c r="K722" s="12"/>
      <c r="L722" s="12"/>
      <c r="M722" s="12"/>
      <c r="N722" s="12"/>
      <c r="O722" s="13" t="s">
        <v>5013</v>
      </c>
      <c r="P722" s="13" t="s">
        <v>5014</v>
      </c>
      <c r="Q722" s="13"/>
      <c r="R722" s="13"/>
      <c r="S722" s="13" t="s">
        <v>5015</v>
      </c>
      <c r="T722" s="12" t="s">
        <v>108</v>
      </c>
      <c r="U722" s="12" t="s">
        <v>5016</v>
      </c>
    </row>
    <row r="723" customFormat="false" ht="31.5" hidden="false" customHeight="true" outlineLevel="0" collapsed="false">
      <c r="A723" s="12" t="n">
        <v>597</v>
      </c>
      <c r="B723" s="12" t="s">
        <v>1443</v>
      </c>
      <c r="C723" s="12" t="s">
        <v>128</v>
      </c>
      <c r="D723" s="12" t="s">
        <v>113</v>
      </c>
      <c r="E723" s="12" t="s">
        <v>83</v>
      </c>
      <c r="F723" s="12" t="n">
        <v>61253.1</v>
      </c>
      <c r="G723" s="12"/>
      <c r="H723" s="12"/>
      <c r="I723" s="12"/>
      <c r="J723" s="12" t="n">
        <v>100</v>
      </c>
      <c r="K723" s="12" t="n">
        <v>150</v>
      </c>
      <c r="L723" s="12"/>
      <c r="M723" s="12" t="n">
        <v>4.28</v>
      </c>
      <c r="N723" s="12" t="n">
        <v>61270.6</v>
      </c>
      <c r="O723" s="13"/>
      <c r="P723" s="13" t="s">
        <v>5017</v>
      </c>
      <c r="Q723" s="13"/>
      <c r="R723" s="13"/>
      <c r="S723" s="13" t="s">
        <v>5018</v>
      </c>
      <c r="T723" s="12" t="s">
        <v>94</v>
      </c>
      <c r="U723" s="12" t="s">
        <v>5019</v>
      </c>
    </row>
    <row r="724" customFormat="false" ht="31.5" hidden="false" customHeight="true" outlineLevel="0" collapsed="false">
      <c r="A724" s="12" t="n">
        <v>597</v>
      </c>
      <c r="B724" s="12" t="s">
        <v>1443</v>
      </c>
      <c r="C724" s="12" t="s">
        <v>2516</v>
      </c>
      <c r="D724" s="12" t="s">
        <v>113</v>
      </c>
      <c r="E724" s="12" t="s">
        <v>259</v>
      </c>
      <c r="F724" s="12" t="n">
        <v>62000</v>
      </c>
      <c r="G724" s="12"/>
      <c r="H724" s="12"/>
      <c r="I724" s="12"/>
      <c r="J724" s="12"/>
      <c r="K724" s="12"/>
      <c r="L724" s="12"/>
      <c r="M724" s="12"/>
      <c r="N724" s="12"/>
      <c r="O724" s="13"/>
      <c r="P724" s="13" t="s">
        <v>5020</v>
      </c>
      <c r="Q724" s="13"/>
      <c r="R724" s="13"/>
      <c r="S724" s="13" t="s">
        <v>5021</v>
      </c>
      <c r="T724" s="12" t="s">
        <v>108</v>
      </c>
      <c r="U724" s="12" t="s">
        <v>5019</v>
      </c>
    </row>
    <row r="725" customFormat="false" ht="31.5" hidden="false" customHeight="true" outlineLevel="0" collapsed="false">
      <c r="A725" s="12" t="n">
        <v>598</v>
      </c>
      <c r="B725" s="12" t="s">
        <v>5022</v>
      </c>
      <c r="C725" s="12" t="s">
        <v>2516</v>
      </c>
      <c r="D725" s="12" t="s">
        <v>113</v>
      </c>
      <c r="E725" s="12" t="s">
        <v>83</v>
      </c>
      <c r="F725" s="12" t="n">
        <v>60000</v>
      </c>
      <c r="G725" s="12"/>
      <c r="H725" s="12"/>
      <c r="I725" s="12"/>
      <c r="J725" s="12"/>
      <c r="K725" s="12"/>
      <c r="L725" s="12"/>
      <c r="M725" s="12"/>
      <c r="N725" s="12"/>
      <c r="O725" s="13"/>
      <c r="P725" s="13" t="s">
        <v>5023</v>
      </c>
      <c r="Q725" s="13"/>
      <c r="R725" s="13"/>
      <c r="S725" s="13" t="s">
        <v>5024</v>
      </c>
      <c r="T725" s="12" t="s">
        <v>94</v>
      </c>
      <c r="U725" s="12" t="s">
        <v>1461</v>
      </c>
    </row>
    <row r="726" customFormat="false" ht="31.5" hidden="false" customHeight="true" outlineLevel="0" collapsed="false">
      <c r="A726" s="12" t="n">
        <v>600</v>
      </c>
      <c r="B726" s="12" t="s">
        <v>1450</v>
      </c>
      <c r="C726" s="12" t="s">
        <v>2521</v>
      </c>
      <c r="D726" s="12" t="s">
        <v>113</v>
      </c>
      <c r="E726" s="12" t="s">
        <v>83</v>
      </c>
      <c r="F726" s="12" t="n">
        <v>58200</v>
      </c>
      <c r="G726" s="12"/>
      <c r="H726" s="12"/>
      <c r="I726" s="12" t="n">
        <v>56000</v>
      </c>
      <c r="J726" s="12" t="n">
        <v>50</v>
      </c>
      <c r="K726" s="12"/>
      <c r="L726" s="12"/>
      <c r="M726" s="12"/>
      <c r="N726" s="12"/>
      <c r="O726" s="13" t="s">
        <v>5025</v>
      </c>
      <c r="P726" s="13" t="s">
        <v>5026</v>
      </c>
      <c r="Q726" s="13"/>
      <c r="R726" s="13"/>
      <c r="S726" s="13" t="s">
        <v>5027</v>
      </c>
      <c r="T726" s="12" t="s">
        <v>94</v>
      </c>
      <c r="U726" s="12" t="s">
        <v>5028</v>
      </c>
    </row>
    <row r="727" customFormat="false" ht="31.5" hidden="false" customHeight="true" outlineLevel="0" collapsed="false">
      <c r="A727" s="12" t="n">
        <v>601</v>
      </c>
      <c r="B727" s="12" t="s">
        <v>5029</v>
      </c>
      <c r="C727" s="12" t="s">
        <v>2549</v>
      </c>
      <c r="D727" s="12" t="s">
        <v>113</v>
      </c>
      <c r="E727" s="12" t="s">
        <v>83</v>
      </c>
      <c r="F727" s="12" t="n">
        <v>58500</v>
      </c>
      <c r="G727" s="12"/>
      <c r="H727" s="12"/>
      <c r="I727" s="12"/>
      <c r="J727" s="12"/>
      <c r="K727" s="12"/>
      <c r="L727" s="12"/>
      <c r="M727" s="12"/>
      <c r="N727" s="12" t="n">
        <v>58200</v>
      </c>
      <c r="O727" s="13"/>
      <c r="P727" s="13" t="s">
        <v>5030</v>
      </c>
      <c r="Q727" s="13"/>
      <c r="R727" s="13"/>
      <c r="S727" s="13" t="s">
        <v>5031</v>
      </c>
      <c r="T727" s="12" t="s">
        <v>94</v>
      </c>
      <c r="U727" s="12" t="s">
        <v>5032</v>
      </c>
    </row>
    <row r="728" customFormat="false" ht="31.5" hidden="false" customHeight="true" outlineLevel="0" collapsed="false">
      <c r="A728" s="12" t="n">
        <v>602</v>
      </c>
      <c r="B728" s="12" t="s">
        <v>5033</v>
      </c>
      <c r="C728" s="12" t="s">
        <v>2581</v>
      </c>
      <c r="D728" s="12" t="s">
        <v>113</v>
      </c>
      <c r="E728" s="12" t="s">
        <v>83</v>
      </c>
      <c r="F728" s="12" t="n">
        <v>58616.4</v>
      </c>
      <c r="G728" s="12"/>
      <c r="H728" s="12"/>
      <c r="I728" s="12"/>
      <c r="J728" s="12" t="n">
        <v>70</v>
      </c>
      <c r="K728" s="12" t="n">
        <v>150</v>
      </c>
      <c r="L728" s="12"/>
      <c r="M728" s="12" t="n">
        <v>226.87</v>
      </c>
      <c r="N728" s="12" t="n">
        <v>59502.9</v>
      </c>
      <c r="O728" s="13"/>
      <c r="P728" s="13" t="s">
        <v>5034</v>
      </c>
      <c r="Q728" s="13"/>
      <c r="R728" s="13"/>
      <c r="S728" s="13" t="s">
        <v>5035</v>
      </c>
      <c r="T728" s="12" t="s">
        <v>94</v>
      </c>
      <c r="U728" s="12" t="s">
        <v>5036</v>
      </c>
    </row>
    <row r="729" customFormat="false" ht="31.5" hidden="false" customHeight="true" outlineLevel="0" collapsed="false">
      <c r="A729" s="12" t="n">
        <v>602</v>
      </c>
      <c r="B729" s="12" t="s">
        <v>5033</v>
      </c>
      <c r="C729" s="12" t="s">
        <v>2670</v>
      </c>
      <c r="D729" s="12" t="s">
        <v>113</v>
      </c>
      <c r="E729" s="12" t="s">
        <v>83</v>
      </c>
      <c r="F729" s="12" t="n">
        <v>58616.4</v>
      </c>
      <c r="G729" s="12"/>
      <c r="H729" s="12" t="s">
        <v>1453</v>
      </c>
      <c r="I729" s="12"/>
      <c r="J729" s="12" t="n">
        <v>30</v>
      </c>
      <c r="K729" s="12" t="n">
        <v>150</v>
      </c>
      <c r="L729" s="12"/>
      <c r="M729" s="12"/>
      <c r="N729" s="12"/>
      <c r="O729" s="13"/>
      <c r="P729" s="13" t="s">
        <v>5037</v>
      </c>
      <c r="Q729" s="13"/>
      <c r="R729" s="13"/>
      <c r="S729" s="13" t="s">
        <v>5035</v>
      </c>
      <c r="T729" s="12" t="s">
        <v>94</v>
      </c>
      <c r="U729" s="12" t="s">
        <v>5036</v>
      </c>
    </row>
    <row r="730" customFormat="false" ht="31.5" hidden="false" customHeight="true" outlineLevel="0" collapsed="false">
      <c r="A730" s="12" t="n">
        <v>603</v>
      </c>
      <c r="B730" s="12" t="s">
        <v>1455</v>
      </c>
      <c r="C730" s="12" t="s">
        <v>2630</v>
      </c>
      <c r="D730" s="12" t="s">
        <v>113</v>
      </c>
      <c r="E730" s="12" t="s">
        <v>83</v>
      </c>
      <c r="F730" s="12"/>
      <c r="G730" s="12"/>
      <c r="H730" s="12"/>
      <c r="I730" s="12"/>
      <c r="J730" s="12" t="n">
        <v>100</v>
      </c>
      <c r="K730" s="12"/>
      <c r="L730" s="12"/>
      <c r="M730" s="12"/>
      <c r="N730" s="12" t="n">
        <v>59100</v>
      </c>
      <c r="O730" s="13"/>
      <c r="P730" s="13" t="s">
        <v>5038</v>
      </c>
      <c r="Q730" s="13"/>
      <c r="R730" s="13"/>
      <c r="S730" s="13" t="s">
        <v>5039</v>
      </c>
      <c r="T730" s="12" t="s">
        <v>94</v>
      </c>
      <c r="U730" s="12" t="s">
        <v>5040</v>
      </c>
    </row>
    <row r="731" customFormat="false" ht="31.5" hidden="false" customHeight="true" outlineLevel="0" collapsed="false">
      <c r="A731" s="12" t="n">
        <v>604</v>
      </c>
      <c r="B731" s="12" t="s">
        <v>5041</v>
      </c>
      <c r="C731" s="12" t="s">
        <v>2557</v>
      </c>
      <c r="D731" s="12"/>
      <c r="E731" s="12"/>
      <c r="F731" s="12"/>
      <c r="G731" s="12"/>
      <c r="H731" s="12"/>
      <c r="I731" s="12"/>
      <c r="J731" s="12"/>
      <c r="K731" s="12"/>
      <c r="L731" s="12"/>
      <c r="M731" s="12"/>
      <c r="N731" s="12"/>
      <c r="O731" s="13"/>
      <c r="P731" s="13" t="s">
        <v>5042</v>
      </c>
      <c r="Q731" s="13"/>
      <c r="R731" s="13"/>
      <c r="S731" s="13" t="s">
        <v>5043</v>
      </c>
      <c r="T731" s="12" t="s">
        <v>312</v>
      </c>
      <c r="U731" s="12" t="s">
        <v>5044</v>
      </c>
    </row>
    <row r="732" customFormat="false" ht="31.5" hidden="false" customHeight="true" outlineLevel="0" collapsed="false">
      <c r="A732" s="12" t="n">
        <v>605</v>
      </c>
      <c r="B732" s="12" t="s">
        <v>5045</v>
      </c>
      <c r="C732" s="12" t="s">
        <v>2666</v>
      </c>
      <c r="D732" s="12" t="s">
        <v>113</v>
      </c>
      <c r="E732" s="12" t="s">
        <v>83</v>
      </c>
      <c r="F732" s="12" t="n">
        <v>58305.1</v>
      </c>
      <c r="G732" s="12"/>
      <c r="H732" s="12" t="s">
        <v>1453</v>
      </c>
      <c r="I732" s="12"/>
      <c r="J732" s="12"/>
      <c r="K732" s="12"/>
      <c r="L732" s="12"/>
      <c r="M732" s="12"/>
      <c r="N732" s="12" t="n">
        <v>60008.6</v>
      </c>
      <c r="O732" s="13"/>
      <c r="P732" s="13" t="s">
        <v>5046</v>
      </c>
      <c r="Q732" s="13"/>
      <c r="R732" s="13"/>
      <c r="S732" s="13" t="s">
        <v>5047</v>
      </c>
      <c r="T732" s="12" t="s">
        <v>94</v>
      </c>
      <c r="U732" s="12" t="s">
        <v>5048</v>
      </c>
    </row>
    <row r="733" customFormat="false" ht="31.5" hidden="false" customHeight="true" outlineLevel="0" collapsed="false">
      <c r="A733" s="12" t="n">
        <v>607</v>
      </c>
      <c r="B733" s="12" t="s">
        <v>5049</v>
      </c>
      <c r="C733" s="12" t="s">
        <v>2516</v>
      </c>
      <c r="D733" s="12" t="s">
        <v>113</v>
      </c>
      <c r="E733" s="12" t="s">
        <v>83</v>
      </c>
      <c r="F733" s="12" t="n">
        <v>58000</v>
      </c>
      <c r="G733" s="12"/>
      <c r="H733" s="12"/>
      <c r="I733" s="12"/>
      <c r="J733" s="12"/>
      <c r="K733" s="12"/>
      <c r="L733" s="12"/>
      <c r="M733" s="12"/>
      <c r="N733" s="12"/>
      <c r="O733" s="13"/>
      <c r="P733" s="13" t="s">
        <v>5050</v>
      </c>
      <c r="Q733" s="13"/>
      <c r="R733" s="13"/>
      <c r="S733" s="13" t="s">
        <v>5051</v>
      </c>
      <c r="T733" s="12" t="s">
        <v>94</v>
      </c>
      <c r="U733" s="12" t="s">
        <v>5052</v>
      </c>
    </row>
    <row r="734" customFormat="false" ht="31.5" hidden="false" customHeight="true" outlineLevel="0" collapsed="false">
      <c r="A734" s="12" t="n">
        <v>607</v>
      </c>
      <c r="B734" s="12" t="s">
        <v>5049</v>
      </c>
      <c r="C734" s="12" t="s">
        <v>2527</v>
      </c>
      <c r="D734" s="12" t="s">
        <v>113</v>
      </c>
      <c r="E734" s="12"/>
      <c r="F734" s="12"/>
      <c r="G734" s="12"/>
      <c r="H734" s="12"/>
      <c r="I734" s="12"/>
      <c r="J734" s="12"/>
      <c r="K734" s="12"/>
      <c r="L734" s="12"/>
      <c r="M734" s="12"/>
      <c r="N734" s="12" t="n">
        <v>62000</v>
      </c>
      <c r="O734" s="13"/>
      <c r="P734" s="13" t="s">
        <v>5053</v>
      </c>
      <c r="Q734" s="13"/>
      <c r="R734" s="13" t="s">
        <v>1649</v>
      </c>
      <c r="S734" s="13" t="s">
        <v>5054</v>
      </c>
      <c r="T734" s="12" t="s">
        <v>94</v>
      </c>
      <c r="U734" s="12" t="s">
        <v>5052</v>
      </c>
    </row>
    <row r="735" customFormat="false" ht="31.5" hidden="false" customHeight="true" outlineLevel="0" collapsed="false">
      <c r="A735" s="12" t="n">
        <v>608</v>
      </c>
      <c r="B735" s="12" t="s">
        <v>1462</v>
      </c>
      <c r="C735" s="12" t="s">
        <v>2521</v>
      </c>
      <c r="D735" s="12" t="s">
        <v>113</v>
      </c>
      <c r="E735" s="12" t="s">
        <v>83</v>
      </c>
      <c r="F735" s="12" t="n">
        <v>59800</v>
      </c>
      <c r="G735" s="12"/>
      <c r="H735" s="12" t="s">
        <v>1463</v>
      </c>
      <c r="I735" s="12" t="n">
        <v>58200</v>
      </c>
      <c r="J735" s="12"/>
      <c r="K735" s="12"/>
      <c r="L735" s="12"/>
      <c r="M735" s="12"/>
      <c r="N735" s="12"/>
      <c r="O735" s="13" t="s">
        <v>577</v>
      </c>
      <c r="P735" s="13" t="s">
        <v>5055</v>
      </c>
      <c r="Q735" s="13"/>
      <c r="R735" s="13"/>
      <c r="S735" s="13" t="s">
        <v>5056</v>
      </c>
      <c r="T735" s="12" t="s">
        <v>94</v>
      </c>
      <c r="U735" s="12" t="s">
        <v>1471</v>
      </c>
    </row>
    <row r="736" customFormat="false" ht="31.5" hidden="false" customHeight="true" outlineLevel="0" collapsed="false">
      <c r="A736" s="12" t="n">
        <v>609</v>
      </c>
      <c r="B736" s="12" t="s">
        <v>1465</v>
      </c>
      <c r="C736" s="12" t="s">
        <v>128</v>
      </c>
      <c r="D736" s="12" t="s">
        <v>113</v>
      </c>
      <c r="E736" s="12" t="s">
        <v>83</v>
      </c>
      <c r="F736" s="12" t="n">
        <v>59800</v>
      </c>
      <c r="G736" s="12"/>
      <c r="H736" s="12" t="s">
        <v>1463</v>
      </c>
      <c r="I736" s="12"/>
      <c r="J736" s="12" t="n">
        <v>100</v>
      </c>
      <c r="K736" s="12"/>
      <c r="L736" s="12"/>
      <c r="M736" s="12"/>
      <c r="N736" s="12"/>
      <c r="O736" s="13"/>
      <c r="P736" s="13" t="s">
        <v>5057</v>
      </c>
      <c r="Q736" s="13"/>
      <c r="R736" s="13"/>
      <c r="S736" s="13" t="s">
        <v>5058</v>
      </c>
      <c r="T736" s="12" t="s">
        <v>94</v>
      </c>
      <c r="U736" s="12" t="s">
        <v>5059</v>
      </c>
    </row>
    <row r="737" customFormat="false" ht="31.5" hidden="false" customHeight="true" outlineLevel="0" collapsed="false">
      <c r="A737" s="12" t="n">
        <v>610</v>
      </c>
      <c r="B737" s="12" t="s">
        <v>1472</v>
      </c>
      <c r="C737" s="12" t="s">
        <v>2557</v>
      </c>
      <c r="D737" s="12" t="s">
        <v>317</v>
      </c>
      <c r="E737" s="12" t="s">
        <v>83</v>
      </c>
      <c r="F737" s="12"/>
      <c r="G737" s="12"/>
      <c r="H737" s="12" t="s">
        <v>5060</v>
      </c>
      <c r="I737" s="12"/>
      <c r="J737" s="12"/>
      <c r="K737" s="12" t="n">
        <v>10</v>
      </c>
      <c r="L737" s="12"/>
      <c r="M737" s="12"/>
      <c r="N737" s="12"/>
      <c r="O737" s="13" t="s">
        <v>5061</v>
      </c>
      <c r="P737" s="13" t="s">
        <v>5062</v>
      </c>
      <c r="Q737" s="13"/>
      <c r="R737" s="13"/>
      <c r="S737" s="13" t="s">
        <v>5063</v>
      </c>
      <c r="T737" s="12" t="s">
        <v>94</v>
      </c>
      <c r="U737" s="12" t="s">
        <v>1482</v>
      </c>
    </row>
    <row r="738" customFormat="false" ht="31.5" hidden="false" customHeight="true" outlineLevel="0" collapsed="false">
      <c r="A738" s="12" t="n">
        <v>611</v>
      </c>
      <c r="B738" s="12" t="s">
        <v>5064</v>
      </c>
      <c r="C738" s="12" t="s">
        <v>2557</v>
      </c>
      <c r="D738" s="12" t="s">
        <v>317</v>
      </c>
      <c r="E738" s="12" t="s">
        <v>83</v>
      </c>
      <c r="F738" s="12" t="n">
        <v>67.55</v>
      </c>
      <c r="G738" s="12"/>
      <c r="H738" s="12"/>
      <c r="I738" s="12"/>
      <c r="J738" s="12"/>
      <c r="K738" s="12" t="n">
        <v>10</v>
      </c>
      <c r="L738" s="12"/>
      <c r="M738" s="12" t="n">
        <v>40.71</v>
      </c>
      <c r="N738" s="12" t="n">
        <v>70.3</v>
      </c>
      <c r="O738" s="13"/>
      <c r="P738" s="13" t="s">
        <v>5065</v>
      </c>
      <c r="Q738" s="13"/>
      <c r="R738" s="13"/>
      <c r="S738" s="13" t="s">
        <v>5066</v>
      </c>
      <c r="T738" s="12" t="s">
        <v>94</v>
      </c>
      <c r="U738" s="12" t="s">
        <v>5067</v>
      </c>
    </row>
    <row r="739" customFormat="false" ht="31.5" hidden="false" customHeight="true" outlineLevel="0" collapsed="false">
      <c r="A739" s="12" t="n">
        <v>612</v>
      </c>
      <c r="B739" s="12" t="s">
        <v>5068</v>
      </c>
      <c r="C739" s="12" t="s">
        <v>2537</v>
      </c>
      <c r="D739" s="12" t="s">
        <v>317</v>
      </c>
      <c r="E739" s="12" t="s">
        <v>83</v>
      </c>
      <c r="F739" s="12"/>
      <c r="G739" s="12" t="n">
        <v>66</v>
      </c>
      <c r="H739" s="12"/>
      <c r="I739" s="12"/>
      <c r="J739" s="12"/>
      <c r="K739" s="12"/>
      <c r="L739" s="12"/>
      <c r="M739" s="12"/>
      <c r="N739" s="12"/>
      <c r="O739" s="13"/>
      <c r="P739" s="13" t="s">
        <v>5069</v>
      </c>
      <c r="Q739" s="13"/>
      <c r="R739" s="13"/>
      <c r="S739" s="13" t="s">
        <v>5070</v>
      </c>
      <c r="T739" s="12" t="s">
        <v>108</v>
      </c>
      <c r="U739" s="12" t="s">
        <v>5071</v>
      </c>
    </row>
    <row r="740" customFormat="false" ht="31.5" hidden="false" customHeight="true" outlineLevel="0" collapsed="false">
      <c r="A740" s="12" t="n">
        <v>613</v>
      </c>
      <c r="B740" s="12" t="s">
        <v>5072</v>
      </c>
      <c r="C740" s="12" t="s">
        <v>2516</v>
      </c>
      <c r="D740" s="12" t="s">
        <v>113</v>
      </c>
      <c r="E740" s="12" t="s">
        <v>83</v>
      </c>
      <c r="F740" s="12"/>
      <c r="G740" s="12"/>
      <c r="H740" s="12"/>
      <c r="I740" s="12"/>
      <c r="J740" s="12"/>
      <c r="K740" s="12"/>
      <c r="L740" s="12"/>
      <c r="M740" s="12"/>
      <c r="N740" s="12" t="n">
        <v>62000</v>
      </c>
      <c r="O740" s="13"/>
      <c r="P740" s="13" t="s">
        <v>5073</v>
      </c>
      <c r="Q740" s="13"/>
      <c r="R740" s="13" t="s">
        <v>5074</v>
      </c>
      <c r="S740" s="13" t="s">
        <v>5075</v>
      </c>
      <c r="T740" s="12" t="s">
        <v>94</v>
      </c>
      <c r="U740" s="12" t="s">
        <v>1501</v>
      </c>
    </row>
    <row r="741" customFormat="false" ht="31.5" hidden="false" customHeight="true" outlineLevel="0" collapsed="false">
      <c r="A741" s="12" t="n">
        <v>613</v>
      </c>
      <c r="B741" s="12" t="s">
        <v>5072</v>
      </c>
      <c r="C741" s="12" t="s">
        <v>2557</v>
      </c>
      <c r="D741" s="12" t="s">
        <v>1429</v>
      </c>
      <c r="E741" s="12" t="s">
        <v>83</v>
      </c>
      <c r="F741" s="12"/>
      <c r="G741" s="12"/>
      <c r="H741" s="12"/>
      <c r="I741" s="12"/>
      <c r="J741" s="12"/>
      <c r="K741" s="12"/>
      <c r="L741" s="12"/>
      <c r="M741" s="12"/>
      <c r="N741" s="12"/>
      <c r="O741" s="13"/>
      <c r="P741" s="13" t="s">
        <v>5076</v>
      </c>
      <c r="Q741" s="13"/>
      <c r="R741" s="13"/>
      <c r="S741" s="13" t="s">
        <v>5077</v>
      </c>
      <c r="T741" s="12" t="s">
        <v>94</v>
      </c>
      <c r="U741" s="12" t="s">
        <v>1501</v>
      </c>
    </row>
    <row r="742" customFormat="false" ht="31.5" hidden="false" customHeight="true" outlineLevel="0" collapsed="false">
      <c r="A742" s="12" t="n">
        <v>614</v>
      </c>
      <c r="B742" s="12" t="s">
        <v>5078</v>
      </c>
      <c r="C742" s="12" t="s">
        <v>2527</v>
      </c>
      <c r="D742" s="12" t="s">
        <v>317</v>
      </c>
      <c r="E742" s="12" t="s">
        <v>83</v>
      </c>
      <c r="F742" s="12"/>
      <c r="G742" s="12"/>
      <c r="H742" s="12"/>
      <c r="I742" s="12"/>
      <c r="J742" s="12"/>
      <c r="K742" s="12"/>
      <c r="L742" s="12"/>
      <c r="M742" s="12"/>
      <c r="N742" s="12" t="n">
        <v>75</v>
      </c>
      <c r="O742" s="13"/>
      <c r="P742" s="13" t="s">
        <v>5079</v>
      </c>
      <c r="Q742" s="13"/>
      <c r="R742" s="13" t="s">
        <v>1649</v>
      </c>
      <c r="S742" s="13" t="s">
        <v>5080</v>
      </c>
      <c r="T742" s="12" t="s">
        <v>94</v>
      </c>
      <c r="U742" s="12" t="s">
        <v>5081</v>
      </c>
    </row>
    <row r="743" customFormat="false" ht="31.5" hidden="false" customHeight="true" outlineLevel="0" collapsed="false">
      <c r="A743" s="12" t="n">
        <v>615</v>
      </c>
      <c r="B743" s="12" t="s">
        <v>1483</v>
      </c>
      <c r="C743" s="12" t="s">
        <v>2521</v>
      </c>
      <c r="D743" s="12" t="s">
        <v>562</v>
      </c>
      <c r="E743" s="12" t="s">
        <v>83</v>
      </c>
      <c r="F743" s="12" t="n">
        <v>2.6</v>
      </c>
      <c r="G743" s="12"/>
      <c r="H743" s="12"/>
      <c r="I743" s="12" t="n">
        <v>2</v>
      </c>
      <c r="J743" s="12"/>
      <c r="K743" s="12"/>
      <c r="L743" s="12"/>
      <c r="M743" s="12"/>
      <c r="N743" s="12"/>
      <c r="O743" s="13" t="s">
        <v>5082</v>
      </c>
      <c r="P743" s="13" t="s">
        <v>5083</v>
      </c>
      <c r="Q743" s="13"/>
      <c r="R743" s="13"/>
      <c r="S743" s="13" t="s">
        <v>5084</v>
      </c>
      <c r="T743" s="12" t="s">
        <v>94</v>
      </c>
      <c r="U743" s="12" t="s">
        <v>1491</v>
      </c>
    </row>
    <row r="744" customFormat="false" ht="31.5" hidden="false" customHeight="true" outlineLevel="0" collapsed="false">
      <c r="A744" s="12" t="n">
        <v>616</v>
      </c>
      <c r="B744" s="12" t="s">
        <v>1492</v>
      </c>
      <c r="C744" s="12" t="s">
        <v>2521</v>
      </c>
      <c r="D744" s="12" t="s">
        <v>113</v>
      </c>
      <c r="E744" s="12" t="s">
        <v>83</v>
      </c>
      <c r="F744" s="12" t="n">
        <v>60000</v>
      </c>
      <c r="G744" s="12"/>
      <c r="H744" s="12" t="s">
        <v>1494</v>
      </c>
      <c r="I744" s="12" t="n">
        <v>56800</v>
      </c>
      <c r="J744" s="12"/>
      <c r="K744" s="12"/>
      <c r="L744" s="12"/>
      <c r="M744" s="12"/>
      <c r="N744" s="12"/>
      <c r="O744" s="13"/>
      <c r="P744" s="13" t="s">
        <v>5085</v>
      </c>
      <c r="Q744" s="13"/>
      <c r="R744" s="13"/>
      <c r="S744" s="13" t="s">
        <v>5086</v>
      </c>
      <c r="T744" s="12" t="s">
        <v>94</v>
      </c>
      <c r="U744" s="12" t="s">
        <v>5087</v>
      </c>
    </row>
    <row r="745" customFormat="false" ht="31.5" hidden="false" customHeight="true" outlineLevel="0" collapsed="false">
      <c r="A745" s="12" t="n">
        <v>617</v>
      </c>
      <c r="B745" s="12" t="s">
        <v>5088</v>
      </c>
      <c r="C745" s="12" t="s">
        <v>2557</v>
      </c>
      <c r="D745" s="12" t="s">
        <v>1429</v>
      </c>
      <c r="E745" s="12" t="s">
        <v>83</v>
      </c>
      <c r="F745" s="12" t="n">
        <v>0.0001101</v>
      </c>
      <c r="G745" s="12"/>
      <c r="H745" s="12"/>
      <c r="I745" s="12"/>
      <c r="J745" s="12"/>
      <c r="K745" s="12"/>
      <c r="L745" s="12" t="n">
        <v>1.5</v>
      </c>
      <c r="M745" s="12"/>
      <c r="N745" s="12" t="n">
        <v>0.0001297</v>
      </c>
      <c r="O745" s="13"/>
      <c r="P745" s="13" t="s">
        <v>5089</v>
      </c>
      <c r="Q745" s="13" t="s">
        <v>1435</v>
      </c>
      <c r="R745" s="13"/>
      <c r="S745" s="13" t="s">
        <v>5090</v>
      </c>
      <c r="T745" s="12" t="s">
        <v>94</v>
      </c>
      <c r="U745" s="12" t="s">
        <v>5091</v>
      </c>
    </row>
    <row r="746" customFormat="false" ht="31.5" hidden="false" customHeight="true" outlineLevel="0" collapsed="false">
      <c r="A746" s="12" t="n">
        <v>618</v>
      </c>
      <c r="B746" s="12" t="s">
        <v>5092</v>
      </c>
      <c r="C746" s="12" t="s">
        <v>2557</v>
      </c>
      <c r="D746" s="12" t="s">
        <v>1429</v>
      </c>
      <c r="E746" s="12" t="s">
        <v>83</v>
      </c>
      <c r="F746" s="12" t="n">
        <v>0.0001101</v>
      </c>
      <c r="G746" s="12"/>
      <c r="H746" s="12"/>
      <c r="I746" s="12"/>
      <c r="J746" s="12"/>
      <c r="K746" s="12" t="n">
        <v>50</v>
      </c>
      <c r="L746" s="12"/>
      <c r="M746" s="12" t="n">
        <v>965.92</v>
      </c>
      <c r="N746" s="12" t="n">
        <v>0.0001314</v>
      </c>
      <c r="O746" s="13"/>
      <c r="P746" s="13" t="s">
        <v>5093</v>
      </c>
      <c r="Q746" s="13"/>
      <c r="R746" s="13"/>
      <c r="S746" s="13" t="s">
        <v>5094</v>
      </c>
      <c r="T746" s="12" t="s">
        <v>94</v>
      </c>
      <c r="U746" s="12" t="s">
        <v>5095</v>
      </c>
    </row>
    <row r="747" customFormat="false" ht="31.5" hidden="false" customHeight="true" outlineLevel="0" collapsed="false">
      <c r="A747" s="12" t="n">
        <v>619</v>
      </c>
      <c r="B747" s="12" t="s">
        <v>5096</v>
      </c>
      <c r="C747" s="12" t="s">
        <v>2588</v>
      </c>
      <c r="D747" s="12" t="s">
        <v>1429</v>
      </c>
      <c r="E747" s="12" t="s">
        <v>83</v>
      </c>
      <c r="F747" s="12"/>
      <c r="G747" s="12"/>
      <c r="H747" s="12"/>
      <c r="I747" s="12" t="n">
        <v>0.0001126</v>
      </c>
      <c r="J747" s="12"/>
      <c r="K747" s="12"/>
      <c r="L747" s="12"/>
      <c r="M747" s="12"/>
      <c r="N747" s="12"/>
      <c r="O747" s="13"/>
      <c r="P747" s="13" t="s">
        <v>5097</v>
      </c>
      <c r="Q747" s="13"/>
      <c r="R747" s="13"/>
      <c r="S747" s="13" t="s">
        <v>5098</v>
      </c>
      <c r="T747" s="12" t="s">
        <v>94</v>
      </c>
      <c r="U747" s="12" t="s">
        <v>5099</v>
      </c>
    </row>
    <row r="748" customFormat="false" ht="31.5" hidden="false" customHeight="true" outlineLevel="0" collapsed="false">
      <c r="A748" s="12" t="n">
        <v>619</v>
      </c>
      <c r="B748" s="12" t="s">
        <v>5096</v>
      </c>
      <c r="C748" s="12" t="s">
        <v>2581</v>
      </c>
      <c r="D748" s="12" t="s">
        <v>1429</v>
      </c>
      <c r="E748" s="12" t="s">
        <v>83</v>
      </c>
      <c r="F748" s="12"/>
      <c r="G748" s="12"/>
      <c r="H748" s="12"/>
      <c r="I748" s="12"/>
      <c r="J748" s="12" t="n">
        <v>20</v>
      </c>
      <c r="K748" s="12"/>
      <c r="L748" s="12" t="n">
        <v>1</v>
      </c>
      <c r="M748" s="12"/>
      <c r="N748" s="12"/>
      <c r="O748" s="13"/>
      <c r="P748" s="13" t="s">
        <v>5100</v>
      </c>
      <c r="Q748" s="13"/>
      <c r="R748" s="13"/>
      <c r="S748" s="13" t="s">
        <v>5101</v>
      </c>
      <c r="T748" s="12" t="s">
        <v>94</v>
      </c>
      <c r="U748" s="12" t="s">
        <v>5099</v>
      </c>
    </row>
    <row r="749" customFormat="false" ht="31.5" hidden="false" customHeight="true" outlineLevel="0" collapsed="false">
      <c r="A749" s="12" t="n">
        <v>620</v>
      </c>
      <c r="B749" s="12" t="s">
        <v>1502</v>
      </c>
      <c r="C749" s="12" t="s">
        <v>2521</v>
      </c>
      <c r="D749" s="12" t="s">
        <v>113</v>
      </c>
      <c r="E749" s="12" t="s">
        <v>259</v>
      </c>
      <c r="F749" s="12" t="n">
        <v>59700</v>
      </c>
      <c r="G749" s="12" t="n">
        <v>62000</v>
      </c>
      <c r="H749" s="12" t="s">
        <v>1504</v>
      </c>
      <c r="I749" s="12" t="n">
        <v>64000</v>
      </c>
      <c r="J749" s="12" t="n">
        <v>50</v>
      </c>
      <c r="K749" s="12"/>
      <c r="L749" s="12"/>
      <c r="M749" s="12"/>
      <c r="N749" s="12"/>
      <c r="O749" s="13" t="s">
        <v>5102</v>
      </c>
      <c r="P749" s="13" t="s">
        <v>5103</v>
      </c>
      <c r="Q749" s="13"/>
      <c r="R749" s="13"/>
      <c r="S749" s="13" t="s">
        <v>5104</v>
      </c>
      <c r="T749" s="12" t="s">
        <v>94</v>
      </c>
      <c r="U749" s="12" t="s">
        <v>1513</v>
      </c>
    </row>
    <row r="750" customFormat="false" ht="31.5" hidden="false" customHeight="true" outlineLevel="0" collapsed="false">
      <c r="A750" s="12" t="n">
        <v>621</v>
      </c>
      <c r="B750" s="12" t="s">
        <v>5105</v>
      </c>
      <c r="C750" s="12" t="s">
        <v>2516</v>
      </c>
      <c r="D750" s="12" t="s">
        <v>113</v>
      </c>
      <c r="E750" s="12" t="s">
        <v>83</v>
      </c>
      <c r="F750" s="12"/>
      <c r="G750" s="12"/>
      <c r="H750" s="12"/>
      <c r="I750" s="12"/>
      <c r="J750" s="12"/>
      <c r="K750" s="12"/>
      <c r="L750" s="12"/>
      <c r="M750" s="12"/>
      <c r="N750" s="12"/>
      <c r="O750" s="13"/>
      <c r="P750" s="13" t="s">
        <v>5106</v>
      </c>
      <c r="Q750" s="13" t="s">
        <v>1519</v>
      </c>
      <c r="R750" s="13"/>
      <c r="S750" s="13" t="s">
        <v>5107</v>
      </c>
      <c r="T750" s="12" t="s">
        <v>94</v>
      </c>
      <c r="U750" s="12" t="s">
        <v>1523</v>
      </c>
    </row>
    <row r="751" customFormat="false" ht="31.5" hidden="false" customHeight="true" outlineLevel="0" collapsed="false">
      <c r="A751" s="12" t="n">
        <v>622</v>
      </c>
      <c r="B751" s="12" t="s">
        <v>1514</v>
      </c>
      <c r="C751" s="12" t="s">
        <v>2557</v>
      </c>
      <c r="D751" s="12" t="s">
        <v>113</v>
      </c>
      <c r="E751" s="12" t="s">
        <v>83</v>
      </c>
      <c r="F751" s="12"/>
      <c r="G751" s="12"/>
      <c r="H751" s="12"/>
      <c r="I751" s="12"/>
      <c r="J751" s="12"/>
      <c r="K751" s="12"/>
      <c r="L751" s="12"/>
      <c r="M751" s="12"/>
      <c r="N751" s="12" t="n">
        <v>59000</v>
      </c>
      <c r="O751" s="13"/>
      <c r="P751" s="13" t="s">
        <v>5108</v>
      </c>
      <c r="Q751" s="13"/>
      <c r="R751" s="13" t="s">
        <v>5109</v>
      </c>
      <c r="S751" s="13" t="s">
        <v>5110</v>
      </c>
      <c r="T751" s="12" t="s">
        <v>108</v>
      </c>
      <c r="U751" s="12" t="s">
        <v>5111</v>
      </c>
    </row>
    <row r="752" customFormat="false" ht="31.5" hidden="false" customHeight="true" outlineLevel="0" collapsed="false">
      <c r="A752" s="12" t="n">
        <v>623</v>
      </c>
      <c r="B752" s="12" t="s">
        <v>1516</v>
      </c>
      <c r="C752" s="12" t="s">
        <v>2557</v>
      </c>
      <c r="D752" s="12" t="s">
        <v>113</v>
      </c>
      <c r="E752" s="12" t="s">
        <v>83</v>
      </c>
      <c r="F752" s="12" t="n">
        <v>59200</v>
      </c>
      <c r="G752" s="12"/>
      <c r="H752" s="12"/>
      <c r="I752" s="12"/>
      <c r="J752" s="12"/>
      <c r="K752" s="12" t="n">
        <v>150</v>
      </c>
      <c r="L752" s="12"/>
      <c r="M752" s="12" t="n">
        <v>218.89</v>
      </c>
      <c r="N752" s="12" t="n">
        <v>60063.9</v>
      </c>
      <c r="O752" s="13"/>
      <c r="P752" s="13" t="s">
        <v>5112</v>
      </c>
      <c r="Q752" s="13"/>
      <c r="R752" s="13"/>
      <c r="S752" s="13" t="s">
        <v>5113</v>
      </c>
      <c r="T752" s="12" t="s">
        <v>94</v>
      </c>
      <c r="U752" s="12" t="s">
        <v>5114</v>
      </c>
    </row>
    <row r="753" customFormat="false" ht="31.5" hidden="false" customHeight="true" outlineLevel="0" collapsed="false">
      <c r="A753" s="12" t="n">
        <v>624</v>
      </c>
      <c r="B753" s="12" t="s">
        <v>5115</v>
      </c>
      <c r="C753" s="12" t="s">
        <v>2527</v>
      </c>
      <c r="D753" s="12" t="s">
        <v>596</v>
      </c>
      <c r="E753" s="12" t="s">
        <v>83</v>
      </c>
      <c r="F753" s="12"/>
      <c r="G753" s="12"/>
      <c r="H753" s="12"/>
      <c r="I753" s="12"/>
      <c r="J753" s="12"/>
      <c r="K753" s="12"/>
      <c r="L753" s="12"/>
      <c r="M753" s="12"/>
      <c r="N753" s="12"/>
      <c r="O753" s="13"/>
      <c r="P753" s="13" t="s">
        <v>5116</v>
      </c>
      <c r="Q753" s="13"/>
      <c r="R753" s="13"/>
      <c r="S753" s="13" t="s">
        <v>5117</v>
      </c>
      <c r="T753" s="12" t="s">
        <v>108</v>
      </c>
      <c r="U753" s="12" t="s">
        <v>5118</v>
      </c>
    </row>
    <row r="754" customFormat="false" ht="31.5" hidden="false" customHeight="true" outlineLevel="0" collapsed="false">
      <c r="A754" s="12" t="n">
        <v>624</v>
      </c>
      <c r="B754" s="12" t="s">
        <v>5115</v>
      </c>
      <c r="C754" s="12" t="s">
        <v>2557</v>
      </c>
      <c r="D754" s="12" t="s">
        <v>317</v>
      </c>
      <c r="E754" s="12" t="s">
        <v>83</v>
      </c>
      <c r="F754" s="12" t="n">
        <v>68.46</v>
      </c>
      <c r="G754" s="12"/>
      <c r="H754" s="12" t="s">
        <v>1245</v>
      </c>
      <c r="I754" s="12"/>
      <c r="J754" s="12"/>
      <c r="K754" s="12" t="n">
        <v>10</v>
      </c>
      <c r="L754" s="12"/>
      <c r="M754" s="12" t="n">
        <v>110.42</v>
      </c>
      <c r="N754" s="12" t="n">
        <v>76.02</v>
      </c>
      <c r="O754" s="13"/>
      <c r="P754" s="13" t="s">
        <v>5119</v>
      </c>
      <c r="Q754" s="13"/>
      <c r="R754" s="13" t="s">
        <v>1649</v>
      </c>
      <c r="S754" s="13" t="s">
        <v>5120</v>
      </c>
      <c r="T754" s="12" t="s">
        <v>94</v>
      </c>
      <c r="U754" s="12" t="s">
        <v>5118</v>
      </c>
    </row>
    <row r="755" customFormat="false" ht="31.5" hidden="false" customHeight="true" outlineLevel="0" collapsed="false">
      <c r="A755" s="12" t="n">
        <v>625</v>
      </c>
      <c r="B755" s="12" t="s">
        <v>5121</v>
      </c>
      <c r="C755" s="12" t="s">
        <v>2527</v>
      </c>
      <c r="D755" s="12"/>
      <c r="E755" s="12"/>
      <c r="F755" s="12"/>
      <c r="G755" s="12"/>
      <c r="H755" s="12"/>
      <c r="I755" s="12"/>
      <c r="J755" s="12"/>
      <c r="K755" s="12"/>
      <c r="L755" s="12"/>
      <c r="M755" s="12"/>
      <c r="N755" s="12"/>
      <c r="O755" s="13"/>
      <c r="P755" s="13" t="s">
        <v>5122</v>
      </c>
      <c r="Q755" s="13"/>
      <c r="R755" s="13" t="s">
        <v>5123</v>
      </c>
      <c r="S755" s="13" t="s">
        <v>5124</v>
      </c>
      <c r="T755" s="12" t="s">
        <v>94</v>
      </c>
      <c r="U755" s="12" t="s">
        <v>5125</v>
      </c>
    </row>
    <row r="756" customFormat="false" ht="31.5" hidden="false" customHeight="true" outlineLevel="0" collapsed="false">
      <c r="A756" s="12" t="n">
        <v>626</v>
      </c>
      <c r="B756" s="12" t="s">
        <v>5126</v>
      </c>
      <c r="C756" s="12" t="s">
        <v>2527</v>
      </c>
      <c r="D756" s="12"/>
      <c r="E756" s="12"/>
      <c r="F756" s="12"/>
      <c r="G756" s="12"/>
      <c r="H756" s="12"/>
      <c r="I756" s="12"/>
      <c r="J756" s="12"/>
      <c r="K756" s="12"/>
      <c r="L756" s="12"/>
      <c r="M756" s="12"/>
      <c r="N756" s="12"/>
      <c r="O756" s="13"/>
      <c r="P756" s="13" t="s">
        <v>5127</v>
      </c>
      <c r="Q756" s="13"/>
      <c r="R756" s="13" t="s">
        <v>5128</v>
      </c>
      <c r="S756" s="13" t="s">
        <v>5129</v>
      </c>
      <c r="T756" s="12" t="s">
        <v>94</v>
      </c>
      <c r="U756" s="12" t="s">
        <v>5130</v>
      </c>
    </row>
    <row r="757" customFormat="false" ht="31.5" hidden="false" customHeight="true" outlineLevel="0" collapsed="false">
      <c r="A757" s="12" t="n">
        <v>627</v>
      </c>
      <c r="B757" s="12" t="s">
        <v>1524</v>
      </c>
      <c r="C757" s="12" t="s">
        <v>2521</v>
      </c>
      <c r="D757" s="12" t="s">
        <v>113</v>
      </c>
      <c r="E757" s="12" t="s">
        <v>83</v>
      </c>
      <c r="F757" s="12" t="n">
        <v>58300</v>
      </c>
      <c r="G757" s="12"/>
      <c r="H757" s="12"/>
      <c r="I757" s="12" t="n">
        <v>56300</v>
      </c>
      <c r="J757" s="12"/>
      <c r="K757" s="12"/>
      <c r="L757" s="12"/>
      <c r="M757" s="12"/>
      <c r="N757" s="12"/>
      <c r="O757" s="13"/>
      <c r="P757" s="13" t="s">
        <v>5131</v>
      </c>
      <c r="Q757" s="13"/>
      <c r="R757" s="13"/>
      <c r="S757" s="13" t="s">
        <v>5132</v>
      </c>
      <c r="T757" s="12" t="s">
        <v>94</v>
      </c>
      <c r="U757" s="12" t="s">
        <v>1537</v>
      </c>
    </row>
    <row r="758" customFormat="false" ht="31.5" hidden="false" customHeight="true" outlineLevel="0" collapsed="false">
      <c r="A758" s="12" t="n">
        <v>627</v>
      </c>
      <c r="B758" s="12" t="s">
        <v>1524</v>
      </c>
      <c r="C758" s="12" t="s">
        <v>2618</v>
      </c>
      <c r="D758" s="12" t="s">
        <v>113</v>
      </c>
      <c r="E758" s="12" t="s">
        <v>259</v>
      </c>
      <c r="F758" s="12" t="n">
        <v>60000</v>
      </c>
      <c r="G758" s="12"/>
      <c r="H758" s="12" t="s">
        <v>5133</v>
      </c>
      <c r="I758" s="12"/>
      <c r="J758" s="12"/>
      <c r="K758" s="12"/>
      <c r="L758" s="12"/>
      <c r="M758" s="12"/>
      <c r="N758" s="12"/>
      <c r="O758" s="13"/>
      <c r="P758" s="13" t="s">
        <v>5134</v>
      </c>
      <c r="Q758" s="13"/>
      <c r="R758" s="13"/>
      <c r="S758" s="13" t="s">
        <v>5135</v>
      </c>
      <c r="T758" s="12" t="s">
        <v>94</v>
      </c>
      <c r="U758" s="12" t="s">
        <v>1537</v>
      </c>
    </row>
    <row r="759" customFormat="false" ht="31.5" hidden="false" customHeight="true" outlineLevel="0" collapsed="false">
      <c r="A759" s="12" t="n">
        <v>628</v>
      </c>
      <c r="B759" s="12" t="s">
        <v>5136</v>
      </c>
      <c r="C759" s="12" t="s">
        <v>2618</v>
      </c>
      <c r="D759" s="12" t="s">
        <v>113</v>
      </c>
      <c r="E759" s="12" t="s">
        <v>259</v>
      </c>
      <c r="F759" s="12"/>
      <c r="G759" s="12"/>
      <c r="H759" s="12" t="s">
        <v>5133</v>
      </c>
      <c r="I759" s="12"/>
      <c r="J759" s="12"/>
      <c r="K759" s="12"/>
      <c r="L759" s="12"/>
      <c r="M759" s="12"/>
      <c r="N759" s="12"/>
      <c r="O759" s="13"/>
      <c r="P759" s="13" t="s">
        <v>5137</v>
      </c>
      <c r="Q759" s="13"/>
      <c r="R759" s="13"/>
      <c r="S759" s="13" t="s">
        <v>5138</v>
      </c>
      <c r="T759" s="12" t="s">
        <v>94</v>
      </c>
      <c r="U759" s="12" t="s">
        <v>5139</v>
      </c>
    </row>
    <row r="760" customFormat="false" ht="31.5" hidden="false" customHeight="true" outlineLevel="0" collapsed="false">
      <c r="A760" s="12" t="n">
        <v>629</v>
      </c>
      <c r="B760" s="12" t="s">
        <v>5140</v>
      </c>
      <c r="C760" s="12" t="s">
        <v>2670</v>
      </c>
      <c r="D760" s="12" t="s">
        <v>113</v>
      </c>
      <c r="E760" s="12" t="s">
        <v>83</v>
      </c>
      <c r="F760" s="12" t="n">
        <v>58300</v>
      </c>
      <c r="G760" s="12"/>
      <c r="H760" s="12" t="s">
        <v>5141</v>
      </c>
      <c r="I760" s="12"/>
      <c r="J760" s="12"/>
      <c r="K760" s="12"/>
      <c r="L760" s="12"/>
      <c r="M760" s="12"/>
      <c r="N760" s="12"/>
      <c r="O760" s="13"/>
      <c r="P760" s="13" t="s">
        <v>5142</v>
      </c>
      <c r="Q760" s="13"/>
      <c r="R760" s="13"/>
      <c r="S760" s="13" t="s">
        <v>5143</v>
      </c>
      <c r="T760" s="12" t="s">
        <v>94</v>
      </c>
      <c r="U760" s="12" t="s">
        <v>5144</v>
      </c>
    </row>
    <row r="761" customFormat="false" ht="31.5" hidden="false" customHeight="true" outlineLevel="0" collapsed="false">
      <c r="A761" s="12" t="n">
        <v>630</v>
      </c>
      <c r="B761" s="12" t="s">
        <v>1538</v>
      </c>
      <c r="C761" s="12" t="s">
        <v>2521</v>
      </c>
      <c r="D761" s="12" t="s">
        <v>596</v>
      </c>
      <c r="E761" s="12" t="s">
        <v>83</v>
      </c>
      <c r="F761" s="12" t="n">
        <v>64.8</v>
      </c>
      <c r="G761" s="12"/>
      <c r="H761" s="12" t="s">
        <v>1124</v>
      </c>
      <c r="I761" s="12" t="n">
        <v>62.7</v>
      </c>
      <c r="J761" s="12"/>
      <c r="K761" s="12"/>
      <c r="L761" s="12"/>
      <c r="M761" s="12"/>
      <c r="N761" s="12"/>
      <c r="O761" s="13" t="s">
        <v>5145</v>
      </c>
      <c r="P761" s="13" t="s">
        <v>5146</v>
      </c>
      <c r="Q761" s="13"/>
      <c r="R761" s="13" t="s">
        <v>5147</v>
      </c>
      <c r="S761" s="13" t="s">
        <v>5148</v>
      </c>
      <c r="T761" s="12" t="s">
        <v>94</v>
      </c>
      <c r="U761" s="12" t="s">
        <v>1546</v>
      </c>
    </row>
    <row r="762" customFormat="false" ht="31.5" hidden="false" customHeight="true" outlineLevel="0" collapsed="false">
      <c r="A762" s="12" t="n">
        <v>631</v>
      </c>
      <c r="B762" s="12" t="s">
        <v>5149</v>
      </c>
      <c r="C762" s="12" t="s">
        <v>2666</v>
      </c>
      <c r="D762" s="12" t="s">
        <v>113</v>
      </c>
      <c r="E762" s="12" t="s">
        <v>83</v>
      </c>
      <c r="F762" s="12"/>
      <c r="G762" s="12"/>
      <c r="H762" s="12" t="s">
        <v>5141</v>
      </c>
      <c r="I762" s="12"/>
      <c r="J762" s="12" t="n">
        <v>50</v>
      </c>
      <c r="K762" s="12"/>
      <c r="L762" s="12"/>
      <c r="M762" s="12"/>
      <c r="N762" s="12" t="n">
        <v>59104.4</v>
      </c>
      <c r="O762" s="13"/>
      <c r="P762" s="13" t="s">
        <v>5150</v>
      </c>
      <c r="Q762" s="13"/>
      <c r="R762" s="13"/>
      <c r="S762" s="13" t="s">
        <v>5151</v>
      </c>
      <c r="T762" s="12" t="s">
        <v>94</v>
      </c>
      <c r="U762" s="12" t="s">
        <v>5152</v>
      </c>
    </row>
    <row r="763" customFormat="false" ht="31.5" hidden="false" customHeight="true" outlineLevel="0" collapsed="false">
      <c r="A763" s="12" t="n">
        <v>631</v>
      </c>
      <c r="B763" s="12" t="s">
        <v>5149</v>
      </c>
      <c r="C763" s="12" t="s">
        <v>2618</v>
      </c>
      <c r="D763" s="12" t="s">
        <v>113</v>
      </c>
      <c r="E763" s="12" t="s">
        <v>83</v>
      </c>
      <c r="F763" s="12"/>
      <c r="G763" s="12"/>
      <c r="H763" s="12" t="s">
        <v>1070</v>
      </c>
      <c r="I763" s="12"/>
      <c r="J763" s="12"/>
      <c r="K763" s="12"/>
      <c r="L763" s="12"/>
      <c r="M763" s="12"/>
      <c r="N763" s="12"/>
      <c r="O763" s="13"/>
      <c r="P763" s="13" t="s">
        <v>5153</v>
      </c>
      <c r="Q763" s="13"/>
      <c r="R763" s="13"/>
      <c r="S763" s="13" t="s">
        <v>5154</v>
      </c>
      <c r="T763" s="12" t="s">
        <v>94</v>
      </c>
      <c r="U763" s="12" t="s">
        <v>5152</v>
      </c>
    </row>
    <row r="764" customFormat="false" ht="31.5" hidden="false" customHeight="true" outlineLevel="0" collapsed="false">
      <c r="A764" s="12" t="n">
        <v>631</v>
      </c>
      <c r="B764" s="12" t="s">
        <v>5149</v>
      </c>
      <c r="C764" s="12" t="s">
        <v>2588</v>
      </c>
      <c r="D764" s="12" t="s">
        <v>113</v>
      </c>
      <c r="E764" s="12" t="s">
        <v>83</v>
      </c>
      <c r="F764" s="12"/>
      <c r="G764" s="12"/>
      <c r="H764" s="12"/>
      <c r="I764" s="12" t="n">
        <v>57000</v>
      </c>
      <c r="J764" s="12"/>
      <c r="K764" s="12"/>
      <c r="L764" s="12"/>
      <c r="M764" s="12"/>
      <c r="N764" s="12"/>
      <c r="O764" s="13"/>
      <c r="P764" s="13" t="s">
        <v>5155</v>
      </c>
      <c r="Q764" s="13"/>
      <c r="R764" s="13"/>
      <c r="S764" s="13" t="s">
        <v>5156</v>
      </c>
      <c r="T764" s="12" t="s">
        <v>94</v>
      </c>
      <c r="U764" s="12" t="s">
        <v>5152</v>
      </c>
    </row>
    <row r="765" customFormat="false" ht="31.5" hidden="false" customHeight="true" outlineLevel="0" collapsed="false">
      <c r="A765" s="12" t="n">
        <v>631</v>
      </c>
      <c r="B765" s="12" t="s">
        <v>5149</v>
      </c>
      <c r="C765" s="12" t="s">
        <v>2537</v>
      </c>
      <c r="D765" s="12" t="s">
        <v>113</v>
      </c>
      <c r="E765" s="12" t="s">
        <v>83</v>
      </c>
      <c r="F765" s="12"/>
      <c r="G765" s="12" t="n">
        <v>58200</v>
      </c>
      <c r="H765" s="12"/>
      <c r="I765" s="12"/>
      <c r="J765" s="12" t="n">
        <v>25</v>
      </c>
      <c r="K765" s="12"/>
      <c r="L765" s="12"/>
      <c r="M765" s="12"/>
      <c r="N765" s="12"/>
      <c r="O765" s="13"/>
      <c r="P765" s="13" t="s">
        <v>5157</v>
      </c>
      <c r="Q765" s="13"/>
      <c r="R765" s="13"/>
      <c r="S765" s="13" t="s">
        <v>5158</v>
      </c>
      <c r="T765" s="12" t="s">
        <v>94</v>
      </c>
      <c r="U765" s="12" t="s">
        <v>5152</v>
      </c>
    </row>
    <row r="766" customFormat="false" ht="31.5" hidden="false" customHeight="true" outlineLevel="0" collapsed="false">
      <c r="A766" s="12" t="n">
        <v>632</v>
      </c>
      <c r="B766" s="12" t="s">
        <v>5159</v>
      </c>
      <c r="C766" s="12" t="s">
        <v>2557</v>
      </c>
      <c r="D766" s="12" t="s">
        <v>113</v>
      </c>
      <c r="E766" s="12" t="s">
        <v>83</v>
      </c>
      <c r="F766" s="12"/>
      <c r="G766" s="12"/>
      <c r="H766" s="12"/>
      <c r="I766" s="12"/>
      <c r="J766" s="12"/>
      <c r="K766" s="12"/>
      <c r="L766" s="12"/>
      <c r="M766" s="12"/>
      <c r="N766" s="12"/>
      <c r="O766" s="13" t="s">
        <v>5160</v>
      </c>
      <c r="P766" s="13" t="s">
        <v>5161</v>
      </c>
      <c r="Q766" s="13"/>
      <c r="R766" s="13"/>
      <c r="S766" s="13" t="s">
        <v>5162</v>
      </c>
      <c r="T766" s="12" t="s">
        <v>108</v>
      </c>
      <c r="U766" s="12" t="s">
        <v>5163</v>
      </c>
    </row>
    <row r="767" customFormat="false" ht="31.5" hidden="false" customHeight="true" outlineLevel="0" collapsed="false">
      <c r="A767" s="12" t="n">
        <v>633</v>
      </c>
      <c r="B767" s="12" t="s">
        <v>5164</v>
      </c>
      <c r="C767" s="12" t="s">
        <v>2516</v>
      </c>
      <c r="D767" s="12" t="s">
        <v>113</v>
      </c>
      <c r="E767" s="12" t="s">
        <v>83</v>
      </c>
      <c r="F767" s="12"/>
      <c r="G767" s="12"/>
      <c r="H767" s="12"/>
      <c r="I767" s="12"/>
      <c r="J767" s="12"/>
      <c r="K767" s="12"/>
      <c r="L767" s="12"/>
      <c r="M767" s="12"/>
      <c r="N767" s="12" t="n">
        <v>59300</v>
      </c>
      <c r="O767" s="13"/>
      <c r="P767" s="13" t="s">
        <v>5165</v>
      </c>
      <c r="Q767" s="13" t="s">
        <v>2132</v>
      </c>
      <c r="R767" s="13"/>
      <c r="S767" s="13" t="s">
        <v>5166</v>
      </c>
      <c r="T767" s="12" t="s">
        <v>108</v>
      </c>
      <c r="U767" s="12" t="s">
        <v>5167</v>
      </c>
    </row>
    <row r="768" customFormat="false" ht="31.5" hidden="false" customHeight="true" outlineLevel="0" collapsed="false">
      <c r="A768" s="12" t="n">
        <v>634</v>
      </c>
      <c r="B768" s="12" t="s">
        <v>1547</v>
      </c>
      <c r="C768" s="12" t="s">
        <v>2557</v>
      </c>
      <c r="D768" s="12" t="s">
        <v>113</v>
      </c>
      <c r="E768" s="12" t="s">
        <v>83</v>
      </c>
      <c r="F768" s="12"/>
      <c r="G768" s="12"/>
      <c r="H768" s="12"/>
      <c r="I768" s="12"/>
      <c r="J768" s="12" t="n">
        <v>50</v>
      </c>
      <c r="K768" s="12"/>
      <c r="L768" s="12"/>
      <c r="M768" s="12"/>
      <c r="N768" s="12" t="n">
        <v>59200</v>
      </c>
      <c r="O768" s="13"/>
      <c r="P768" s="13" t="s">
        <v>5168</v>
      </c>
      <c r="Q768" s="13"/>
      <c r="R768" s="13"/>
      <c r="S768" s="13" t="s">
        <v>5169</v>
      </c>
      <c r="T768" s="12" t="s">
        <v>94</v>
      </c>
      <c r="U768" s="12" t="s">
        <v>1555</v>
      </c>
    </row>
    <row r="769" customFormat="false" ht="31.5" hidden="false" customHeight="true" outlineLevel="0" collapsed="false">
      <c r="A769" s="12" t="n">
        <v>634</v>
      </c>
      <c r="B769" s="12" t="s">
        <v>1547</v>
      </c>
      <c r="C769" s="12" t="s">
        <v>2521</v>
      </c>
      <c r="D769" s="12" t="s">
        <v>113</v>
      </c>
      <c r="E769" s="12" t="s">
        <v>83</v>
      </c>
      <c r="F769" s="12" t="n">
        <v>58400</v>
      </c>
      <c r="G769" s="12"/>
      <c r="H769" s="12"/>
      <c r="I769" s="12" t="n">
        <v>57000</v>
      </c>
      <c r="J769" s="12"/>
      <c r="K769" s="12"/>
      <c r="L769" s="12"/>
      <c r="M769" s="12"/>
      <c r="N769" s="12"/>
      <c r="O769" s="13"/>
      <c r="P769" s="13" t="s">
        <v>5170</v>
      </c>
      <c r="Q769" s="13"/>
      <c r="R769" s="13"/>
      <c r="S769" s="13" t="s">
        <v>5171</v>
      </c>
      <c r="T769" s="12" t="s">
        <v>94</v>
      </c>
      <c r="U769" s="12" t="s">
        <v>1555</v>
      </c>
    </row>
    <row r="770" customFormat="false" ht="31.5" hidden="false" customHeight="true" outlineLevel="0" collapsed="false">
      <c r="A770" s="12" t="n">
        <v>634</v>
      </c>
      <c r="B770" s="12" t="s">
        <v>1547</v>
      </c>
      <c r="C770" s="12" t="s">
        <v>2537</v>
      </c>
      <c r="D770" s="12" t="s">
        <v>113</v>
      </c>
      <c r="E770" s="12" t="s">
        <v>83</v>
      </c>
      <c r="F770" s="12"/>
      <c r="G770" s="12" t="n">
        <v>58000</v>
      </c>
      <c r="H770" s="12"/>
      <c r="I770" s="12"/>
      <c r="J770" s="12" t="n">
        <v>25</v>
      </c>
      <c r="K770" s="12"/>
      <c r="L770" s="12"/>
      <c r="M770" s="12"/>
      <c r="N770" s="12"/>
      <c r="O770" s="13"/>
      <c r="P770" s="13" t="s">
        <v>5172</v>
      </c>
      <c r="Q770" s="13"/>
      <c r="R770" s="13"/>
      <c r="S770" s="13" t="s">
        <v>5173</v>
      </c>
      <c r="T770" s="12" t="s">
        <v>94</v>
      </c>
      <c r="U770" s="12" t="s">
        <v>1555</v>
      </c>
    </row>
    <row r="771" customFormat="false" ht="31.5" hidden="false" customHeight="true" outlineLevel="0" collapsed="false">
      <c r="A771" s="12" t="n">
        <v>635</v>
      </c>
      <c r="B771" s="12" t="s">
        <v>1549</v>
      </c>
      <c r="C771" s="12" t="s">
        <v>2630</v>
      </c>
      <c r="D771" s="12" t="s">
        <v>113</v>
      </c>
      <c r="E771" s="12" t="s">
        <v>83</v>
      </c>
      <c r="F771" s="12" t="n">
        <v>58372.7</v>
      </c>
      <c r="G771" s="12"/>
      <c r="H771" s="12"/>
      <c r="I771" s="12"/>
      <c r="J771" s="12" t="n">
        <v>100</v>
      </c>
      <c r="K771" s="12" t="n">
        <v>150</v>
      </c>
      <c r="L771" s="12"/>
      <c r="M771" s="12" t="n">
        <v>150.34</v>
      </c>
      <c r="N771" s="12" t="n">
        <v>58957.8</v>
      </c>
      <c r="O771" s="13"/>
      <c r="P771" s="13" t="s">
        <v>5174</v>
      </c>
      <c r="Q771" s="13"/>
      <c r="R771" s="13"/>
      <c r="S771" s="13" t="s">
        <v>5175</v>
      </c>
      <c r="T771" s="12" t="s">
        <v>94</v>
      </c>
      <c r="U771" s="12" t="s">
        <v>5176</v>
      </c>
    </row>
    <row r="772" customFormat="false" ht="31.5" hidden="false" customHeight="true" outlineLevel="0" collapsed="false">
      <c r="A772" s="12" t="n">
        <v>636</v>
      </c>
      <c r="B772" s="12" t="s">
        <v>1530</v>
      </c>
      <c r="C772" s="12" t="s">
        <v>2557</v>
      </c>
      <c r="D772" s="12" t="s">
        <v>113</v>
      </c>
      <c r="E772" s="12" t="s">
        <v>83</v>
      </c>
      <c r="F772" s="12" t="n">
        <v>58486.2</v>
      </c>
      <c r="G772" s="12"/>
      <c r="H772" s="12"/>
      <c r="I772" s="12"/>
      <c r="J772" s="12"/>
      <c r="K772" s="12" t="n">
        <v>150</v>
      </c>
      <c r="L772" s="12" t="n">
        <v>0.5</v>
      </c>
      <c r="M772" s="12" t="n">
        <v>119.03</v>
      </c>
      <c r="N772" s="12" t="n">
        <v>58950.3</v>
      </c>
      <c r="O772" s="13"/>
      <c r="P772" s="13" t="s">
        <v>5177</v>
      </c>
      <c r="Q772" s="13"/>
      <c r="R772" s="13"/>
      <c r="S772" s="13" t="s">
        <v>5178</v>
      </c>
      <c r="T772" s="12" t="s">
        <v>94</v>
      </c>
      <c r="U772" s="12" t="s">
        <v>5179</v>
      </c>
    </row>
    <row r="773" customFormat="false" ht="31.5" hidden="false" customHeight="true" outlineLevel="0" collapsed="false">
      <c r="A773" s="12" t="n">
        <v>636</v>
      </c>
      <c r="B773" s="12" t="s">
        <v>1530</v>
      </c>
      <c r="C773" s="12" t="s">
        <v>2557</v>
      </c>
      <c r="D773" s="12" t="s">
        <v>113</v>
      </c>
      <c r="E773" s="12" t="s">
        <v>83</v>
      </c>
      <c r="F773" s="12" t="n">
        <v>58372.7</v>
      </c>
      <c r="G773" s="12"/>
      <c r="H773" s="12"/>
      <c r="I773" s="12"/>
      <c r="J773" s="12"/>
      <c r="K773" s="12" t="n">
        <v>150</v>
      </c>
      <c r="L773" s="12" t="n">
        <v>0.5</v>
      </c>
      <c r="M773" s="12" t="n">
        <v>150.34</v>
      </c>
      <c r="N773" s="12" t="n">
        <v>58957.8</v>
      </c>
      <c r="O773" s="13"/>
      <c r="P773" s="13" t="s">
        <v>5180</v>
      </c>
      <c r="Q773" s="13"/>
      <c r="R773" s="13"/>
      <c r="S773" s="13" t="s">
        <v>5178</v>
      </c>
      <c r="T773" s="12" t="s">
        <v>94</v>
      </c>
      <c r="U773" s="12" t="s">
        <v>5179</v>
      </c>
    </row>
    <row r="774" customFormat="false" ht="31.5" hidden="false" customHeight="true" outlineLevel="0" collapsed="false">
      <c r="A774" s="12" t="n">
        <v>636</v>
      </c>
      <c r="B774" s="12" t="s">
        <v>1530</v>
      </c>
      <c r="C774" s="12" t="s">
        <v>2557</v>
      </c>
      <c r="D774" s="12" t="s">
        <v>113</v>
      </c>
      <c r="E774" s="12" t="s">
        <v>259</v>
      </c>
      <c r="F774" s="12"/>
      <c r="G774" s="12"/>
      <c r="H774" s="12"/>
      <c r="I774" s="12"/>
      <c r="J774" s="12"/>
      <c r="K774" s="12"/>
      <c r="L774" s="12"/>
      <c r="M774" s="12"/>
      <c r="N774" s="12"/>
      <c r="O774" s="13"/>
      <c r="P774" s="13" t="s">
        <v>5181</v>
      </c>
      <c r="Q774" s="13"/>
      <c r="R774" s="13"/>
      <c r="S774" s="13" t="s">
        <v>5182</v>
      </c>
      <c r="T774" s="12" t="s">
        <v>94</v>
      </c>
      <c r="U774" s="12" t="s">
        <v>5179</v>
      </c>
    </row>
    <row r="775" customFormat="false" ht="31.5" hidden="false" customHeight="true" outlineLevel="0" collapsed="false">
      <c r="A775" s="12" t="n">
        <v>637</v>
      </c>
      <c r="B775" s="12" t="s">
        <v>1507</v>
      </c>
      <c r="C775" s="12" t="s">
        <v>2630</v>
      </c>
      <c r="D775" s="12" t="s">
        <v>113</v>
      </c>
      <c r="E775" s="12" t="s">
        <v>259</v>
      </c>
      <c r="F775" s="12" t="n">
        <v>59972.9</v>
      </c>
      <c r="G775" s="12"/>
      <c r="H775" s="12"/>
      <c r="I775" s="12"/>
      <c r="J775" s="12" t="n">
        <v>100</v>
      </c>
      <c r="K775" s="12" t="n">
        <v>150</v>
      </c>
      <c r="L775" s="12"/>
      <c r="M775" s="12" t="n">
        <v>163.77</v>
      </c>
      <c r="N775" s="12" t="n">
        <v>59318.1</v>
      </c>
      <c r="O775" s="13"/>
      <c r="P775" s="13" t="s">
        <v>5183</v>
      </c>
      <c r="Q775" s="13"/>
      <c r="R775" s="13"/>
      <c r="S775" s="13" t="s">
        <v>5184</v>
      </c>
      <c r="T775" s="12" t="s">
        <v>94</v>
      </c>
      <c r="U775" s="12" t="s">
        <v>5185</v>
      </c>
    </row>
    <row r="776" customFormat="false" ht="31.5" hidden="false" customHeight="true" outlineLevel="0" collapsed="false">
      <c r="A776" s="12" t="n">
        <v>638</v>
      </c>
      <c r="B776" s="12" t="s">
        <v>5186</v>
      </c>
      <c r="C776" s="12" t="s">
        <v>2630</v>
      </c>
      <c r="D776" s="12" t="s">
        <v>113</v>
      </c>
      <c r="E776" s="12" t="s">
        <v>83</v>
      </c>
      <c r="F776" s="12"/>
      <c r="G776" s="12"/>
      <c r="H776" s="12"/>
      <c r="I776" s="12"/>
      <c r="J776" s="12" t="n">
        <v>100</v>
      </c>
      <c r="K776" s="12"/>
      <c r="L776" s="12"/>
      <c r="M776" s="12"/>
      <c r="N776" s="12" t="n">
        <v>59200</v>
      </c>
      <c r="O776" s="13"/>
      <c r="P776" s="13" t="s">
        <v>5187</v>
      </c>
      <c r="Q776" s="13"/>
      <c r="R776" s="13"/>
      <c r="S776" s="13" t="s">
        <v>5188</v>
      </c>
      <c r="T776" s="12" t="s">
        <v>94</v>
      </c>
      <c r="U776" s="12" t="s">
        <v>5189</v>
      </c>
    </row>
    <row r="777" customFormat="false" ht="31.5" hidden="false" customHeight="true" outlineLevel="0" collapsed="false">
      <c r="A777" s="12" t="n">
        <v>638</v>
      </c>
      <c r="B777" s="12" t="s">
        <v>5186</v>
      </c>
      <c r="C777" s="12" t="s">
        <v>2630</v>
      </c>
      <c r="D777" s="12" t="s">
        <v>113</v>
      </c>
      <c r="E777" s="12" t="s">
        <v>83</v>
      </c>
      <c r="F777" s="12"/>
      <c r="G777" s="12"/>
      <c r="H777" s="12"/>
      <c r="I777" s="12"/>
      <c r="J777" s="12" t="n">
        <v>100</v>
      </c>
      <c r="K777" s="12"/>
      <c r="L777" s="12"/>
      <c r="M777" s="12"/>
      <c r="N777" s="12" t="n">
        <v>59000</v>
      </c>
      <c r="O777" s="13"/>
      <c r="P777" s="13" t="s">
        <v>5190</v>
      </c>
      <c r="Q777" s="13"/>
      <c r="R777" s="13"/>
      <c r="S777" s="13" t="s">
        <v>5191</v>
      </c>
      <c r="T777" s="12" t="s">
        <v>94</v>
      </c>
      <c r="U777" s="12" t="s">
        <v>5189</v>
      </c>
    </row>
    <row r="778" customFormat="false" ht="31.5" hidden="false" customHeight="true" outlineLevel="0" collapsed="false">
      <c r="A778" s="12" t="n">
        <v>639</v>
      </c>
      <c r="B778" s="12" t="s">
        <v>1540</v>
      </c>
      <c r="C778" s="12" t="s">
        <v>2564</v>
      </c>
      <c r="D778" s="12" t="s">
        <v>596</v>
      </c>
      <c r="E778" s="12" t="s">
        <v>83</v>
      </c>
      <c r="F778" s="12"/>
      <c r="G778" s="12"/>
      <c r="H778" s="12"/>
      <c r="I778" s="12"/>
      <c r="J778" s="12"/>
      <c r="K778" s="12"/>
      <c r="L778" s="12"/>
      <c r="M778" s="12"/>
      <c r="N778" s="12"/>
      <c r="O778" s="13" t="s">
        <v>5192</v>
      </c>
      <c r="P778" s="13" t="s">
        <v>5193</v>
      </c>
      <c r="Q778" s="13"/>
      <c r="R778" s="13"/>
      <c r="S778" s="13" t="s">
        <v>5194</v>
      </c>
      <c r="T778" s="12" t="s">
        <v>94</v>
      </c>
      <c r="U778" s="12" t="s">
        <v>5195</v>
      </c>
    </row>
    <row r="779" customFormat="false" ht="31.5" hidden="false" customHeight="true" outlineLevel="0" collapsed="false">
      <c r="A779" s="12" t="n">
        <v>640</v>
      </c>
      <c r="B779" s="12" t="s">
        <v>1556</v>
      </c>
      <c r="C779" s="12" t="s">
        <v>2521</v>
      </c>
      <c r="D779" s="12" t="s">
        <v>1404</v>
      </c>
      <c r="E779" s="12" t="s">
        <v>259</v>
      </c>
      <c r="F779" s="12" t="n">
        <v>0.239</v>
      </c>
      <c r="G779" s="12"/>
      <c r="H779" s="12"/>
      <c r="I779" s="12" t="n">
        <v>0.2703</v>
      </c>
      <c r="J779" s="12"/>
      <c r="K779" s="12"/>
      <c r="L779" s="12"/>
      <c r="M779" s="12"/>
      <c r="N779" s="12"/>
      <c r="O779" s="13" t="s">
        <v>1558</v>
      </c>
      <c r="P779" s="13" t="s">
        <v>5196</v>
      </c>
      <c r="Q779" s="13"/>
      <c r="R779" s="13"/>
      <c r="S779" s="13" t="s">
        <v>5197</v>
      </c>
      <c r="T779" s="12" t="s">
        <v>94</v>
      </c>
      <c r="U779" s="12" t="s">
        <v>1564</v>
      </c>
    </row>
    <row r="780" customFormat="false" ht="31.5" hidden="false" customHeight="true" outlineLevel="0" collapsed="false">
      <c r="A780" s="12" t="n">
        <v>641</v>
      </c>
      <c r="B780" s="12" t="s">
        <v>1565</v>
      </c>
      <c r="C780" s="12" t="s">
        <v>2630</v>
      </c>
      <c r="D780" s="12" t="s">
        <v>113</v>
      </c>
      <c r="E780" s="12" t="s">
        <v>83</v>
      </c>
      <c r="F780" s="12" t="n">
        <v>58637.9</v>
      </c>
      <c r="G780" s="12"/>
      <c r="H780" s="12"/>
      <c r="I780" s="12"/>
      <c r="J780" s="12" t="n">
        <v>100</v>
      </c>
      <c r="K780" s="12" t="n">
        <v>250</v>
      </c>
      <c r="L780" s="12"/>
      <c r="M780" s="12" t="n">
        <v>554.97</v>
      </c>
      <c r="N780" s="12" t="n">
        <v>59939.6</v>
      </c>
      <c r="O780" s="13"/>
      <c r="P780" s="13" t="s">
        <v>5198</v>
      </c>
      <c r="Q780" s="13"/>
      <c r="R780" s="13"/>
      <c r="S780" s="13" t="s">
        <v>5199</v>
      </c>
      <c r="T780" s="12" t="s">
        <v>108</v>
      </c>
      <c r="U780" s="12" t="s">
        <v>1572</v>
      </c>
    </row>
    <row r="781" customFormat="false" ht="31.5" hidden="false" customHeight="true" outlineLevel="0" collapsed="false">
      <c r="A781" s="12" t="n">
        <v>641</v>
      </c>
      <c r="B781" s="12" t="s">
        <v>1565</v>
      </c>
      <c r="C781" s="12" t="s">
        <v>2549</v>
      </c>
      <c r="D781" s="12" t="s">
        <v>113</v>
      </c>
      <c r="E781" s="12" t="s">
        <v>83</v>
      </c>
      <c r="F781" s="12"/>
      <c r="G781" s="12"/>
      <c r="H781" s="12"/>
      <c r="I781" s="12"/>
      <c r="J781" s="12"/>
      <c r="K781" s="12"/>
      <c r="L781" s="12"/>
      <c r="M781" s="12"/>
      <c r="N781" s="12"/>
      <c r="O781" s="13"/>
      <c r="P781" s="13" t="s">
        <v>5200</v>
      </c>
      <c r="Q781" s="13"/>
      <c r="R781" s="13" t="s">
        <v>5201</v>
      </c>
      <c r="S781" s="13" t="s">
        <v>5199</v>
      </c>
      <c r="T781" s="12" t="s">
        <v>94</v>
      </c>
      <c r="U781" s="12" t="s">
        <v>1572</v>
      </c>
    </row>
    <row r="782" customFormat="false" ht="31.5" hidden="false" customHeight="true" outlineLevel="0" collapsed="false">
      <c r="A782" s="12" t="n">
        <v>641</v>
      </c>
      <c r="B782" s="12" t="s">
        <v>1565</v>
      </c>
      <c r="C782" s="12" t="s">
        <v>2557</v>
      </c>
      <c r="D782" s="12" t="s">
        <v>113</v>
      </c>
      <c r="E782" s="12" t="s">
        <v>259</v>
      </c>
      <c r="F782" s="12"/>
      <c r="G782" s="12"/>
      <c r="H782" s="12"/>
      <c r="I782" s="12"/>
      <c r="J782" s="12"/>
      <c r="K782" s="12"/>
      <c r="L782" s="12"/>
      <c r="M782" s="12"/>
      <c r="N782" s="12"/>
      <c r="O782" s="13"/>
      <c r="P782" s="13" t="s">
        <v>5202</v>
      </c>
      <c r="Q782" s="13"/>
      <c r="R782" s="13"/>
      <c r="S782" s="13" t="s">
        <v>5203</v>
      </c>
      <c r="T782" s="12" t="s">
        <v>94</v>
      </c>
      <c r="U782" s="12" t="s">
        <v>1572</v>
      </c>
    </row>
    <row r="783" customFormat="false" ht="31.5" hidden="false" customHeight="true" outlineLevel="0" collapsed="false">
      <c r="A783" s="12" t="n">
        <v>642</v>
      </c>
      <c r="B783" s="12" t="s">
        <v>1486</v>
      </c>
      <c r="C783" s="12" t="s">
        <v>2630</v>
      </c>
      <c r="D783" s="12" t="s">
        <v>562</v>
      </c>
      <c r="E783" s="12" t="s">
        <v>83</v>
      </c>
      <c r="F783" s="12" t="n">
        <v>2.6</v>
      </c>
      <c r="G783" s="12"/>
      <c r="H783" s="12"/>
      <c r="I783" s="12"/>
      <c r="J783" s="12" t="n">
        <v>100</v>
      </c>
      <c r="K783" s="12"/>
      <c r="L783" s="12"/>
      <c r="M783" s="12" t="n">
        <v>40</v>
      </c>
      <c r="N783" s="12"/>
      <c r="O783" s="13"/>
      <c r="P783" s="13" t="s">
        <v>5204</v>
      </c>
      <c r="Q783" s="13"/>
      <c r="R783" s="13"/>
      <c r="S783" s="13" t="s">
        <v>5205</v>
      </c>
      <c r="T783" s="12" t="s">
        <v>94</v>
      </c>
      <c r="U783" s="12" t="s">
        <v>5206</v>
      </c>
    </row>
    <row r="784" customFormat="false" ht="31.5" hidden="false" customHeight="true" outlineLevel="0" collapsed="false">
      <c r="A784" s="12" t="n">
        <v>642</v>
      </c>
      <c r="B784" s="12" t="s">
        <v>1486</v>
      </c>
      <c r="C784" s="12" t="s">
        <v>2527</v>
      </c>
      <c r="D784" s="12" t="s">
        <v>562</v>
      </c>
      <c r="E784" s="12"/>
      <c r="F784" s="12"/>
      <c r="G784" s="12"/>
      <c r="H784" s="12"/>
      <c r="I784" s="12"/>
      <c r="J784" s="12"/>
      <c r="K784" s="12"/>
      <c r="L784" s="12"/>
      <c r="M784" s="12"/>
      <c r="N784" s="12" t="n">
        <v>4</v>
      </c>
      <c r="O784" s="13"/>
      <c r="P784" s="13" t="s">
        <v>5207</v>
      </c>
      <c r="Q784" s="13"/>
      <c r="R784" s="13"/>
      <c r="S784" s="13" t="s">
        <v>5208</v>
      </c>
      <c r="T784" s="12" t="s">
        <v>94</v>
      </c>
      <c r="U784" s="12" t="s">
        <v>5206</v>
      </c>
    </row>
    <row r="785" customFormat="false" ht="31.5" hidden="false" customHeight="true" outlineLevel="0" collapsed="false">
      <c r="A785" s="12" t="n">
        <v>643</v>
      </c>
      <c r="B785" s="12" t="s">
        <v>5209</v>
      </c>
      <c r="C785" s="12" t="s">
        <v>2557</v>
      </c>
      <c r="D785" s="12" t="s">
        <v>113</v>
      </c>
      <c r="E785" s="12" t="s">
        <v>83</v>
      </c>
      <c r="F785" s="12"/>
      <c r="G785" s="12"/>
      <c r="H785" s="12"/>
      <c r="I785" s="12"/>
      <c r="J785" s="12"/>
      <c r="K785" s="12"/>
      <c r="L785" s="12"/>
      <c r="M785" s="12"/>
      <c r="N785" s="12"/>
      <c r="O785" s="13"/>
      <c r="P785" s="13" t="s">
        <v>5210</v>
      </c>
      <c r="Q785" s="13"/>
      <c r="R785" s="13"/>
      <c r="S785" s="13" t="s">
        <v>5211</v>
      </c>
      <c r="T785" s="12" t="s">
        <v>108</v>
      </c>
      <c r="U785" s="12" t="s">
        <v>5212</v>
      </c>
    </row>
    <row r="786" customFormat="false" ht="31.5" hidden="false" customHeight="true" outlineLevel="0" collapsed="false">
      <c r="A786" s="12" t="n">
        <v>644</v>
      </c>
      <c r="B786" s="12" t="s">
        <v>1573</v>
      </c>
      <c r="C786" s="12" t="s">
        <v>2521</v>
      </c>
      <c r="D786" s="12" t="s">
        <v>113</v>
      </c>
      <c r="E786" s="12" t="s">
        <v>259</v>
      </c>
      <c r="F786" s="12" t="n">
        <v>59800</v>
      </c>
      <c r="G786" s="12"/>
      <c r="H786" s="12" t="s">
        <v>1576</v>
      </c>
      <c r="I786" s="12" t="n">
        <v>61000</v>
      </c>
      <c r="J786" s="12"/>
      <c r="K786" s="12"/>
      <c r="L786" s="12"/>
      <c r="M786" s="12"/>
      <c r="N786" s="12"/>
      <c r="O786" s="13"/>
      <c r="P786" s="13" t="s">
        <v>5213</v>
      </c>
      <c r="Q786" s="13"/>
      <c r="R786" s="13"/>
      <c r="S786" s="13" t="s">
        <v>5214</v>
      </c>
      <c r="T786" s="12" t="s">
        <v>94</v>
      </c>
      <c r="U786" s="12" t="s">
        <v>1585</v>
      </c>
    </row>
    <row r="787" customFormat="false" ht="31.5" hidden="false" customHeight="true" outlineLevel="0" collapsed="false">
      <c r="A787" s="12" t="n">
        <v>645</v>
      </c>
      <c r="B787" s="12" t="s">
        <v>5215</v>
      </c>
      <c r="C787" s="12" t="s">
        <v>2557</v>
      </c>
      <c r="D787" s="12" t="s">
        <v>113</v>
      </c>
      <c r="E787" s="12" t="s">
        <v>259</v>
      </c>
      <c r="F787" s="12"/>
      <c r="G787" s="12"/>
      <c r="H787" s="12"/>
      <c r="I787" s="12"/>
      <c r="J787" s="12"/>
      <c r="K787" s="12"/>
      <c r="L787" s="12"/>
      <c r="M787" s="12"/>
      <c r="N787" s="12"/>
      <c r="O787" s="13"/>
      <c r="P787" s="13" t="s">
        <v>5216</v>
      </c>
      <c r="Q787" s="13"/>
      <c r="R787" s="13"/>
      <c r="S787" s="13" t="s">
        <v>5217</v>
      </c>
      <c r="T787" s="12" t="s">
        <v>108</v>
      </c>
      <c r="U787" s="12" t="s">
        <v>5218</v>
      </c>
    </row>
    <row r="788" customFormat="false" ht="31.5" hidden="false" customHeight="true" outlineLevel="0" collapsed="false">
      <c r="A788" s="12" t="n">
        <v>646</v>
      </c>
      <c r="B788" s="12" t="s">
        <v>5219</v>
      </c>
      <c r="C788" s="12" t="s">
        <v>2537</v>
      </c>
      <c r="D788" s="12" t="s">
        <v>113</v>
      </c>
      <c r="E788" s="12" t="s">
        <v>259</v>
      </c>
      <c r="F788" s="12"/>
      <c r="G788" s="12" t="n">
        <v>60250</v>
      </c>
      <c r="H788" s="12"/>
      <c r="I788" s="12"/>
      <c r="J788" s="12" t="n">
        <v>25</v>
      </c>
      <c r="K788" s="12"/>
      <c r="L788" s="12"/>
      <c r="M788" s="12"/>
      <c r="N788" s="12"/>
      <c r="O788" s="13" t="s">
        <v>5220</v>
      </c>
      <c r="P788" s="13" t="s">
        <v>5221</v>
      </c>
      <c r="Q788" s="13"/>
      <c r="R788" s="13"/>
      <c r="S788" s="13" t="s">
        <v>5222</v>
      </c>
      <c r="T788" s="12" t="s">
        <v>94</v>
      </c>
      <c r="U788" s="12" t="s">
        <v>5223</v>
      </c>
    </row>
    <row r="789" customFormat="false" ht="31.5" hidden="false" customHeight="true" outlineLevel="0" collapsed="false">
      <c r="A789" s="12" t="n">
        <v>647</v>
      </c>
      <c r="B789" s="12" t="s">
        <v>5224</v>
      </c>
      <c r="C789" s="12" t="s">
        <v>2537</v>
      </c>
      <c r="D789" s="12" t="s">
        <v>113</v>
      </c>
      <c r="E789" s="12" t="s">
        <v>259</v>
      </c>
      <c r="F789" s="12" t="n">
        <v>60050</v>
      </c>
      <c r="G789" s="12"/>
      <c r="H789" s="12"/>
      <c r="I789" s="12"/>
      <c r="J789" s="12"/>
      <c r="K789" s="12"/>
      <c r="L789" s="12"/>
      <c r="M789" s="12"/>
      <c r="N789" s="12"/>
      <c r="O789" s="13" t="s">
        <v>5225</v>
      </c>
      <c r="P789" s="13" t="s">
        <v>5226</v>
      </c>
      <c r="Q789" s="13"/>
      <c r="R789" s="13"/>
      <c r="S789" s="13" t="s">
        <v>5227</v>
      </c>
      <c r="T789" s="12" t="s">
        <v>94</v>
      </c>
      <c r="U789" s="12" t="s">
        <v>5228</v>
      </c>
    </row>
    <row r="790" customFormat="false" ht="31.5" hidden="false" customHeight="true" outlineLevel="0" collapsed="false">
      <c r="A790" s="12" t="n">
        <v>647</v>
      </c>
      <c r="B790" s="12" t="s">
        <v>5224</v>
      </c>
      <c r="C790" s="12" t="s">
        <v>2618</v>
      </c>
      <c r="D790" s="12" t="s">
        <v>113</v>
      </c>
      <c r="E790" s="12" t="s">
        <v>259</v>
      </c>
      <c r="F790" s="12"/>
      <c r="G790" s="12"/>
      <c r="H790" s="12" t="s">
        <v>1070</v>
      </c>
      <c r="I790" s="12"/>
      <c r="J790" s="12"/>
      <c r="K790" s="12"/>
      <c r="L790" s="12" t="n">
        <v>0.5</v>
      </c>
      <c r="M790" s="12"/>
      <c r="N790" s="12"/>
      <c r="O790" s="13"/>
      <c r="P790" s="13" t="s">
        <v>5229</v>
      </c>
      <c r="Q790" s="13"/>
      <c r="R790" s="13"/>
      <c r="S790" s="13" t="s">
        <v>5230</v>
      </c>
      <c r="T790" s="12" t="s">
        <v>94</v>
      </c>
      <c r="U790" s="12" t="s">
        <v>5228</v>
      </c>
    </row>
    <row r="791" customFormat="false" ht="31.5" hidden="false" customHeight="true" outlineLevel="0" collapsed="false">
      <c r="A791" s="12" t="n">
        <v>648</v>
      </c>
      <c r="B791" s="12" t="s">
        <v>5231</v>
      </c>
      <c r="C791" s="12" t="s">
        <v>2557</v>
      </c>
      <c r="D791" s="12" t="s">
        <v>317</v>
      </c>
      <c r="E791" s="12" t="s">
        <v>83</v>
      </c>
      <c r="F791" s="12" t="n">
        <v>68.53</v>
      </c>
      <c r="G791" s="12"/>
      <c r="H791" s="12"/>
      <c r="I791" s="12"/>
      <c r="J791" s="12"/>
      <c r="K791" s="12" t="n">
        <v>10</v>
      </c>
      <c r="L791" s="12"/>
      <c r="M791" s="12" t="n">
        <v>130.23</v>
      </c>
      <c r="N791" s="12" t="n">
        <v>77.46</v>
      </c>
      <c r="O791" s="13"/>
      <c r="P791" s="13" t="s">
        <v>5232</v>
      </c>
      <c r="Q791" s="13"/>
      <c r="R791" s="13"/>
      <c r="S791" s="13" t="s">
        <v>5233</v>
      </c>
      <c r="T791" s="12" t="s">
        <v>94</v>
      </c>
      <c r="U791" s="12" t="s">
        <v>5234</v>
      </c>
    </row>
    <row r="792" customFormat="false" ht="31.5" hidden="false" customHeight="true" outlineLevel="0" collapsed="false">
      <c r="A792" s="12" t="n">
        <v>649</v>
      </c>
      <c r="B792" s="12" t="s">
        <v>1579</v>
      </c>
      <c r="C792" s="12" t="s">
        <v>2564</v>
      </c>
      <c r="D792" s="12" t="s">
        <v>113</v>
      </c>
      <c r="E792" s="12" t="s">
        <v>259</v>
      </c>
      <c r="F792" s="12"/>
      <c r="G792" s="12"/>
      <c r="H792" s="12"/>
      <c r="I792" s="12"/>
      <c r="J792" s="12"/>
      <c r="K792" s="12"/>
      <c r="L792" s="12"/>
      <c r="M792" s="12"/>
      <c r="N792" s="12"/>
      <c r="O792" s="13" t="s">
        <v>5235</v>
      </c>
      <c r="P792" s="13" t="s">
        <v>5236</v>
      </c>
      <c r="Q792" s="13" t="s">
        <v>1410</v>
      </c>
      <c r="R792" s="13"/>
      <c r="S792" s="13" t="s">
        <v>5237</v>
      </c>
      <c r="T792" s="12" t="s">
        <v>94</v>
      </c>
      <c r="U792" s="12" t="s">
        <v>5238</v>
      </c>
    </row>
    <row r="793" customFormat="false" ht="31.5" hidden="false" customHeight="true" outlineLevel="0" collapsed="false">
      <c r="A793" s="12" t="n">
        <v>650</v>
      </c>
      <c r="B793" s="12" t="s">
        <v>5239</v>
      </c>
      <c r="C793" s="12" t="s">
        <v>2527</v>
      </c>
      <c r="D793" s="12" t="s">
        <v>113</v>
      </c>
      <c r="E793" s="12"/>
      <c r="F793" s="12"/>
      <c r="G793" s="12"/>
      <c r="H793" s="12"/>
      <c r="I793" s="12"/>
      <c r="J793" s="12"/>
      <c r="K793" s="12"/>
      <c r="L793" s="12"/>
      <c r="M793" s="12"/>
      <c r="N793" s="12" t="n">
        <v>62000</v>
      </c>
      <c r="O793" s="13"/>
      <c r="P793" s="13" t="s">
        <v>5240</v>
      </c>
      <c r="Q793" s="13"/>
      <c r="R793" s="13"/>
      <c r="S793" s="13" t="s">
        <v>5241</v>
      </c>
      <c r="T793" s="12" t="s">
        <v>94</v>
      </c>
      <c r="U793" s="12" t="s">
        <v>5242</v>
      </c>
    </row>
    <row r="794" customFormat="false" ht="31.5" hidden="false" customHeight="true" outlineLevel="0" collapsed="false">
      <c r="A794" s="12" t="n">
        <v>651</v>
      </c>
      <c r="B794" s="12" t="s">
        <v>1476</v>
      </c>
      <c r="C794" s="12" t="s">
        <v>2630</v>
      </c>
      <c r="D794" s="12" t="s">
        <v>317</v>
      </c>
      <c r="E794" s="12" t="s">
        <v>83</v>
      </c>
      <c r="F794" s="12" t="n">
        <v>68.53</v>
      </c>
      <c r="G794" s="12"/>
      <c r="H794" s="12"/>
      <c r="I794" s="12"/>
      <c r="J794" s="12" t="n">
        <v>100</v>
      </c>
      <c r="K794" s="12" t="n">
        <v>10</v>
      </c>
      <c r="L794" s="12"/>
      <c r="M794" s="12" t="n">
        <v>196.41</v>
      </c>
      <c r="N794" s="12" t="n">
        <v>82</v>
      </c>
      <c r="O794" s="13"/>
      <c r="P794" s="13" t="s">
        <v>5243</v>
      </c>
      <c r="Q794" s="13"/>
      <c r="R794" s="13"/>
      <c r="S794" s="13" t="s">
        <v>5244</v>
      </c>
      <c r="T794" s="12" t="s">
        <v>94</v>
      </c>
      <c r="U794" s="12" t="s">
        <v>5245</v>
      </c>
    </row>
    <row r="795" customFormat="false" ht="31.5" hidden="false" customHeight="true" outlineLevel="0" collapsed="false">
      <c r="A795" s="12" t="n">
        <v>652</v>
      </c>
      <c r="B795" s="12" t="s">
        <v>1586</v>
      </c>
      <c r="C795" s="12" t="s">
        <v>2521</v>
      </c>
      <c r="D795" s="12" t="s">
        <v>99</v>
      </c>
      <c r="E795" s="12" t="s">
        <v>259</v>
      </c>
      <c r="F795" s="12" t="n">
        <v>1660</v>
      </c>
      <c r="G795" s="12"/>
      <c r="H795" s="12" t="s">
        <v>1588</v>
      </c>
      <c r="I795" s="12" t="n">
        <v>1690</v>
      </c>
      <c r="J795" s="12"/>
      <c r="K795" s="12"/>
      <c r="L795" s="12"/>
      <c r="M795" s="12"/>
      <c r="N795" s="12" t="n">
        <v>1656</v>
      </c>
      <c r="O795" s="13"/>
      <c r="P795" s="13" t="s">
        <v>5246</v>
      </c>
      <c r="Q795" s="13"/>
      <c r="R795" s="13"/>
      <c r="S795" s="13" t="s">
        <v>5247</v>
      </c>
      <c r="T795" s="12" t="s">
        <v>94</v>
      </c>
      <c r="U795" s="12" t="s">
        <v>1594</v>
      </c>
    </row>
    <row r="796" customFormat="false" ht="31.5" hidden="false" customHeight="true" outlineLevel="0" collapsed="false">
      <c r="A796" s="12" t="n">
        <v>653</v>
      </c>
      <c r="B796" s="12" t="s">
        <v>5248</v>
      </c>
      <c r="C796" s="12" t="s">
        <v>2521</v>
      </c>
      <c r="D796" s="12" t="s">
        <v>99</v>
      </c>
      <c r="E796" s="12" t="s">
        <v>259</v>
      </c>
      <c r="F796" s="12" t="n">
        <v>1662</v>
      </c>
      <c r="G796" s="12"/>
      <c r="H796" s="12"/>
      <c r="I796" s="12"/>
      <c r="J796" s="12"/>
      <c r="K796" s="12"/>
      <c r="L796" s="12"/>
      <c r="M796" s="12"/>
      <c r="N796" s="12"/>
      <c r="O796" s="13"/>
      <c r="P796" s="13" t="s">
        <v>5249</v>
      </c>
      <c r="Q796" s="13"/>
      <c r="R796" s="13"/>
      <c r="S796" s="13" t="s">
        <v>5250</v>
      </c>
      <c r="T796" s="12" t="s">
        <v>108</v>
      </c>
      <c r="U796" s="12" t="s">
        <v>5251</v>
      </c>
    </row>
    <row r="797" customFormat="false" ht="31.5" hidden="false" customHeight="true" outlineLevel="0" collapsed="false">
      <c r="A797" s="12" t="n">
        <v>654</v>
      </c>
      <c r="B797" s="12" t="s">
        <v>5252</v>
      </c>
      <c r="C797" s="12" t="s">
        <v>2502</v>
      </c>
      <c r="D797" s="12" t="s">
        <v>99</v>
      </c>
      <c r="E797" s="12"/>
      <c r="F797" s="12"/>
      <c r="G797" s="12"/>
      <c r="H797" s="12"/>
      <c r="I797" s="12"/>
      <c r="J797" s="12"/>
      <c r="K797" s="12"/>
      <c r="L797" s="12"/>
      <c r="M797" s="12"/>
      <c r="N797" s="12"/>
      <c r="O797" s="13"/>
      <c r="P797" s="13" t="s">
        <v>5253</v>
      </c>
      <c r="Q797" s="13"/>
      <c r="R797" s="13"/>
      <c r="S797" s="13" t="s">
        <v>5254</v>
      </c>
      <c r="T797" s="12" t="s">
        <v>108</v>
      </c>
      <c r="U797" s="12" t="s">
        <v>5255</v>
      </c>
    </row>
    <row r="798" customFormat="false" ht="31.5" hidden="false" customHeight="true" outlineLevel="0" collapsed="false">
      <c r="A798" s="12" t="n">
        <v>655</v>
      </c>
      <c r="B798" s="12" t="s">
        <v>5256</v>
      </c>
      <c r="C798" s="12" t="s">
        <v>2527</v>
      </c>
      <c r="D798" s="12" t="s">
        <v>113</v>
      </c>
      <c r="E798" s="12"/>
      <c r="F798" s="12"/>
      <c r="G798" s="12"/>
      <c r="H798" s="12"/>
      <c r="I798" s="12"/>
      <c r="J798" s="12"/>
      <c r="K798" s="12"/>
      <c r="L798" s="12"/>
      <c r="M798" s="12"/>
      <c r="N798" s="12" t="n">
        <v>62000</v>
      </c>
      <c r="O798" s="13"/>
      <c r="P798" s="13" t="s">
        <v>5257</v>
      </c>
      <c r="Q798" s="13"/>
      <c r="R798" s="13"/>
      <c r="S798" s="13" t="s">
        <v>5258</v>
      </c>
      <c r="T798" s="12" t="s">
        <v>94</v>
      </c>
      <c r="U798" s="12" t="s">
        <v>5259</v>
      </c>
    </row>
    <row r="799" customFormat="false" ht="31.5" hidden="false" customHeight="true" outlineLevel="0" collapsed="false">
      <c r="A799" s="12" t="n">
        <v>656</v>
      </c>
      <c r="B799" s="12" t="s">
        <v>5260</v>
      </c>
      <c r="C799" s="12" t="s">
        <v>2527</v>
      </c>
      <c r="D799" s="12" t="s">
        <v>113</v>
      </c>
      <c r="E799" s="12"/>
      <c r="F799" s="12"/>
      <c r="G799" s="12"/>
      <c r="H799" s="12"/>
      <c r="I799" s="12"/>
      <c r="J799" s="12"/>
      <c r="K799" s="12"/>
      <c r="L799" s="12"/>
      <c r="M799" s="12"/>
      <c r="N799" s="12" t="n">
        <v>59000</v>
      </c>
      <c r="O799" s="13"/>
      <c r="P799" s="13" t="s">
        <v>5261</v>
      </c>
      <c r="Q799" s="13"/>
      <c r="R799" s="13"/>
      <c r="S799" s="13" t="s">
        <v>5262</v>
      </c>
      <c r="T799" s="12" t="s">
        <v>94</v>
      </c>
      <c r="U799" s="12" t="s">
        <v>5263</v>
      </c>
    </row>
    <row r="800" customFormat="false" ht="31.5" hidden="false" customHeight="true" outlineLevel="0" collapsed="false">
      <c r="A800" s="12" t="n">
        <v>657</v>
      </c>
      <c r="B800" s="12" t="s">
        <v>1595</v>
      </c>
      <c r="C800" s="12" t="s">
        <v>2521</v>
      </c>
      <c r="D800" s="12" t="s">
        <v>99</v>
      </c>
      <c r="E800" s="12" t="s">
        <v>259</v>
      </c>
      <c r="F800" s="12" t="n">
        <v>1702</v>
      </c>
      <c r="G800" s="12"/>
      <c r="H800" s="12"/>
      <c r="I800" s="12" t="n">
        <v>1735</v>
      </c>
      <c r="J800" s="12"/>
      <c r="K800" s="12"/>
      <c r="L800" s="12"/>
      <c r="M800" s="12"/>
      <c r="N800" s="12" t="n">
        <v>1697</v>
      </c>
      <c r="O800" s="13"/>
      <c r="P800" s="13" t="s">
        <v>5264</v>
      </c>
      <c r="Q800" s="13"/>
      <c r="R800" s="13"/>
      <c r="S800" s="13" t="s">
        <v>5265</v>
      </c>
      <c r="T800" s="12" t="s">
        <v>94</v>
      </c>
      <c r="U800" s="12" t="s">
        <v>1603</v>
      </c>
    </row>
    <row r="801" customFormat="false" ht="31.5" hidden="false" customHeight="true" outlineLevel="0" collapsed="false">
      <c r="A801" s="12" t="n">
        <v>658</v>
      </c>
      <c r="B801" s="12" t="s">
        <v>1598</v>
      </c>
      <c r="C801" s="12" t="s">
        <v>128</v>
      </c>
      <c r="D801" s="12" t="s">
        <v>99</v>
      </c>
      <c r="E801" s="12" t="s">
        <v>259</v>
      </c>
      <c r="F801" s="12" t="n">
        <v>1702</v>
      </c>
      <c r="G801" s="12"/>
      <c r="H801" s="12"/>
      <c r="I801" s="12"/>
      <c r="J801" s="12" t="n">
        <v>100</v>
      </c>
      <c r="K801" s="12" t="n">
        <v>150</v>
      </c>
      <c r="L801" s="12"/>
      <c r="M801" s="12" t="n">
        <v>23.1</v>
      </c>
      <c r="N801" s="12" t="n">
        <v>1699.37</v>
      </c>
      <c r="O801" s="13" t="s">
        <v>1597</v>
      </c>
      <c r="P801" s="13" t="s">
        <v>5266</v>
      </c>
      <c r="Q801" s="13"/>
      <c r="R801" s="13"/>
      <c r="S801" s="13" t="s">
        <v>5267</v>
      </c>
      <c r="T801" s="12" t="s">
        <v>94</v>
      </c>
      <c r="U801" s="12" t="s">
        <v>5268</v>
      </c>
    </row>
    <row r="802" customFormat="false" ht="31.5" hidden="false" customHeight="true" outlineLevel="0" collapsed="false">
      <c r="A802" s="12" t="n">
        <v>658</v>
      </c>
      <c r="B802" s="12" t="s">
        <v>1598</v>
      </c>
      <c r="C802" s="12" t="s">
        <v>2516</v>
      </c>
      <c r="D802" s="12" t="s">
        <v>99</v>
      </c>
      <c r="E802" s="12" t="s">
        <v>259</v>
      </c>
      <c r="F802" s="12"/>
      <c r="G802" s="12"/>
      <c r="H802" s="12"/>
      <c r="I802" s="12" t="n">
        <v>1780</v>
      </c>
      <c r="J802" s="12"/>
      <c r="K802" s="12"/>
      <c r="L802" s="12"/>
      <c r="M802" s="12"/>
      <c r="N802" s="12"/>
      <c r="O802" s="13"/>
      <c r="P802" s="13" t="s">
        <v>5269</v>
      </c>
      <c r="Q802" s="13"/>
      <c r="R802" s="13"/>
      <c r="S802" s="13" t="s">
        <v>5270</v>
      </c>
      <c r="T802" s="12" t="s">
        <v>94</v>
      </c>
      <c r="U802" s="12" t="s">
        <v>5268</v>
      </c>
    </row>
    <row r="803" customFormat="false" ht="31.5" hidden="false" customHeight="true" outlineLevel="0" collapsed="false">
      <c r="A803" s="12" t="n">
        <v>659</v>
      </c>
      <c r="B803" s="12" t="s">
        <v>1604</v>
      </c>
      <c r="C803" s="12" t="s">
        <v>2521</v>
      </c>
      <c r="D803" s="12" t="s">
        <v>296</v>
      </c>
      <c r="E803" s="12" t="s">
        <v>83</v>
      </c>
      <c r="F803" s="12" t="n">
        <v>1.086</v>
      </c>
      <c r="G803" s="12"/>
      <c r="H803" s="12"/>
      <c r="I803" s="12" t="n">
        <v>1.0211</v>
      </c>
      <c r="J803" s="12"/>
      <c r="K803" s="12"/>
      <c r="L803" s="12"/>
      <c r="M803" s="12"/>
      <c r="N803" s="12"/>
      <c r="O803" s="13"/>
      <c r="P803" s="13" t="s">
        <v>5271</v>
      </c>
      <c r="Q803" s="13"/>
      <c r="R803" s="13"/>
      <c r="S803" s="13" t="s">
        <v>5272</v>
      </c>
      <c r="T803" s="12" t="s">
        <v>94</v>
      </c>
      <c r="U803" s="12" t="s">
        <v>1613</v>
      </c>
    </row>
    <row r="804" customFormat="false" ht="31.5" hidden="false" customHeight="true" outlineLevel="0" collapsed="false">
      <c r="A804" s="12" t="n">
        <v>660</v>
      </c>
      <c r="B804" s="12" t="s">
        <v>5273</v>
      </c>
      <c r="C804" s="12" t="s">
        <v>2670</v>
      </c>
      <c r="D804" s="12" t="s">
        <v>296</v>
      </c>
      <c r="E804" s="12" t="s">
        <v>83</v>
      </c>
      <c r="F804" s="12" t="n">
        <v>1.087</v>
      </c>
      <c r="G804" s="12"/>
      <c r="H804" s="12" t="s">
        <v>1606</v>
      </c>
      <c r="I804" s="12"/>
      <c r="J804" s="12"/>
      <c r="K804" s="12" t="n">
        <v>125</v>
      </c>
      <c r="L804" s="12"/>
      <c r="M804" s="12" t="n">
        <v>209.34</v>
      </c>
      <c r="N804" s="12" t="n">
        <v>1.1052</v>
      </c>
      <c r="O804" s="13"/>
      <c r="P804" s="13" t="s">
        <v>5274</v>
      </c>
      <c r="Q804" s="13"/>
      <c r="R804" s="13"/>
      <c r="S804" s="13" t="s">
        <v>5275</v>
      </c>
      <c r="T804" s="12" t="s">
        <v>94</v>
      </c>
      <c r="U804" s="12" t="s">
        <v>5276</v>
      </c>
    </row>
    <row r="805" customFormat="false" ht="31.5" hidden="false" customHeight="true" outlineLevel="0" collapsed="false">
      <c r="A805" s="12" t="n">
        <v>661</v>
      </c>
      <c r="B805" s="12" t="s">
        <v>5277</v>
      </c>
      <c r="C805" s="12" t="s">
        <v>2557</v>
      </c>
      <c r="D805" s="12" t="s">
        <v>296</v>
      </c>
      <c r="E805" s="12" t="s">
        <v>83</v>
      </c>
      <c r="F805" s="12"/>
      <c r="G805" s="12"/>
      <c r="H805" s="12" t="s">
        <v>5278</v>
      </c>
      <c r="I805" s="12"/>
      <c r="J805" s="12"/>
      <c r="K805" s="12"/>
      <c r="L805" s="12"/>
      <c r="M805" s="12"/>
      <c r="N805" s="12"/>
      <c r="O805" s="13"/>
      <c r="P805" s="13" t="s">
        <v>5279</v>
      </c>
      <c r="Q805" s="13"/>
      <c r="R805" s="13"/>
      <c r="S805" s="13" t="s">
        <v>5280</v>
      </c>
      <c r="T805" s="12" t="s">
        <v>108</v>
      </c>
      <c r="U805" s="12" t="s">
        <v>5281</v>
      </c>
    </row>
    <row r="806" customFormat="false" ht="31.5" hidden="false" customHeight="true" outlineLevel="0" collapsed="false">
      <c r="A806" s="12" t="n">
        <v>662</v>
      </c>
      <c r="B806" s="12" t="s">
        <v>1608</v>
      </c>
      <c r="C806" s="12" t="s">
        <v>2666</v>
      </c>
      <c r="D806" s="12" t="s">
        <v>296</v>
      </c>
      <c r="E806" s="12" t="s">
        <v>83</v>
      </c>
      <c r="F806" s="12" t="n">
        <v>1.087</v>
      </c>
      <c r="G806" s="12"/>
      <c r="H806" s="12" t="s">
        <v>5278</v>
      </c>
      <c r="I806" s="12"/>
      <c r="J806" s="12" t="n">
        <v>100</v>
      </c>
      <c r="K806" s="12" t="n">
        <v>125</v>
      </c>
      <c r="L806" s="12"/>
      <c r="M806" s="12" t="n">
        <v>459.98</v>
      </c>
      <c r="N806" s="12" t="n">
        <v>1.127</v>
      </c>
      <c r="O806" s="13"/>
      <c r="P806" s="13" t="s">
        <v>5282</v>
      </c>
      <c r="Q806" s="13"/>
      <c r="R806" s="13"/>
      <c r="S806" s="13" t="s">
        <v>5283</v>
      </c>
      <c r="T806" s="12" t="s">
        <v>94</v>
      </c>
      <c r="U806" s="12" t="s">
        <v>5284</v>
      </c>
    </row>
    <row r="807" customFormat="false" ht="31.5" hidden="false" customHeight="true" outlineLevel="0" collapsed="false">
      <c r="A807" s="12" t="n">
        <v>663</v>
      </c>
      <c r="B807" s="12" t="s">
        <v>5285</v>
      </c>
      <c r="C807" s="12" t="s">
        <v>2527</v>
      </c>
      <c r="D807" s="12" t="s">
        <v>113</v>
      </c>
      <c r="E807" s="12"/>
      <c r="F807" s="12"/>
      <c r="G807" s="12"/>
      <c r="H807" s="12"/>
      <c r="I807" s="12"/>
      <c r="J807" s="12"/>
      <c r="K807" s="12"/>
      <c r="L807" s="12"/>
      <c r="M807" s="12"/>
      <c r="N807" s="12" t="n">
        <v>64000</v>
      </c>
      <c r="O807" s="13"/>
      <c r="P807" s="13" t="s">
        <v>5286</v>
      </c>
      <c r="Q807" s="13"/>
      <c r="R807" s="13" t="s">
        <v>5287</v>
      </c>
      <c r="S807" s="13" t="s">
        <v>5288</v>
      </c>
      <c r="T807" s="12" t="s">
        <v>94</v>
      </c>
      <c r="U807" s="12" t="s">
        <v>5289</v>
      </c>
    </row>
    <row r="808" customFormat="false" ht="31.5" hidden="false" customHeight="true" outlineLevel="0" collapsed="false">
      <c r="A808" s="12" t="n">
        <v>664</v>
      </c>
      <c r="B808" s="12" t="s">
        <v>1614</v>
      </c>
      <c r="C808" s="12" t="s">
        <v>2521</v>
      </c>
      <c r="D808" s="12" t="s">
        <v>99</v>
      </c>
      <c r="E808" s="12" t="s">
        <v>259</v>
      </c>
      <c r="F808" s="12" t="n">
        <v>1750</v>
      </c>
      <c r="G808" s="12" t="n">
        <v>1760</v>
      </c>
      <c r="H808" s="12" t="s">
        <v>1617</v>
      </c>
      <c r="I808" s="12" t="n">
        <v>1800</v>
      </c>
      <c r="J808" s="12"/>
      <c r="K808" s="12"/>
      <c r="L808" s="12"/>
      <c r="M808" s="12"/>
      <c r="N808" s="12"/>
      <c r="O808" s="13"/>
      <c r="P808" s="13" t="s">
        <v>5290</v>
      </c>
      <c r="Q808" s="13" t="s">
        <v>191</v>
      </c>
      <c r="R808" s="13"/>
      <c r="S808" s="13" t="s">
        <v>5291</v>
      </c>
      <c r="T808" s="12" t="s">
        <v>94</v>
      </c>
      <c r="U808" s="12" t="s">
        <v>1623</v>
      </c>
    </row>
    <row r="809" customFormat="false" ht="31.5" hidden="false" customHeight="true" outlineLevel="0" collapsed="false">
      <c r="A809" s="12" t="n">
        <v>665</v>
      </c>
      <c r="B809" s="12" t="s">
        <v>1624</v>
      </c>
      <c r="C809" s="12" t="s">
        <v>2521</v>
      </c>
      <c r="D809" s="12" t="s">
        <v>669</v>
      </c>
      <c r="E809" s="12" t="s">
        <v>83</v>
      </c>
      <c r="F809" s="12" t="n">
        <v>212.4</v>
      </c>
      <c r="G809" s="12"/>
      <c r="H809" s="12"/>
      <c r="I809" s="12" t="n">
        <v>201.76</v>
      </c>
      <c r="J809" s="12"/>
      <c r="K809" s="12"/>
      <c r="L809" s="12"/>
      <c r="M809" s="12"/>
      <c r="N809" s="12"/>
      <c r="O809" s="13"/>
      <c r="P809" s="13" t="s">
        <v>5292</v>
      </c>
      <c r="Q809" s="13"/>
      <c r="R809" s="13"/>
      <c r="S809" s="13" t="s">
        <v>5293</v>
      </c>
      <c r="T809" s="12" t="s">
        <v>94</v>
      </c>
      <c r="U809" s="12" t="s">
        <v>1631</v>
      </c>
    </row>
    <row r="810" customFormat="false" ht="31.5" hidden="false" customHeight="true" outlineLevel="0" collapsed="false">
      <c r="A810" s="12" t="n">
        <v>666</v>
      </c>
      <c r="B810" s="12" t="s">
        <v>5294</v>
      </c>
      <c r="C810" s="12" t="s">
        <v>2516</v>
      </c>
      <c r="D810" s="12" t="s">
        <v>99</v>
      </c>
      <c r="E810" s="12" t="s">
        <v>259</v>
      </c>
      <c r="F810" s="12"/>
      <c r="G810" s="12"/>
      <c r="H810" s="12"/>
      <c r="I810" s="12"/>
      <c r="J810" s="12"/>
      <c r="K810" s="12"/>
      <c r="L810" s="12"/>
      <c r="M810" s="12"/>
      <c r="N810" s="12"/>
      <c r="O810" s="13"/>
      <c r="P810" s="13" t="s">
        <v>5295</v>
      </c>
      <c r="Q810" s="13"/>
      <c r="R810" s="13"/>
      <c r="S810" s="13" t="s">
        <v>5296</v>
      </c>
      <c r="T810" s="12" t="s">
        <v>94</v>
      </c>
      <c r="U810" s="12" t="s">
        <v>5297</v>
      </c>
    </row>
    <row r="811" customFormat="false" ht="31.5" hidden="false" customHeight="true" outlineLevel="0" collapsed="false">
      <c r="A811" s="12" t="n">
        <v>667</v>
      </c>
      <c r="B811" s="12" t="s">
        <v>5298</v>
      </c>
      <c r="C811" s="12" t="s">
        <v>2666</v>
      </c>
      <c r="D811" s="12" t="s">
        <v>296</v>
      </c>
      <c r="E811" s="12" t="s">
        <v>83</v>
      </c>
      <c r="F811" s="12" t="n">
        <v>1.0868</v>
      </c>
      <c r="G811" s="12"/>
      <c r="H811" s="12" t="s">
        <v>5299</v>
      </c>
      <c r="I811" s="12"/>
      <c r="J811" s="12" t="n">
        <v>100</v>
      </c>
      <c r="K811" s="12"/>
      <c r="L811" s="12"/>
      <c r="M811" s="12"/>
      <c r="N811" s="12" t="n">
        <v>1.162</v>
      </c>
      <c r="O811" s="13"/>
      <c r="P811" s="13" t="s">
        <v>5300</v>
      </c>
      <c r="Q811" s="13"/>
      <c r="R811" s="13"/>
      <c r="S811" s="13" t="s">
        <v>5301</v>
      </c>
      <c r="T811" s="12" t="s">
        <v>94</v>
      </c>
      <c r="U811" s="12" t="s">
        <v>5302</v>
      </c>
    </row>
    <row r="812" customFormat="false" ht="31.5" hidden="false" customHeight="true" outlineLevel="0" collapsed="false">
      <c r="A812" s="12" t="n">
        <v>668</v>
      </c>
      <c r="B812" s="12" t="s">
        <v>5303</v>
      </c>
      <c r="C812" s="12" t="s">
        <v>2670</v>
      </c>
      <c r="D812" s="12" t="s">
        <v>669</v>
      </c>
      <c r="E812" s="12" t="s">
        <v>83</v>
      </c>
      <c r="F812" s="12" t="n">
        <v>212.45</v>
      </c>
      <c r="G812" s="12"/>
      <c r="H812" s="12" t="s">
        <v>5304</v>
      </c>
      <c r="I812" s="12"/>
      <c r="J812" s="12"/>
      <c r="K812" s="12" t="n">
        <v>100</v>
      </c>
      <c r="L812" s="12"/>
      <c r="M812" s="12" t="n">
        <v>123.25</v>
      </c>
      <c r="N812" s="12" t="n">
        <v>215.07</v>
      </c>
      <c r="O812" s="13"/>
      <c r="P812" s="13" t="s">
        <v>5305</v>
      </c>
      <c r="Q812" s="13"/>
      <c r="R812" s="13"/>
      <c r="S812" s="13" t="s">
        <v>5306</v>
      </c>
      <c r="T812" s="12" t="s">
        <v>94</v>
      </c>
      <c r="U812" s="12" t="s">
        <v>5307</v>
      </c>
    </row>
    <row r="813" customFormat="false" ht="31.5" hidden="false" customHeight="true" outlineLevel="0" collapsed="false">
      <c r="A813" s="12" t="n">
        <v>669</v>
      </c>
      <c r="B813" s="12" t="s">
        <v>5308</v>
      </c>
      <c r="C813" s="12" t="s">
        <v>2557</v>
      </c>
      <c r="D813" s="12" t="s">
        <v>99</v>
      </c>
      <c r="E813" s="12" t="s">
        <v>259</v>
      </c>
      <c r="F813" s="12"/>
      <c r="G813" s="12"/>
      <c r="H813" s="12"/>
      <c r="I813" s="12"/>
      <c r="J813" s="12"/>
      <c r="K813" s="12"/>
      <c r="L813" s="12"/>
      <c r="M813" s="12"/>
      <c r="N813" s="12"/>
      <c r="O813" s="13"/>
      <c r="P813" s="13" t="s">
        <v>5309</v>
      </c>
      <c r="Q813" s="13"/>
      <c r="R813" s="13"/>
      <c r="S813" s="13" t="s">
        <v>5310</v>
      </c>
      <c r="T813" s="12" t="s">
        <v>94</v>
      </c>
      <c r="U813" s="12" t="s">
        <v>5311</v>
      </c>
    </row>
    <row r="814" customFormat="false" ht="31.5" hidden="false" customHeight="true" outlineLevel="0" collapsed="false">
      <c r="A814" s="12" t="n">
        <v>670</v>
      </c>
      <c r="B814" s="12" t="s">
        <v>1626</v>
      </c>
      <c r="C814" s="12" t="s">
        <v>2630</v>
      </c>
      <c r="D814" s="12" t="s">
        <v>669</v>
      </c>
      <c r="E814" s="12" t="s">
        <v>83</v>
      </c>
      <c r="F814" s="12" t="n">
        <v>212.45</v>
      </c>
      <c r="G814" s="12"/>
      <c r="H814" s="12"/>
      <c r="I814" s="12"/>
      <c r="J814" s="12" t="n">
        <v>100</v>
      </c>
      <c r="K814" s="12" t="n">
        <v>100</v>
      </c>
      <c r="L814" s="12"/>
      <c r="M814" s="12" t="n">
        <v>278.02</v>
      </c>
      <c r="N814" s="12" t="n">
        <v>218.36</v>
      </c>
      <c r="O814" s="13"/>
      <c r="P814" s="13" t="s">
        <v>5312</v>
      </c>
      <c r="Q814" s="13"/>
      <c r="R814" s="13"/>
      <c r="S814" s="13" t="s">
        <v>5313</v>
      </c>
      <c r="T814" s="12" t="s">
        <v>94</v>
      </c>
      <c r="U814" s="12" t="s">
        <v>5314</v>
      </c>
    </row>
    <row r="815" customFormat="false" ht="31.5" hidden="false" customHeight="true" outlineLevel="0" collapsed="false">
      <c r="A815" s="12" t="n">
        <v>671</v>
      </c>
      <c r="B815" s="12" t="s">
        <v>1632</v>
      </c>
      <c r="C815" s="12" t="s">
        <v>2521</v>
      </c>
      <c r="D815" s="12" t="s">
        <v>476</v>
      </c>
      <c r="E815" s="12" t="s">
        <v>259</v>
      </c>
      <c r="F815" s="12" t="n">
        <v>469</v>
      </c>
      <c r="G815" s="12"/>
      <c r="H815" s="12"/>
      <c r="I815" s="12" t="n">
        <v>492.6</v>
      </c>
      <c r="J815" s="12"/>
      <c r="K815" s="12"/>
      <c r="L815" s="12"/>
      <c r="M815" s="12"/>
      <c r="N815" s="12"/>
      <c r="O815" s="13" t="s">
        <v>5315</v>
      </c>
      <c r="P815" s="13" t="s">
        <v>5316</v>
      </c>
      <c r="Q815" s="13"/>
      <c r="R815" s="13"/>
      <c r="S815" s="13" t="s">
        <v>5317</v>
      </c>
      <c r="T815" s="12" t="s">
        <v>94</v>
      </c>
      <c r="U815" s="12" t="s">
        <v>1642</v>
      </c>
    </row>
    <row r="816" customFormat="false" ht="31.5" hidden="false" customHeight="true" outlineLevel="0" collapsed="false">
      <c r="A816" s="12" t="n">
        <v>671</v>
      </c>
      <c r="B816" s="12" t="s">
        <v>1632</v>
      </c>
      <c r="C816" s="12" t="s">
        <v>2516</v>
      </c>
      <c r="D816" s="12" t="s">
        <v>476</v>
      </c>
      <c r="E816" s="12" t="s">
        <v>259</v>
      </c>
      <c r="F816" s="12"/>
      <c r="G816" s="12"/>
      <c r="H816" s="12"/>
      <c r="I816" s="12"/>
      <c r="J816" s="12"/>
      <c r="K816" s="12"/>
      <c r="L816" s="12" t="n">
        <v>0.5</v>
      </c>
      <c r="M816" s="12"/>
      <c r="N816" s="12"/>
      <c r="O816" s="13" t="s">
        <v>5318</v>
      </c>
      <c r="P816" s="13" t="s">
        <v>5319</v>
      </c>
      <c r="Q816" s="13"/>
      <c r="R816" s="13"/>
      <c r="S816" s="13" t="s">
        <v>5320</v>
      </c>
      <c r="T816" s="12" t="s">
        <v>94</v>
      </c>
      <c r="U816" s="12" t="s">
        <v>1642</v>
      </c>
    </row>
    <row r="817" customFormat="false" ht="31.5" hidden="false" customHeight="true" outlineLevel="0" collapsed="false">
      <c r="A817" s="12" t="n">
        <v>672</v>
      </c>
      <c r="B817" s="12" t="s">
        <v>5321</v>
      </c>
      <c r="C817" s="12" t="s">
        <v>2588</v>
      </c>
      <c r="D817" s="12" t="s">
        <v>476</v>
      </c>
      <c r="E817" s="12" t="s">
        <v>259</v>
      </c>
      <c r="F817" s="12" t="n">
        <v>468.7</v>
      </c>
      <c r="G817" s="12"/>
      <c r="H817" s="12"/>
      <c r="I817" s="12" t="n">
        <v>468.7</v>
      </c>
      <c r="J817" s="12"/>
      <c r="K817" s="12" t="n">
        <v>75</v>
      </c>
      <c r="L817" s="12"/>
      <c r="M817" s="12"/>
      <c r="N817" s="12"/>
      <c r="O817" s="13"/>
      <c r="P817" s="13" t="s">
        <v>5322</v>
      </c>
      <c r="Q817" s="13"/>
      <c r="R817" s="13"/>
      <c r="S817" s="13" t="s">
        <v>5323</v>
      </c>
      <c r="T817" s="12" t="s">
        <v>94</v>
      </c>
      <c r="U817" s="12" t="s">
        <v>5324</v>
      </c>
    </row>
    <row r="818" customFormat="false" ht="31.5" hidden="false" customHeight="true" outlineLevel="0" collapsed="false">
      <c r="A818" s="12" t="n">
        <v>672</v>
      </c>
      <c r="B818" s="12" t="s">
        <v>5321</v>
      </c>
      <c r="C818" s="12" t="s">
        <v>2670</v>
      </c>
      <c r="D818" s="12" t="s">
        <v>476</v>
      </c>
      <c r="E818" s="12" t="s">
        <v>259</v>
      </c>
      <c r="F818" s="12" t="n">
        <v>468.7</v>
      </c>
      <c r="G818" s="12"/>
      <c r="H818" s="12" t="s">
        <v>1636</v>
      </c>
      <c r="I818" s="12"/>
      <c r="J818" s="12"/>
      <c r="K818" s="12" t="n">
        <v>75</v>
      </c>
      <c r="L818" s="12"/>
      <c r="M818" s="12" t="n">
        <v>95.89</v>
      </c>
      <c r="N818" s="12" t="n">
        <v>462.71</v>
      </c>
      <c r="O818" s="13"/>
      <c r="P818" s="13" t="s">
        <v>5325</v>
      </c>
      <c r="Q818" s="13"/>
      <c r="R818" s="13"/>
      <c r="S818" s="13" t="s">
        <v>5326</v>
      </c>
      <c r="T818" s="12" t="s">
        <v>94</v>
      </c>
      <c r="U818" s="12" t="s">
        <v>5324</v>
      </c>
    </row>
    <row r="819" customFormat="false" ht="31.5" hidden="false" customHeight="true" outlineLevel="0" collapsed="false">
      <c r="A819" s="12" t="n">
        <v>672</v>
      </c>
      <c r="B819" s="12" t="s">
        <v>5321</v>
      </c>
      <c r="C819" s="12" t="s">
        <v>2581</v>
      </c>
      <c r="D819" s="12" t="s">
        <v>476</v>
      </c>
      <c r="E819" s="12" t="s">
        <v>259</v>
      </c>
      <c r="F819" s="12"/>
      <c r="G819" s="12"/>
      <c r="H819" s="12"/>
      <c r="I819" s="12"/>
      <c r="J819" s="12" t="n">
        <v>10</v>
      </c>
      <c r="K819" s="12"/>
      <c r="L819" s="12"/>
      <c r="M819" s="12"/>
      <c r="N819" s="12"/>
      <c r="O819" s="13" t="s">
        <v>5327</v>
      </c>
      <c r="P819" s="13" t="s">
        <v>5328</v>
      </c>
      <c r="Q819" s="13"/>
      <c r="R819" s="13"/>
      <c r="S819" s="13" t="s">
        <v>5329</v>
      </c>
      <c r="T819" s="12" t="s">
        <v>94</v>
      </c>
      <c r="U819" s="12" t="s">
        <v>5324</v>
      </c>
    </row>
    <row r="820" customFormat="false" ht="31.5" hidden="false" customHeight="true" outlineLevel="0" collapsed="false">
      <c r="A820" s="12" t="n">
        <v>673</v>
      </c>
      <c r="B820" s="12" t="s">
        <v>1637</v>
      </c>
      <c r="C820" s="12" t="s">
        <v>2511</v>
      </c>
      <c r="D820" s="12"/>
      <c r="E820" s="12"/>
      <c r="F820" s="12"/>
      <c r="G820" s="12"/>
      <c r="H820" s="12"/>
      <c r="I820" s="12"/>
      <c r="J820" s="12"/>
      <c r="K820" s="12"/>
      <c r="L820" s="12"/>
      <c r="M820" s="12"/>
      <c r="N820" s="12"/>
      <c r="O820" s="13"/>
      <c r="P820" s="13" t="s">
        <v>5330</v>
      </c>
      <c r="Q820" s="13"/>
      <c r="R820" s="13"/>
      <c r="S820" s="13" t="s">
        <v>5331</v>
      </c>
      <c r="T820" s="12" t="s">
        <v>94</v>
      </c>
      <c r="U820" s="12" t="s">
        <v>5332</v>
      </c>
    </row>
    <row r="821" customFormat="false" ht="31.5" hidden="false" customHeight="true" outlineLevel="0" collapsed="false">
      <c r="A821" s="12" t="n">
        <v>673</v>
      </c>
      <c r="B821" s="12" t="s">
        <v>1637</v>
      </c>
      <c r="C821" s="12" t="s">
        <v>2666</v>
      </c>
      <c r="D821" s="12" t="s">
        <v>476</v>
      </c>
      <c r="E821" s="12" t="s">
        <v>259</v>
      </c>
      <c r="F821" s="12" t="n">
        <v>468.7</v>
      </c>
      <c r="G821" s="12"/>
      <c r="H821" s="12" t="s">
        <v>1636</v>
      </c>
      <c r="I821" s="12"/>
      <c r="J821" s="12" t="n">
        <v>100</v>
      </c>
      <c r="K821" s="12" t="n">
        <v>75</v>
      </c>
      <c r="L821" s="12"/>
      <c r="M821" s="12" t="n">
        <v>250.72</v>
      </c>
      <c r="N821" s="12" t="n">
        <v>453.04</v>
      </c>
      <c r="O821" s="13"/>
      <c r="P821" s="13" t="s">
        <v>5333</v>
      </c>
      <c r="Q821" s="13"/>
      <c r="R821" s="13"/>
      <c r="S821" s="13" t="s">
        <v>5334</v>
      </c>
      <c r="T821" s="12" t="s">
        <v>94</v>
      </c>
      <c r="U821" s="12" t="s">
        <v>5332</v>
      </c>
    </row>
    <row r="822" customFormat="false" ht="31.5" hidden="false" customHeight="true" outlineLevel="0" collapsed="false">
      <c r="A822" s="12" t="n">
        <v>674</v>
      </c>
      <c r="B822" s="12" t="s">
        <v>1559</v>
      </c>
      <c r="C822" s="12" t="s">
        <v>2630</v>
      </c>
      <c r="D822" s="12" t="s">
        <v>1404</v>
      </c>
      <c r="E822" s="12" t="s">
        <v>259</v>
      </c>
      <c r="F822" s="12" t="n">
        <v>0.238</v>
      </c>
      <c r="G822" s="12"/>
      <c r="H822" s="12"/>
      <c r="I822" s="12"/>
      <c r="J822" s="12" t="n">
        <v>100</v>
      </c>
      <c r="K822" s="12" t="n">
        <v>50</v>
      </c>
      <c r="L822" s="12"/>
      <c r="M822" s="12" t="n">
        <v>44.25</v>
      </c>
      <c r="N822" s="12" t="n">
        <v>0.2358</v>
      </c>
      <c r="O822" s="13"/>
      <c r="P822" s="13" t="s">
        <v>5335</v>
      </c>
      <c r="Q822" s="13"/>
      <c r="R822" s="13"/>
      <c r="S822" s="13" t="s">
        <v>5336</v>
      </c>
      <c r="T822" s="12" t="s">
        <v>94</v>
      </c>
      <c r="U822" s="12" t="s">
        <v>5337</v>
      </c>
    </row>
    <row r="823" customFormat="false" ht="31.5" hidden="false" customHeight="true" outlineLevel="0" collapsed="false">
      <c r="A823" s="12" t="n">
        <v>675</v>
      </c>
      <c r="B823" s="12" t="s">
        <v>5338</v>
      </c>
      <c r="C823" s="12" t="s">
        <v>2557</v>
      </c>
      <c r="D823" s="12" t="s">
        <v>99</v>
      </c>
      <c r="E823" s="12" t="s">
        <v>259</v>
      </c>
      <c r="F823" s="12" t="n">
        <v>1759.84</v>
      </c>
      <c r="G823" s="12"/>
      <c r="H823" s="12"/>
      <c r="I823" s="12"/>
      <c r="J823" s="12"/>
      <c r="K823" s="12" t="n">
        <v>150</v>
      </c>
      <c r="L823" s="12"/>
      <c r="M823" s="12" t="n">
        <v>55.25</v>
      </c>
      <c r="N823" s="12" t="n">
        <v>1753.36</v>
      </c>
      <c r="O823" s="13"/>
      <c r="P823" s="13" t="s">
        <v>5339</v>
      </c>
      <c r="Q823" s="13"/>
      <c r="R823" s="13"/>
      <c r="S823" s="13" t="s">
        <v>5340</v>
      </c>
      <c r="T823" s="12" t="s">
        <v>94</v>
      </c>
      <c r="U823" s="12" t="s">
        <v>5341</v>
      </c>
    </row>
    <row r="824" customFormat="false" ht="31.5" hidden="false" customHeight="true" outlineLevel="0" collapsed="false">
      <c r="A824" s="12" t="n">
        <v>676</v>
      </c>
      <c r="B824" s="12" t="s">
        <v>1643</v>
      </c>
      <c r="C824" s="12" t="s">
        <v>2521</v>
      </c>
      <c r="D824" s="12" t="s">
        <v>596</v>
      </c>
      <c r="E824" s="12" t="s">
        <v>83</v>
      </c>
      <c r="F824" s="12" t="n">
        <v>68.8</v>
      </c>
      <c r="G824" s="12"/>
      <c r="H824" s="12"/>
      <c r="I824" s="12" t="n">
        <v>65.11</v>
      </c>
      <c r="J824" s="12"/>
      <c r="K824" s="12"/>
      <c r="L824" s="12"/>
      <c r="M824" s="12"/>
      <c r="N824" s="12"/>
      <c r="O824" s="13"/>
      <c r="P824" s="13" t="s">
        <v>5342</v>
      </c>
      <c r="Q824" s="13"/>
      <c r="R824" s="13"/>
      <c r="S824" s="13" t="s">
        <v>5343</v>
      </c>
      <c r="T824" s="12" t="s">
        <v>94</v>
      </c>
      <c r="U824" s="12" t="s">
        <v>1652</v>
      </c>
    </row>
    <row r="825" customFormat="false" ht="31.5" hidden="false" customHeight="true" outlineLevel="0" collapsed="false">
      <c r="A825" s="12" t="n">
        <v>677</v>
      </c>
      <c r="B825" s="12" t="s">
        <v>5344</v>
      </c>
      <c r="C825" s="12" t="s">
        <v>2502</v>
      </c>
      <c r="D825" s="12" t="s">
        <v>596</v>
      </c>
      <c r="E825" s="12"/>
      <c r="F825" s="12"/>
      <c r="G825" s="12"/>
      <c r="H825" s="12"/>
      <c r="I825" s="12"/>
      <c r="J825" s="12"/>
      <c r="K825" s="12"/>
      <c r="L825" s="12"/>
      <c r="M825" s="12"/>
      <c r="N825" s="12"/>
      <c r="O825" s="13"/>
      <c r="P825" s="13" t="s">
        <v>5345</v>
      </c>
      <c r="Q825" s="13"/>
      <c r="R825" s="13"/>
      <c r="S825" s="13" t="s">
        <v>5346</v>
      </c>
      <c r="T825" s="12" t="s">
        <v>108</v>
      </c>
      <c r="U825" s="12" t="s">
        <v>5347</v>
      </c>
    </row>
    <row r="826" customFormat="false" ht="31.5" hidden="false" customHeight="true" outlineLevel="0" collapsed="false">
      <c r="A826" s="12" t="n">
        <v>678</v>
      </c>
      <c r="B826" s="12" t="s">
        <v>5348</v>
      </c>
      <c r="C826" s="12" t="s">
        <v>2506</v>
      </c>
      <c r="D826" s="12" t="s">
        <v>596</v>
      </c>
      <c r="E826" s="12"/>
      <c r="F826" s="12"/>
      <c r="G826" s="12"/>
      <c r="H826" s="12"/>
      <c r="I826" s="12"/>
      <c r="J826" s="12"/>
      <c r="K826" s="12"/>
      <c r="L826" s="12"/>
      <c r="M826" s="12"/>
      <c r="N826" s="12"/>
      <c r="O826" s="13" t="s">
        <v>5349</v>
      </c>
      <c r="P826" s="13" t="s">
        <v>5350</v>
      </c>
      <c r="Q826" s="13"/>
      <c r="R826" s="13" t="s">
        <v>1649</v>
      </c>
      <c r="S826" s="13" t="s">
        <v>5351</v>
      </c>
      <c r="T826" s="12" t="s">
        <v>108</v>
      </c>
      <c r="U826" s="12" t="s">
        <v>5352</v>
      </c>
    </row>
    <row r="827" customFormat="false" ht="31.5" hidden="false" customHeight="true" outlineLevel="0" collapsed="false">
      <c r="A827" s="12" t="n">
        <v>679</v>
      </c>
      <c r="B827" s="12" t="s">
        <v>5353</v>
      </c>
      <c r="C827" s="12" t="s">
        <v>2670</v>
      </c>
      <c r="D827" s="12" t="s">
        <v>596</v>
      </c>
      <c r="E827" s="12" t="s">
        <v>83</v>
      </c>
      <c r="F827" s="12"/>
      <c r="G827" s="12"/>
      <c r="H827" s="12" t="s">
        <v>1645</v>
      </c>
      <c r="I827" s="12"/>
      <c r="J827" s="12"/>
      <c r="K827" s="12"/>
      <c r="L827" s="12"/>
      <c r="M827" s="12"/>
      <c r="N827" s="12"/>
      <c r="O827" s="13"/>
      <c r="P827" s="13" t="s">
        <v>5354</v>
      </c>
      <c r="Q827" s="13"/>
      <c r="R827" s="13"/>
      <c r="S827" s="13" t="s">
        <v>5355</v>
      </c>
      <c r="T827" s="12" t="s">
        <v>94</v>
      </c>
      <c r="U827" s="12" t="s">
        <v>5356</v>
      </c>
    </row>
    <row r="828" customFormat="false" ht="31.5" hidden="false" customHeight="true" outlineLevel="0" collapsed="false">
      <c r="A828" s="12" t="n">
        <v>680</v>
      </c>
      <c r="B828" s="12" t="s">
        <v>1646</v>
      </c>
      <c r="C828" s="12" t="s">
        <v>2511</v>
      </c>
      <c r="D828" s="12"/>
      <c r="E828" s="12"/>
      <c r="F828" s="12"/>
      <c r="G828" s="12"/>
      <c r="H828" s="12"/>
      <c r="I828" s="12"/>
      <c r="J828" s="12"/>
      <c r="K828" s="12"/>
      <c r="L828" s="12"/>
      <c r="M828" s="12"/>
      <c r="N828" s="12"/>
      <c r="O828" s="13"/>
      <c r="P828" s="13" t="s">
        <v>5357</v>
      </c>
      <c r="Q828" s="13"/>
      <c r="R828" s="13" t="s">
        <v>1649</v>
      </c>
      <c r="S828" s="13" t="s">
        <v>5358</v>
      </c>
      <c r="T828" s="12" t="s">
        <v>94</v>
      </c>
      <c r="U828" s="12" t="s">
        <v>5359</v>
      </c>
    </row>
    <row r="829" customFormat="false" ht="31.5" hidden="false" customHeight="true" outlineLevel="0" collapsed="false">
      <c r="A829" s="12" t="n">
        <v>680</v>
      </c>
      <c r="B829" s="12" t="s">
        <v>1646</v>
      </c>
      <c r="C829" s="12" t="s">
        <v>2666</v>
      </c>
      <c r="D829" s="12" t="s">
        <v>596</v>
      </c>
      <c r="E829" s="12" t="s">
        <v>83</v>
      </c>
      <c r="F829" s="12" t="n">
        <v>68.787</v>
      </c>
      <c r="G829" s="12"/>
      <c r="H829" s="12" t="s">
        <v>1645</v>
      </c>
      <c r="I829" s="12"/>
      <c r="J829" s="12" t="n">
        <v>100</v>
      </c>
      <c r="K829" s="12" t="n">
        <v>75</v>
      </c>
      <c r="L829" s="12"/>
      <c r="M829" s="12" t="n">
        <v>219.04</v>
      </c>
      <c r="N829" s="12" t="n">
        <v>70.796</v>
      </c>
      <c r="O829" s="13"/>
      <c r="P829" s="13" t="s">
        <v>5360</v>
      </c>
      <c r="Q829" s="13"/>
      <c r="R829" s="13" t="s">
        <v>1649</v>
      </c>
      <c r="S829" s="13" t="s">
        <v>5361</v>
      </c>
      <c r="T829" s="12" t="s">
        <v>94</v>
      </c>
      <c r="U829" s="12" t="s">
        <v>5359</v>
      </c>
    </row>
    <row r="830" customFormat="false" ht="31.5" hidden="false" customHeight="true" outlineLevel="0" collapsed="false">
      <c r="A830" s="12" t="n">
        <v>681</v>
      </c>
      <c r="B830" s="12" t="s">
        <v>5362</v>
      </c>
      <c r="C830" s="12" t="s">
        <v>2527</v>
      </c>
      <c r="D830" s="12" t="s">
        <v>596</v>
      </c>
      <c r="E830" s="12" t="s">
        <v>83</v>
      </c>
      <c r="F830" s="12"/>
      <c r="G830" s="12"/>
      <c r="H830" s="12"/>
      <c r="I830" s="12"/>
      <c r="J830" s="12"/>
      <c r="K830" s="12"/>
      <c r="L830" s="12"/>
      <c r="M830" s="12"/>
      <c r="N830" s="12" t="n">
        <v>60</v>
      </c>
      <c r="O830" s="13"/>
      <c r="P830" s="13" t="s">
        <v>5363</v>
      </c>
      <c r="Q830" s="13" t="s">
        <v>1248</v>
      </c>
      <c r="R830" s="13"/>
      <c r="S830" s="13" t="s">
        <v>5364</v>
      </c>
      <c r="T830" s="12" t="s">
        <v>94</v>
      </c>
      <c r="U830" s="12" t="s">
        <v>5365</v>
      </c>
    </row>
    <row r="831" customFormat="false" ht="31.5" hidden="false" customHeight="true" outlineLevel="0" collapsed="false">
      <c r="A831" s="12" t="n">
        <v>681</v>
      </c>
      <c r="B831" s="12" t="s">
        <v>5362</v>
      </c>
      <c r="C831" s="12" t="s">
        <v>2537</v>
      </c>
      <c r="D831" s="12" t="s">
        <v>596</v>
      </c>
      <c r="E831" s="12" t="s">
        <v>83</v>
      </c>
      <c r="F831" s="12"/>
      <c r="G831" s="12" t="n">
        <v>52</v>
      </c>
      <c r="H831" s="12"/>
      <c r="I831" s="12"/>
      <c r="J831" s="12"/>
      <c r="K831" s="12"/>
      <c r="L831" s="12"/>
      <c r="M831" s="12"/>
      <c r="N831" s="12"/>
      <c r="O831" s="13"/>
      <c r="P831" s="13" t="s">
        <v>5366</v>
      </c>
      <c r="Q831" s="13"/>
      <c r="R831" s="13"/>
      <c r="S831" s="13" t="s">
        <v>5367</v>
      </c>
      <c r="T831" s="12" t="s">
        <v>108</v>
      </c>
      <c r="U831" s="12" t="s">
        <v>5365</v>
      </c>
    </row>
    <row r="832" customFormat="false" ht="31.5" hidden="false" customHeight="true" outlineLevel="0" collapsed="false">
      <c r="A832" s="12" t="n">
        <v>682</v>
      </c>
      <c r="B832" s="12" t="s">
        <v>1653</v>
      </c>
      <c r="C832" s="12" t="s">
        <v>2521</v>
      </c>
      <c r="D832" s="12" t="s">
        <v>1654</v>
      </c>
      <c r="E832" s="12" t="s">
        <v>259</v>
      </c>
      <c r="F832" s="12" t="n">
        <v>0.1068</v>
      </c>
      <c r="G832" s="12"/>
      <c r="H832" s="12"/>
      <c r="I832" s="12" t="n">
        <v>0.1123</v>
      </c>
      <c r="J832" s="12"/>
      <c r="K832" s="12"/>
      <c r="L832" s="12"/>
      <c r="M832" s="12"/>
      <c r="N832" s="12"/>
      <c r="O832" s="13"/>
      <c r="P832" s="13" t="s">
        <v>5368</v>
      </c>
      <c r="Q832" s="13"/>
      <c r="R832" s="13"/>
      <c r="S832" s="13" t="s">
        <v>5369</v>
      </c>
      <c r="T832" s="12" t="s">
        <v>94</v>
      </c>
      <c r="U832" s="12" t="s">
        <v>1660</v>
      </c>
    </row>
    <row r="833" customFormat="false" ht="31.5" hidden="false" customHeight="true" outlineLevel="0" collapsed="false">
      <c r="A833" s="12" t="n">
        <v>683</v>
      </c>
      <c r="B833" s="12" t="s">
        <v>1661</v>
      </c>
      <c r="C833" s="12" t="s">
        <v>2521</v>
      </c>
      <c r="D833" s="12" t="s">
        <v>1662</v>
      </c>
      <c r="E833" s="12" t="s">
        <v>83</v>
      </c>
      <c r="F833" s="12" t="n">
        <v>0.0644</v>
      </c>
      <c r="G833" s="12"/>
      <c r="H833" s="12"/>
      <c r="I833" s="12" t="n">
        <v>0.0493</v>
      </c>
      <c r="J833" s="12"/>
      <c r="K833" s="12"/>
      <c r="L833" s="12"/>
      <c r="M833" s="12"/>
      <c r="N833" s="12"/>
      <c r="O833" s="13"/>
      <c r="P833" s="13" t="s">
        <v>5370</v>
      </c>
      <c r="Q833" s="13"/>
      <c r="R833" s="13"/>
      <c r="S833" s="13" t="s">
        <v>5371</v>
      </c>
      <c r="T833" s="12" t="s">
        <v>94</v>
      </c>
      <c r="U833" s="12" t="s">
        <v>1670</v>
      </c>
    </row>
    <row r="834" customFormat="false" ht="31.5" hidden="false" customHeight="true" outlineLevel="0" collapsed="false">
      <c r="A834" s="12" t="n">
        <v>684</v>
      </c>
      <c r="B834" s="12" t="s">
        <v>1655</v>
      </c>
      <c r="C834" s="12" t="s">
        <v>2666</v>
      </c>
      <c r="D834" s="12" t="s">
        <v>1654</v>
      </c>
      <c r="E834" s="12" t="s">
        <v>259</v>
      </c>
      <c r="F834" s="12" t="n">
        <v>0.1067</v>
      </c>
      <c r="G834" s="12"/>
      <c r="H834" s="12"/>
      <c r="I834" s="12"/>
      <c r="J834" s="12" t="n">
        <v>100</v>
      </c>
      <c r="K834" s="12" t="n">
        <v>75</v>
      </c>
      <c r="L834" s="12" t="n">
        <v>0.5</v>
      </c>
      <c r="M834" s="12" t="n">
        <v>231.95</v>
      </c>
      <c r="N834" s="12" t="n">
        <v>0.1034</v>
      </c>
      <c r="O834" s="13"/>
      <c r="P834" s="13" t="s">
        <v>5372</v>
      </c>
      <c r="Q834" s="13"/>
      <c r="R834" s="13"/>
      <c r="S834" s="13" t="s">
        <v>5373</v>
      </c>
      <c r="T834" s="12" t="s">
        <v>94</v>
      </c>
      <c r="U834" s="12" t="s">
        <v>5374</v>
      </c>
    </row>
    <row r="835" customFormat="false" ht="31.5" hidden="false" customHeight="true" outlineLevel="0" collapsed="false">
      <c r="A835" s="12" t="n">
        <v>685</v>
      </c>
      <c r="B835" s="12" t="s">
        <v>5375</v>
      </c>
      <c r="C835" s="12" t="s">
        <v>2557</v>
      </c>
      <c r="D835" s="12" t="s">
        <v>99</v>
      </c>
      <c r="E835" s="12" t="s">
        <v>259</v>
      </c>
      <c r="F835" s="12" t="n">
        <v>1759.84</v>
      </c>
      <c r="G835" s="12"/>
      <c r="H835" s="12"/>
      <c r="I835" s="12"/>
      <c r="J835" s="12"/>
      <c r="K835" s="12" t="n">
        <v>150</v>
      </c>
      <c r="L835" s="12"/>
      <c r="M835" s="12" t="n">
        <v>195.5</v>
      </c>
      <c r="N835" s="12" t="n">
        <v>1736.9</v>
      </c>
      <c r="O835" s="13"/>
      <c r="P835" s="13" t="s">
        <v>5376</v>
      </c>
      <c r="Q835" s="13"/>
      <c r="R835" s="13"/>
      <c r="S835" s="13" t="s">
        <v>5377</v>
      </c>
      <c r="T835" s="12" t="s">
        <v>94</v>
      </c>
      <c r="U835" s="12" t="s">
        <v>5378</v>
      </c>
    </row>
    <row r="836" customFormat="false" ht="31.5" hidden="false" customHeight="true" outlineLevel="0" collapsed="false">
      <c r="A836" s="12" t="n">
        <v>686</v>
      </c>
      <c r="B836" s="12" t="s">
        <v>5379</v>
      </c>
      <c r="C836" s="12" t="s">
        <v>2511</v>
      </c>
      <c r="D836" s="12"/>
      <c r="E836" s="12"/>
      <c r="F836" s="12"/>
      <c r="G836" s="12"/>
      <c r="H836" s="12"/>
      <c r="I836" s="12"/>
      <c r="J836" s="12"/>
      <c r="K836" s="12"/>
      <c r="L836" s="12"/>
      <c r="M836" s="12"/>
      <c r="N836" s="12"/>
      <c r="O836" s="13"/>
      <c r="P836" s="13" t="s">
        <v>5380</v>
      </c>
      <c r="Q836" s="13"/>
      <c r="R836" s="13"/>
      <c r="S836" s="13" t="s">
        <v>5381</v>
      </c>
      <c r="T836" s="12" t="s">
        <v>94</v>
      </c>
      <c r="U836" s="12" t="s">
        <v>5382</v>
      </c>
    </row>
    <row r="837" customFormat="false" ht="31.5" hidden="false" customHeight="true" outlineLevel="0" collapsed="false">
      <c r="A837" s="12" t="n">
        <v>687</v>
      </c>
      <c r="B837" s="12" t="s">
        <v>5383</v>
      </c>
      <c r="C837" s="12" t="s">
        <v>2506</v>
      </c>
      <c r="D837" s="12"/>
      <c r="E837" s="12"/>
      <c r="F837" s="12"/>
      <c r="G837" s="12"/>
      <c r="H837" s="12"/>
      <c r="I837" s="12"/>
      <c r="J837" s="12"/>
      <c r="K837" s="12"/>
      <c r="L837" s="12"/>
      <c r="M837" s="12"/>
      <c r="N837" s="12"/>
      <c r="O837" s="13" t="s">
        <v>5384</v>
      </c>
      <c r="P837" s="13" t="s">
        <v>5385</v>
      </c>
      <c r="Q837" s="13"/>
      <c r="R837" s="13"/>
      <c r="S837" s="13" t="s">
        <v>5386</v>
      </c>
      <c r="T837" s="12" t="s">
        <v>94</v>
      </c>
      <c r="U837" s="12" t="s">
        <v>5387</v>
      </c>
    </row>
    <row r="838" customFormat="false" ht="31.5" hidden="false" customHeight="true" outlineLevel="0" collapsed="false">
      <c r="A838" s="12" t="n">
        <v>688</v>
      </c>
      <c r="B838" s="12" t="s">
        <v>1671</v>
      </c>
      <c r="C838" s="12" t="s">
        <v>2521</v>
      </c>
      <c r="D838" s="12" t="s">
        <v>1672</v>
      </c>
      <c r="E838" s="12" t="s">
        <v>259</v>
      </c>
      <c r="F838" s="12" t="n">
        <v>0.1993</v>
      </c>
      <c r="G838" s="12"/>
      <c r="H838" s="12" t="s">
        <v>1674</v>
      </c>
      <c r="I838" s="12" t="n">
        <v>0.20923</v>
      </c>
      <c r="J838" s="12"/>
      <c r="K838" s="12"/>
      <c r="L838" s="12"/>
      <c r="M838" s="12"/>
      <c r="N838" s="12"/>
      <c r="O838" s="13" t="s">
        <v>5315</v>
      </c>
      <c r="P838" s="13" t="s">
        <v>5388</v>
      </c>
      <c r="Q838" s="13"/>
      <c r="R838" s="13"/>
      <c r="S838" s="13" t="s">
        <v>5389</v>
      </c>
      <c r="T838" s="12" t="s">
        <v>94</v>
      </c>
      <c r="U838" s="12" t="s">
        <v>1682</v>
      </c>
    </row>
    <row r="839" customFormat="false" ht="31.5" hidden="false" customHeight="true" outlineLevel="0" collapsed="false">
      <c r="A839" s="12" t="n">
        <v>689</v>
      </c>
      <c r="B839" s="12" t="s">
        <v>5390</v>
      </c>
      <c r="C839" s="12" t="s">
        <v>2527</v>
      </c>
      <c r="D839" s="12" t="s">
        <v>113</v>
      </c>
      <c r="E839" s="12"/>
      <c r="F839" s="12"/>
      <c r="G839" s="12"/>
      <c r="H839" s="12"/>
      <c r="I839" s="12"/>
      <c r="J839" s="12"/>
      <c r="K839" s="12"/>
      <c r="L839" s="12"/>
      <c r="M839" s="12"/>
      <c r="N839" s="12" t="n">
        <v>64000</v>
      </c>
      <c r="O839" s="13"/>
      <c r="P839" s="13" t="s">
        <v>5391</v>
      </c>
      <c r="Q839" s="13"/>
      <c r="R839" s="13"/>
      <c r="S839" s="13" t="s">
        <v>5392</v>
      </c>
      <c r="T839" s="12" t="s">
        <v>94</v>
      </c>
      <c r="U839" s="12" t="s">
        <v>5393</v>
      </c>
    </row>
    <row r="840" customFormat="false" ht="31.5" hidden="false" customHeight="true" outlineLevel="0" collapsed="false">
      <c r="A840" s="12" t="n">
        <v>690</v>
      </c>
      <c r="B840" s="12" t="s">
        <v>5394</v>
      </c>
      <c r="C840" s="12" t="s">
        <v>2527</v>
      </c>
      <c r="D840" s="12" t="s">
        <v>113</v>
      </c>
      <c r="E840" s="12"/>
      <c r="F840" s="12"/>
      <c r="G840" s="12"/>
      <c r="H840" s="12"/>
      <c r="I840" s="12"/>
      <c r="J840" s="12"/>
      <c r="K840" s="12"/>
      <c r="L840" s="12"/>
      <c r="M840" s="12"/>
      <c r="N840" s="12" t="n">
        <v>65000</v>
      </c>
      <c r="O840" s="13"/>
      <c r="P840" s="13" t="s">
        <v>5395</v>
      </c>
      <c r="Q840" s="13"/>
      <c r="R840" s="13"/>
      <c r="S840" s="13" t="s">
        <v>5396</v>
      </c>
      <c r="T840" s="12" t="s">
        <v>94</v>
      </c>
      <c r="U840" s="12" t="s">
        <v>5397</v>
      </c>
    </row>
    <row r="841" customFormat="false" ht="31.5" hidden="false" customHeight="true" outlineLevel="0" collapsed="false">
      <c r="A841" s="12" t="n">
        <v>691</v>
      </c>
      <c r="B841" s="12" t="s">
        <v>5398</v>
      </c>
      <c r="C841" s="12" t="s">
        <v>2557</v>
      </c>
      <c r="D841" s="12" t="s">
        <v>1672</v>
      </c>
      <c r="E841" s="12" t="s">
        <v>259</v>
      </c>
      <c r="F841" s="12"/>
      <c r="G841" s="12"/>
      <c r="H841" s="12"/>
      <c r="I841" s="12"/>
      <c r="J841" s="12"/>
      <c r="K841" s="12"/>
      <c r="L841" s="12"/>
      <c r="M841" s="12"/>
      <c r="N841" s="12"/>
      <c r="O841" s="13" t="s">
        <v>5399</v>
      </c>
      <c r="P841" s="13" t="s">
        <v>5400</v>
      </c>
      <c r="Q841" s="13"/>
      <c r="R841" s="13" t="s">
        <v>5401</v>
      </c>
      <c r="S841" s="13" t="s">
        <v>5402</v>
      </c>
      <c r="T841" s="12" t="s">
        <v>94</v>
      </c>
      <c r="U841" s="12" t="s">
        <v>5403</v>
      </c>
    </row>
    <row r="842" customFormat="false" ht="31.5" hidden="false" customHeight="true" outlineLevel="0" collapsed="false">
      <c r="A842" s="12" t="n">
        <v>692</v>
      </c>
      <c r="B842" s="12" t="s">
        <v>1676</v>
      </c>
      <c r="C842" s="12" t="s">
        <v>2666</v>
      </c>
      <c r="D842" s="12" t="s">
        <v>1672</v>
      </c>
      <c r="E842" s="12" t="s">
        <v>259</v>
      </c>
      <c r="F842" s="12" t="n">
        <v>0.19789</v>
      </c>
      <c r="G842" s="12"/>
      <c r="H842" s="12" t="s">
        <v>1674</v>
      </c>
      <c r="I842" s="12"/>
      <c r="J842" s="12" t="n">
        <v>100</v>
      </c>
      <c r="K842" s="12" t="n">
        <v>75</v>
      </c>
      <c r="L842" s="12"/>
      <c r="M842" s="12" t="n">
        <v>188.93</v>
      </c>
      <c r="N842" s="12" t="n">
        <v>0.19291</v>
      </c>
      <c r="O842" s="13"/>
      <c r="P842" s="13" t="s">
        <v>5404</v>
      </c>
      <c r="Q842" s="13"/>
      <c r="R842" s="13"/>
      <c r="S842" s="13" t="s">
        <v>5405</v>
      </c>
      <c r="T842" s="12" t="s">
        <v>94</v>
      </c>
      <c r="U842" s="12" t="s">
        <v>5406</v>
      </c>
    </row>
    <row r="843" customFormat="false" ht="31.5" hidden="false" customHeight="true" outlineLevel="0" collapsed="false">
      <c r="A843" s="12" t="n">
        <v>693</v>
      </c>
      <c r="B843" s="12" t="s">
        <v>5407</v>
      </c>
      <c r="C843" s="12" t="s">
        <v>2502</v>
      </c>
      <c r="D843" s="12"/>
      <c r="E843" s="12"/>
      <c r="F843" s="12"/>
      <c r="G843" s="12"/>
      <c r="H843" s="12"/>
      <c r="I843" s="12"/>
      <c r="J843" s="12"/>
      <c r="K843" s="12"/>
      <c r="L843" s="12"/>
      <c r="M843" s="12"/>
      <c r="N843" s="12"/>
      <c r="O843" s="13"/>
      <c r="P843" s="13" t="s">
        <v>5408</v>
      </c>
      <c r="Q843" s="13"/>
      <c r="R843" s="13"/>
      <c r="S843" s="13" t="s">
        <v>5409</v>
      </c>
      <c r="T843" s="12" t="s">
        <v>94</v>
      </c>
      <c r="U843" s="12" t="s">
        <v>5410</v>
      </c>
    </row>
    <row r="844" customFormat="false" ht="31.5" hidden="false" customHeight="true" outlineLevel="0" collapsed="false">
      <c r="A844" s="12" t="n">
        <v>694</v>
      </c>
      <c r="B844" s="12" t="s">
        <v>1683</v>
      </c>
      <c r="C844" s="12" t="s">
        <v>2521</v>
      </c>
      <c r="D844" s="12" t="s">
        <v>552</v>
      </c>
      <c r="E844" s="12" t="s">
        <v>259</v>
      </c>
      <c r="F844" s="12" t="n">
        <v>6.42</v>
      </c>
      <c r="G844" s="12" t="n">
        <v>6.46</v>
      </c>
      <c r="H844" s="12" t="s">
        <v>1685</v>
      </c>
      <c r="I844" s="12" t="n">
        <v>6.752</v>
      </c>
      <c r="J844" s="12"/>
      <c r="K844" s="12"/>
      <c r="L844" s="12"/>
      <c r="M844" s="12"/>
      <c r="N844" s="12"/>
      <c r="O844" s="13"/>
      <c r="P844" s="13" t="s">
        <v>5411</v>
      </c>
      <c r="Q844" s="13"/>
      <c r="R844" s="13"/>
      <c r="S844" s="13" t="s">
        <v>5412</v>
      </c>
      <c r="T844" s="12" t="s">
        <v>94</v>
      </c>
      <c r="U844" s="12" t="s">
        <v>1692</v>
      </c>
    </row>
    <row r="845" customFormat="false" ht="31.5" hidden="false" customHeight="true" outlineLevel="0" collapsed="false">
      <c r="A845" s="12" t="n">
        <v>695</v>
      </c>
      <c r="B845" s="12" t="s">
        <v>1686</v>
      </c>
      <c r="C845" s="12" t="s">
        <v>2564</v>
      </c>
      <c r="D845" s="12" t="s">
        <v>552</v>
      </c>
      <c r="E845" s="12" t="s">
        <v>259</v>
      </c>
      <c r="F845" s="12"/>
      <c r="G845" s="12"/>
      <c r="H845" s="12"/>
      <c r="I845" s="12"/>
      <c r="J845" s="12"/>
      <c r="K845" s="12"/>
      <c r="L845" s="12"/>
      <c r="M845" s="12"/>
      <c r="N845" s="12"/>
      <c r="O845" s="13"/>
      <c r="P845" s="13" t="s">
        <v>5413</v>
      </c>
      <c r="Q845" s="13"/>
      <c r="R845" s="13"/>
      <c r="S845" s="13" t="s">
        <v>5414</v>
      </c>
      <c r="T845" s="12" t="s">
        <v>108</v>
      </c>
      <c r="U845" s="12" t="s">
        <v>5415</v>
      </c>
    </row>
    <row r="846" customFormat="false" ht="31.5" hidden="false" customHeight="true" outlineLevel="0" collapsed="false">
      <c r="A846" s="12" t="n">
        <v>696</v>
      </c>
      <c r="B846" s="12" t="s">
        <v>1693</v>
      </c>
      <c r="C846" s="12" t="s">
        <v>2521</v>
      </c>
      <c r="D846" s="12" t="s">
        <v>317</v>
      </c>
      <c r="E846" s="12" t="s">
        <v>83</v>
      </c>
      <c r="F846" s="12" t="n">
        <v>77.9</v>
      </c>
      <c r="G846" s="12"/>
      <c r="H846" s="12"/>
      <c r="I846" s="12" t="n">
        <v>73</v>
      </c>
      <c r="J846" s="12"/>
      <c r="K846" s="12"/>
      <c r="L846" s="12"/>
      <c r="M846" s="12"/>
      <c r="N846" s="12"/>
      <c r="O846" s="13"/>
      <c r="P846" s="13" t="s">
        <v>5416</v>
      </c>
      <c r="Q846" s="13"/>
      <c r="R846" s="13"/>
      <c r="S846" s="13" t="s">
        <v>5417</v>
      </c>
      <c r="T846" s="12" t="s">
        <v>94</v>
      </c>
      <c r="U846" s="12" t="s">
        <v>1701</v>
      </c>
    </row>
    <row r="847" customFormat="false" ht="31.5" hidden="false" customHeight="true" outlineLevel="0" collapsed="false">
      <c r="A847" s="12" t="n">
        <v>697</v>
      </c>
      <c r="B847" s="12" t="s">
        <v>1702</v>
      </c>
      <c r="C847" s="12" t="s">
        <v>2521</v>
      </c>
      <c r="D847" s="12" t="s">
        <v>113</v>
      </c>
      <c r="E847" s="12" t="s">
        <v>83</v>
      </c>
      <c r="F847" s="12" t="n">
        <v>63200</v>
      </c>
      <c r="G847" s="12" t="n">
        <v>62570</v>
      </c>
      <c r="H847" s="12" t="s">
        <v>1705</v>
      </c>
      <c r="I847" s="12" t="n">
        <v>61700</v>
      </c>
      <c r="J847" s="12"/>
      <c r="K847" s="12"/>
      <c r="L847" s="12"/>
      <c r="M847" s="12"/>
      <c r="N847" s="12"/>
      <c r="O847" s="13" t="s">
        <v>5418</v>
      </c>
      <c r="P847" s="13" t="s">
        <v>5419</v>
      </c>
      <c r="Q847" s="13"/>
      <c r="R847" s="13"/>
      <c r="S847" s="13" t="s">
        <v>5420</v>
      </c>
      <c r="T847" s="12" t="s">
        <v>94</v>
      </c>
      <c r="U847" s="12" t="s">
        <v>1713</v>
      </c>
    </row>
    <row r="848" customFormat="false" ht="31.5" hidden="false" customHeight="true" outlineLevel="0" collapsed="false">
      <c r="A848" s="12" t="n">
        <v>698</v>
      </c>
      <c r="B848" s="12" t="s">
        <v>1707</v>
      </c>
      <c r="C848" s="12" t="s">
        <v>2666</v>
      </c>
      <c r="D848" s="12" t="s">
        <v>113</v>
      </c>
      <c r="E848" s="12" t="s">
        <v>83</v>
      </c>
      <c r="F848" s="12" t="n">
        <v>63229.9</v>
      </c>
      <c r="G848" s="12"/>
      <c r="H848" s="12" t="s">
        <v>1705</v>
      </c>
      <c r="I848" s="12"/>
      <c r="J848" s="12" t="n">
        <v>100</v>
      </c>
      <c r="K848" s="12" t="n">
        <v>150</v>
      </c>
      <c r="L848" s="12"/>
      <c r="M848" s="12" t="n">
        <v>182.32</v>
      </c>
      <c r="N848" s="12" t="n">
        <v>63998.4</v>
      </c>
      <c r="O848" s="13"/>
      <c r="P848" s="13" t="s">
        <v>5421</v>
      </c>
      <c r="Q848" s="13"/>
      <c r="R848" s="13"/>
      <c r="S848" s="13" t="s">
        <v>5422</v>
      </c>
      <c r="T848" s="12" t="s">
        <v>94</v>
      </c>
      <c r="U848" s="12" t="s">
        <v>5423</v>
      </c>
    </row>
    <row r="849" customFormat="false" ht="31.5" hidden="false" customHeight="true" outlineLevel="0" collapsed="false">
      <c r="A849" s="12" t="n">
        <v>699</v>
      </c>
      <c r="B849" s="12" t="s">
        <v>1714</v>
      </c>
      <c r="C849" s="12" t="s">
        <v>2521</v>
      </c>
      <c r="D849" s="12" t="s">
        <v>1715</v>
      </c>
      <c r="E849" s="12" t="s">
        <v>83</v>
      </c>
      <c r="F849" s="12" t="n">
        <v>0.359</v>
      </c>
      <c r="G849" s="12"/>
      <c r="H849" s="12"/>
      <c r="I849" s="12" t="n">
        <v>0.2864</v>
      </c>
      <c r="J849" s="12"/>
      <c r="K849" s="12"/>
      <c r="L849" s="12"/>
      <c r="M849" s="12"/>
      <c r="N849" s="12" t="n">
        <v>0.364</v>
      </c>
      <c r="O849" s="13" t="s">
        <v>5424</v>
      </c>
      <c r="P849" s="13" t="s">
        <v>5425</v>
      </c>
      <c r="Q849" s="13"/>
      <c r="R849" s="13"/>
      <c r="S849" s="13" t="s">
        <v>5426</v>
      </c>
      <c r="T849" s="12" t="s">
        <v>94</v>
      </c>
      <c r="U849" s="12" t="s">
        <v>1724</v>
      </c>
    </row>
    <row r="850" customFormat="false" ht="31.5" hidden="false" customHeight="true" outlineLevel="0" collapsed="false">
      <c r="A850" s="12" t="n">
        <v>700</v>
      </c>
      <c r="B850" s="12" t="s">
        <v>5427</v>
      </c>
      <c r="C850" s="12" t="s">
        <v>2506</v>
      </c>
      <c r="D850" s="12" t="s">
        <v>1715</v>
      </c>
      <c r="E850" s="12"/>
      <c r="F850" s="12"/>
      <c r="G850" s="12"/>
      <c r="H850" s="12"/>
      <c r="I850" s="12"/>
      <c r="J850" s="12"/>
      <c r="K850" s="12"/>
      <c r="L850" s="12"/>
      <c r="M850" s="12"/>
      <c r="N850" s="12"/>
      <c r="O850" s="13" t="s">
        <v>5428</v>
      </c>
      <c r="P850" s="13" t="s">
        <v>5429</v>
      </c>
      <c r="Q850" s="13"/>
      <c r="R850" s="13"/>
      <c r="S850" s="13" t="s">
        <v>5430</v>
      </c>
      <c r="T850" s="12" t="s">
        <v>108</v>
      </c>
      <c r="U850" s="12" t="s">
        <v>5431</v>
      </c>
    </row>
    <row r="851" customFormat="false" ht="31.5" hidden="false" customHeight="true" outlineLevel="0" collapsed="false">
      <c r="A851" s="12" t="n">
        <v>701</v>
      </c>
      <c r="B851" s="12" t="s">
        <v>5432</v>
      </c>
      <c r="C851" s="12" t="s">
        <v>2527</v>
      </c>
      <c r="D851" s="12" t="s">
        <v>113</v>
      </c>
      <c r="E851" s="12"/>
      <c r="F851" s="12"/>
      <c r="G851" s="12"/>
      <c r="H851" s="12"/>
      <c r="I851" s="12"/>
      <c r="J851" s="12"/>
      <c r="K851" s="12"/>
      <c r="L851" s="12"/>
      <c r="M851" s="12"/>
      <c r="N851" s="12"/>
      <c r="O851" s="13" t="s">
        <v>5433</v>
      </c>
      <c r="P851" s="13" t="s">
        <v>5434</v>
      </c>
      <c r="Q851" s="13"/>
      <c r="R851" s="13" t="s">
        <v>5435</v>
      </c>
      <c r="S851" s="13" t="s">
        <v>5436</v>
      </c>
      <c r="T851" s="12" t="s">
        <v>108</v>
      </c>
      <c r="U851" s="12" t="s">
        <v>5437</v>
      </c>
    </row>
    <row r="852" customFormat="false" ht="31.5" hidden="false" customHeight="true" outlineLevel="0" collapsed="false">
      <c r="A852" s="12" t="n">
        <v>702</v>
      </c>
      <c r="B852" s="12" t="s">
        <v>1725</v>
      </c>
      <c r="C852" s="12" t="s">
        <v>2521</v>
      </c>
      <c r="D852" s="12" t="s">
        <v>113</v>
      </c>
      <c r="E852" s="12" t="s">
        <v>83</v>
      </c>
      <c r="F852" s="12" t="n">
        <v>62800</v>
      </c>
      <c r="G852" s="12"/>
      <c r="H852" s="12" t="s">
        <v>1727</v>
      </c>
      <c r="I852" s="12" t="n">
        <v>61500</v>
      </c>
      <c r="J852" s="12"/>
      <c r="K852" s="12"/>
      <c r="L852" s="12"/>
      <c r="M852" s="12"/>
      <c r="N852" s="12"/>
      <c r="O852" s="13"/>
      <c r="P852" s="13" t="s">
        <v>5438</v>
      </c>
      <c r="Q852" s="13"/>
      <c r="R852" s="13"/>
      <c r="S852" s="13" t="s">
        <v>5439</v>
      </c>
      <c r="T852" s="12" t="s">
        <v>94</v>
      </c>
      <c r="U852" s="12" t="s">
        <v>1735</v>
      </c>
    </row>
    <row r="853" customFormat="false" ht="31.5" hidden="false" customHeight="true" outlineLevel="0" collapsed="false">
      <c r="A853" s="12" t="n">
        <v>703</v>
      </c>
      <c r="B853" s="12" t="s">
        <v>5440</v>
      </c>
      <c r="C853" s="12" t="s">
        <v>2549</v>
      </c>
      <c r="D853" s="12" t="s">
        <v>113</v>
      </c>
      <c r="E853" s="12" t="s">
        <v>83</v>
      </c>
      <c r="F853" s="12" t="n">
        <v>62800</v>
      </c>
      <c r="G853" s="12"/>
      <c r="H853" s="12"/>
      <c r="I853" s="12"/>
      <c r="J853" s="12"/>
      <c r="K853" s="12"/>
      <c r="L853" s="12"/>
      <c r="M853" s="12"/>
      <c r="N853" s="12" t="n">
        <v>62800</v>
      </c>
      <c r="O853" s="13"/>
      <c r="P853" s="13" t="s">
        <v>5441</v>
      </c>
      <c r="Q853" s="13"/>
      <c r="R853" s="13"/>
      <c r="S853" s="13" t="s">
        <v>388</v>
      </c>
      <c r="T853" s="12" t="s">
        <v>108</v>
      </c>
      <c r="U853" s="12" t="s">
        <v>5442</v>
      </c>
    </row>
    <row r="854" customFormat="false" ht="31.5" hidden="false" customHeight="true" outlineLevel="0" collapsed="false">
      <c r="A854" s="12" t="n">
        <v>704</v>
      </c>
      <c r="B854" s="12" t="s">
        <v>1736</v>
      </c>
      <c r="C854" s="12" t="s">
        <v>2521</v>
      </c>
      <c r="D854" s="12" t="s">
        <v>1737</v>
      </c>
      <c r="E854" s="12" t="s">
        <v>83</v>
      </c>
      <c r="F854" s="12" t="n">
        <v>0.241</v>
      </c>
      <c r="G854" s="12"/>
      <c r="H854" s="12" t="s">
        <v>1738</v>
      </c>
      <c r="I854" s="12" t="n">
        <v>0.22</v>
      </c>
      <c r="J854" s="12"/>
      <c r="K854" s="12"/>
      <c r="L854" s="12"/>
      <c r="M854" s="12"/>
      <c r="N854" s="12" t="n">
        <v>0.241</v>
      </c>
      <c r="O854" s="13"/>
      <c r="P854" s="13" t="s">
        <v>5443</v>
      </c>
      <c r="Q854" s="13"/>
      <c r="R854" s="13"/>
      <c r="S854" s="13" t="s">
        <v>5444</v>
      </c>
      <c r="T854" s="12" t="s">
        <v>94</v>
      </c>
      <c r="U854" s="12" t="s">
        <v>1743</v>
      </c>
    </row>
    <row r="855" customFormat="false" ht="31.5" hidden="false" customHeight="true" outlineLevel="0" collapsed="false">
      <c r="A855" s="12" t="n">
        <v>705</v>
      </c>
      <c r="B855" s="12" t="s">
        <v>5445</v>
      </c>
      <c r="C855" s="12" t="s">
        <v>2527</v>
      </c>
      <c r="D855" s="12"/>
      <c r="E855" s="12"/>
      <c r="F855" s="12"/>
      <c r="G855" s="12"/>
      <c r="H855" s="12"/>
      <c r="I855" s="12"/>
      <c r="J855" s="12"/>
      <c r="K855" s="12"/>
      <c r="L855" s="12"/>
      <c r="M855" s="12"/>
      <c r="N855" s="12"/>
      <c r="O855" s="13" t="s">
        <v>5446</v>
      </c>
      <c r="P855" s="13" t="s">
        <v>5447</v>
      </c>
      <c r="Q855" s="13" t="s">
        <v>336</v>
      </c>
      <c r="R855" s="13" t="s">
        <v>5448</v>
      </c>
      <c r="S855" s="13" t="s">
        <v>5449</v>
      </c>
      <c r="T855" s="12" t="s">
        <v>94</v>
      </c>
      <c r="U855" s="12" t="s">
        <v>5450</v>
      </c>
    </row>
    <row r="856" customFormat="false" ht="31.5" hidden="false" customHeight="true" outlineLevel="0" collapsed="false">
      <c r="A856" s="12" t="n">
        <v>706</v>
      </c>
      <c r="B856" s="12" t="s">
        <v>1744</v>
      </c>
      <c r="C856" s="12" t="s">
        <v>2516</v>
      </c>
      <c r="D856" s="12" t="s">
        <v>1745</v>
      </c>
      <c r="E856" s="12" t="s">
        <v>83</v>
      </c>
      <c r="F856" s="12"/>
      <c r="G856" s="12"/>
      <c r="H856" s="12"/>
      <c r="I856" s="12" t="n">
        <v>0.0067</v>
      </c>
      <c r="J856" s="12"/>
      <c r="K856" s="12"/>
      <c r="L856" s="12"/>
      <c r="M856" s="12"/>
      <c r="N856" s="12"/>
      <c r="O856" s="13"/>
      <c r="P856" s="13" t="s">
        <v>5451</v>
      </c>
      <c r="Q856" s="13"/>
      <c r="R856" s="13"/>
      <c r="S856" s="13" t="s">
        <v>5452</v>
      </c>
      <c r="T856" s="12" t="s">
        <v>94</v>
      </c>
      <c r="U856" s="12" t="s">
        <v>1753</v>
      </c>
    </row>
    <row r="857" customFormat="false" ht="31.5" hidden="false" customHeight="true" outlineLevel="0" collapsed="false">
      <c r="A857" s="12" t="n">
        <v>707</v>
      </c>
      <c r="B857" s="12" t="s">
        <v>1748</v>
      </c>
      <c r="C857" s="12" t="s">
        <v>2630</v>
      </c>
      <c r="D857" s="12" t="s">
        <v>1745</v>
      </c>
      <c r="E857" s="12" t="s">
        <v>83</v>
      </c>
      <c r="F857" s="12" t="n">
        <v>0.008487</v>
      </c>
      <c r="G857" s="12"/>
      <c r="H857" s="12"/>
      <c r="I857" s="12"/>
      <c r="J857" s="12" t="n">
        <v>100</v>
      </c>
      <c r="K857" s="12" t="n">
        <v>25</v>
      </c>
      <c r="L857" s="12"/>
      <c r="M857" s="12" t="n">
        <v>342.56</v>
      </c>
      <c r="N857" s="12" t="n">
        <v>0.009649</v>
      </c>
      <c r="O857" s="13"/>
      <c r="P857" s="13" t="s">
        <v>5453</v>
      </c>
      <c r="Q857" s="13"/>
      <c r="R857" s="13"/>
      <c r="S857" s="13" t="s">
        <v>5454</v>
      </c>
      <c r="T857" s="12" t="s">
        <v>94</v>
      </c>
      <c r="U857" s="12" t="s">
        <v>5455</v>
      </c>
    </row>
    <row r="858" customFormat="false" ht="31.5" hidden="false" customHeight="true" outlineLevel="0" collapsed="false">
      <c r="A858" s="12" t="n">
        <v>708</v>
      </c>
      <c r="B858" s="12" t="s">
        <v>5456</v>
      </c>
      <c r="C858" s="12" t="s">
        <v>2557</v>
      </c>
      <c r="D858" s="12" t="s">
        <v>113</v>
      </c>
      <c r="E858" s="12" t="s">
        <v>83</v>
      </c>
      <c r="F858" s="12" t="n">
        <v>62700</v>
      </c>
      <c r="G858" s="12"/>
      <c r="H858" s="12" t="s">
        <v>5457</v>
      </c>
      <c r="I858" s="12"/>
      <c r="J858" s="12"/>
      <c r="K858" s="12"/>
      <c r="L858" s="12"/>
      <c r="M858" s="12"/>
      <c r="N858" s="12"/>
      <c r="O858" s="13"/>
      <c r="P858" s="13" t="s">
        <v>5458</v>
      </c>
      <c r="Q858" s="13"/>
      <c r="R858" s="13"/>
      <c r="S858" s="13" t="s">
        <v>5459</v>
      </c>
      <c r="T858" s="12" t="s">
        <v>94</v>
      </c>
      <c r="U858" s="12" t="s">
        <v>5460</v>
      </c>
    </row>
    <row r="859" customFormat="false" ht="31.5" hidden="false" customHeight="true" outlineLevel="0" collapsed="false">
      <c r="A859" s="12" t="n">
        <v>709</v>
      </c>
      <c r="B859" s="12" t="s">
        <v>1729</v>
      </c>
      <c r="C859" s="12" t="s">
        <v>2630</v>
      </c>
      <c r="D859" s="12" t="s">
        <v>113</v>
      </c>
      <c r="E859" s="12" t="s">
        <v>83</v>
      </c>
      <c r="F859" s="12" t="n">
        <v>62775.4</v>
      </c>
      <c r="G859" s="12"/>
      <c r="H859" s="12"/>
      <c r="I859" s="12"/>
      <c r="J859" s="12" t="n">
        <v>100</v>
      </c>
      <c r="K859" s="12" t="n">
        <v>150</v>
      </c>
      <c r="L859" s="12"/>
      <c r="M859" s="12" t="n">
        <v>240.4</v>
      </c>
      <c r="N859" s="12" t="n">
        <v>63781.6</v>
      </c>
      <c r="O859" s="13"/>
      <c r="P859" s="13" t="s">
        <v>5461</v>
      </c>
      <c r="Q859" s="13"/>
      <c r="R859" s="13"/>
      <c r="S859" s="13" t="s">
        <v>5462</v>
      </c>
      <c r="T859" s="12" t="s">
        <v>94</v>
      </c>
      <c r="U859" s="12" t="s">
        <v>5463</v>
      </c>
    </row>
    <row r="860" customFormat="false" ht="31.5" hidden="false" customHeight="true" outlineLevel="0" collapsed="false">
      <c r="A860" s="12" t="n">
        <v>710</v>
      </c>
      <c r="B860" s="12" t="s">
        <v>5464</v>
      </c>
      <c r="C860" s="12" t="s">
        <v>2666</v>
      </c>
      <c r="D860" s="12" t="s">
        <v>113</v>
      </c>
      <c r="E860" s="12" t="s">
        <v>83</v>
      </c>
      <c r="F860" s="12"/>
      <c r="G860" s="12"/>
      <c r="H860" s="12" t="s">
        <v>1727</v>
      </c>
      <c r="I860" s="12"/>
      <c r="J860" s="12"/>
      <c r="K860" s="12"/>
      <c r="L860" s="12"/>
      <c r="M860" s="12"/>
      <c r="N860" s="12"/>
      <c r="O860" s="13"/>
      <c r="P860" s="13" t="s">
        <v>5465</v>
      </c>
      <c r="Q860" s="13"/>
      <c r="R860" s="13"/>
      <c r="S860" s="13" t="s">
        <v>5466</v>
      </c>
      <c r="T860" s="12" t="s">
        <v>94</v>
      </c>
      <c r="U860" s="12" t="s">
        <v>1765</v>
      </c>
    </row>
    <row r="861" customFormat="false" ht="31.5" hidden="false" customHeight="true" outlineLevel="0" collapsed="false">
      <c r="A861" s="12" t="n">
        <v>710</v>
      </c>
      <c r="B861" s="12" t="s">
        <v>5464</v>
      </c>
      <c r="C861" s="12" t="s">
        <v>2516</v>
      </c>
      <c r="D861" s="12" t="s">
        <v>113</v>
      </c>
      <c r="E861" s="12" t="s">
        <v>259</v>
      </c>
      <c r="F861" s="12"/>
      <c r="G861" s="12"/>
      <c r="H861" s="12" t="s">
        <v>5467</v>
      </c>
      <c r="I861" s="12"/>
      <c r="J861" s="12"/>
      <c r="K861" s="12"/>
      <c r="L861" s="12"/>
      <c r="M861" s="12"/>
      <c r="N861" s="12"/>
      <c r="O861" s="13"/>
      <c r="P861" s="13" t="s">
        <v>5468</v>
      </c>
      <c r="Q861" s="13"/>
      <c r="R861" s="13"/>
      <c r="S861" s="13" t="s">
        <v>5469</v>
      </c>
      <c r="T861" s="12" t="s">
        <v>94</v>
      </c>
      <c r="U861" s="12" t="s">
        <v>1765</v>
      </c>
    </row>
    <row r="862" customFormat="false" ht="31.5" hidden="false" customHeight="true" outlineLevel="0" collapsed="false">
      <c r="A862" s="12" t="n">
        <v>711</v>
      </c>
      <c r="B862" s="12" t="s">
        <v>1754</v>
      </c>
      <c r="C862" s="12" t="s">
        <v>2521</v>
      </c>
      <c r="D862" s="12" t="s">
        <v>113</v>
      </c>
      <c r="E862" s="12" t="s">
        <v>259</v>
      </c>
      <c r="F862" s="12" t="n">
        <v>64850</v>
      </c>
      <c r="G862" s="12"/>
      <c r="H862" s="12" t="s">
        <v>1071</v>
      </c>
      <c r="I862" s="12" t="n">
        <v>66200</v>
      </c>
      <c r="J862" s="12"/>
      <c r="K862" s="12"/>
      <c r="L862" s="12"/>
      <c r="M862" s="12"/>
      <c r="N862" s="12" t="n">
        <v>64850</v>
      </c>
      <c r="O862" s="13" t="s">
        <v>5470</v>
      </c>
      <c r="P862" s="13" t="s">
        <v>5471</v>
      </c>
      <c r="Q862" s="13"/>
      <c r="R862" s="13" t="s">
        <v>5472</v>
      </c>
      <c r="S862" s="13" t="s">
        <v>5473</v>
      </c>
      <c r="T862" s="12" t="s">
        <v>108</v>
      </c>
      <c r="U862" s="12" t="s">
        <v>5474</v>
      </c>
    </row>
    <row r="863" customFormat="false" ht="31.5" hidden="false" customHeight="true" outlineLevel="0" collapsed="false">
      <c r="A863" s="12" t="n">
        <v>712</v>
      </c>
      <c r="B863" s="12" t="s">
        <v>5475</v>
      </c>
      <c r="C863" s="12" t="s">
        <v>2557</v>
      </c>
      <c r="D863" s="12" t="s">
        <v>113</v>
      </c>
      <c r="E863" s="12" t="s">
        <v>259</v>
      </c>
      <c r="F863" s="12"/>
      <c r="G863" s="12"/>
      <c r="H863" s="12"/>
      <c r="I863" s="12"/>
      <c r="J863" s="12"/>
      <c r="K863" s="12"/>
      <c r="L863" s="12"/>
      <c r="M863" s="12"/>
      <c r="N863" s="12" t="n">
        <v>64850</v>
      </c>
      <c r="O863" s="13"/>
      <c r="P863" s="13" t="s">
        <v>5476</v>
      </c>
      <c r="Q863" s="13"/>
      <c r="R863" s="13"/>
      <c r="S863" s="13" t="s">
        <v>5477</v>
      </c>
      <c r="T863" s="12" t="s">
        <v>94</v>
      </c>
      <c r="U863" s="12" t="s">
        <v>5478</v>
      </c>
    </row>
    <row r="864" customFormat="false" ht="31.5" hidden="false" customHeight="true" outlineLevel="0" collapsed="false">
      <c r="A864" s="12" t="n">
        <v>713</v>
      </c>
      <c r="B864" s="12" t="s">
        <v>5479</v>
      </c>
      <c r="C864" s="12" t="s">
        <v>2527</v>
      </c>
      <c r="D864" s="12" t="s">
        <v>113</v>
      </c>
      <c r="E864" s="12"/>
      <c r="F864" s="12"/>
      <c r="G864" s="12"/>
      <c r="H864" s="12"/>
      <c r="I864" s="12"/>
      <c r="J864" s="12"/>
      <c r="K864" s="12"/>
      <c r="L864" s="12"/>
      <c r="M864" s="12"/>
      <c r="N864" s="12"/>
      <c r="O864" s="13"/>
      <c r="P864" s="13" t="s">
        <v>5480</v>
      </c>
      <c r="Q864" s="13"/>
      <c r="R864" s="13"/>
      <c r="S864" s="13" t="s">
        <v>5481</v>
      </c>
      <c r="T864" s="12" t="s">
        <v>94</v>
      </c>
      <c r="U864" s="12" t="s">
        <v>5482</v>
      </c>
    </row>
    <row r="865" customFormat="false" ht="31.5" hidden="false" customHeight="true" outlineLevel="0" collapsed="false">
      <c r="A865" s="12" t="n">
        <v>714</v>
      </c>
      <c r="B865" s="12" t="s">
        <v>5483</v>
      </c>
      <c r="C865" s="12" t="s">
        <v>2527</v>
      </c>
      <c r="D865" s="12" t="s">
        <v>113</v>
      </c>
      <c r="E865" s="12" t="s">
        <v>83</v>
      </c>
      <c r="F865" s="12"/>
      <c r="G865" s="12"/>
      <c r="H865" s="12"/>
      <c r="I865" s="12"/>
      <c r="J865" s="12"/>
      <c r="K865" s="12"/>
      <c r="L865" s="12"/>
      <c r="M865" s="12"/>
      <c r="N865" s="12"/>
      <c r="O865" s="13"/>
      <c r="P865" s="13" t="s">
        <v>5484</v>
      </c>
      <c r="Q865" s="13" t="s">
        <v>5485</v>
      </c>
      <c r="R865" s="13"/>
      <c r="S865" s="13" t="s">
        <v>5486</v>
      </c>
      <c r="T865" s="12" t="s">
        <v>108</v>
      </c>
      <c r="U865" s="12" t="s">
        <v>5487</v>
      </c>
    </row>
    <row r="866" customFormat="false" ht="31.5" hidden="false" customHeight="true" outlineLevel="0" collapsed="false">
      <c r="A866" s="12" t="n">
        <v>715</v>
      </c>
      <c r="B866" s="12" t="s">
        <v>5488</v>
      </c>
      <c r="C866" s="12" t="s">
        <v>2557</v>
      </c>
      <c r="D866" s="12" t="s">
        <v>113</v>
      </c>
      <c r="E866" s="12" t="s">
        <v>259</v>
      </c>
      <c r="F866" s="12"/>
      <c r="G866" s="12"/>
      <c r="H866" s="12"/>
      <c r="I866" s="12"/>
      <c r="J866" s="12"/>
      <c r="K866" s="12"/>
      <c r="L866" s="12"/>
      <c r="M866" s="12"/>
      <c r="N866" s="12"/>
      <c r="O866" s="13" t="s">
        <v>5489</v>
      </c>
      <c r="P866" s="13" t="s">
        <v>5490</v>
      </c>
      <c r="Q866" s="13"/>
      <c r="R866" s="13" t="s">
        <v>5491</v>
      </c>
      <c r="S866" s="13" t="s">
        <v>5492</v>
      </c>
      <c r="T866" s="12" t="s">
        <v>94</v>
      </c>
      <c r="U866" s="12" t="s">
        <v>5493</v>
      </c>
    </row>
    <row r="867" customFormat="false" ht="31.5" hidden="false" customHeight="true" outlineLevel="0" collapsed="false">
      <c r="A867" s="12" t="n">
        <v>715</v>
      </c>
      <c r="B867" s="12" t="s">
        <v>5488</v>
      </c>
      <c r="C867" s="12" t="s">
        <v>2527</v>
      </c>
      <c r="D867" s="12" t="s">
        <v>317</v>
      </c>
      <c r="E867" s="12"/>
      <c r="F867" s="12"/>
      <c r="G867" s="12"/>
      <c r="H867" s="12"/>
      <c r="I867" s="12"/>
      <c r="J867" s="12"/>
      <c r="K867" s="12"/>
      <c r="L867" s="12"/>
      <c r="M867" s="12"/>
      <c r="N867" s="12"/>
      <c r="O867" s="13"/>
      <c r="P867" s="13" t="s">
        <v>5494</v>
      </c>
      <c r="Q867" s="13"/>
      <c r="R867" s="13"/>
      <c r="S867" s="13" t="s">
        <v>5495</v>
      </c>
      <c r="T867" s="12" t="s">
        <v>108</v>
      </c>
      <c r="U867" s="12" t="s">
        <v>5493</v>
      </c>
    </row>
    <row r="868" customFormat="false" ht="31.5" hidden="false" customHeight="true" outlineLevel="0" collapsed="false">
      <c r="A868" s="12" t="n">
        <v>716</v>
      </c>
      <c r="B868" s="12" t="s">
        <v>5496</v>
      </c>
      <c r="C868" s="12" t="s">
        <v>2537</v>
      </c>
      <c r="D868" s="12" t="s">
        <v>113</v>
      </c>
      <c r="E868" s="12" t="s">
        <v>259</v>
      </c>
      <c r="F868" s="12"/>
      <c r="G868" s="12" t="n">
        <v>65000</v>
      </c>
      <c r="H868" s="12"/>
      <c r="I868" s="12"/>
      <c r="J868" s="12" t="n">
        <v>20</v>
      </c>
      <c r="K868" s="12"/>
      <c r="L868" s="12"/>
      <c r="M868" s="12"/>
      <c r="N868" s="12"/>
      <c r="O868" s="13" t="s">
        <v>5497</v>
      </c>
      <c r="P868" s="13" t="s">
        <v>5498</v>
      </c>
      <c r="Q868" s="13"/>
      <c r="R868" s="13" t="s">
        <v>5499</v>
      </c>
      <c r="S868" s="13" t="s">
        <v>5500</v>
      </c>
      <c r="T868" s="12" t="s">
        <v>94</v>
      </c>
      <c r="U868" s="12" t="s">
        <v>5501</v>
      </c>
    </row>
    <row r="869" customFormat="false" ht="31.5" hidden="false" customHeight="true" outlineLevel="0" collapsed="false">
      <c r="A869" s="12" t="n">
        <v>717</v>
      </c>
      <c r="B869" s="12" t="s">
        <v>5502</v>
      </c>
      <c r="C869" s="12" t="s">
        <v>2618</v>
      </c>
      <c r="D869" s="12" t="s">
        <v>113</v>
      </c>
      <c r="E869" s="12" t="s">
        <v>259</v>
      </c>
      <c r="F869" s="12"/>
      <c r="G869" s="12"/>
      <c r="H869" s="12" t="s">
        <v>1758</v>
      </c>
      <c r="I869" s="12"/>
      <c r="J869" s="12"/>
      <c r="K869" s="12"/>
      <c r="L869" s="12"/>
      <c r="M869" s="12"/>
      <c r="N869" s="12"/>
      <c r="O869" s="13"/>
      <c r="P869" s="13" t="s">
        <v>5503</v>
      </c>
      <c r="Q869" s="13"/>
      <c r="R869" s="13"/>
      <c r="S869" s="13" t="s">
        <v>5504</v>
      </c>
      <c r="T869" s="12" t="s">
        <v>108</v>
      </c>
      <c r="U869" s="12" t="s">
        <v>5505</v>
      </c>
    </row>
    <row r="870" customFormat="false" ht="31.5" hidden="false" customHeight="true" outlineLevel="0" collapsed="false">
      <c r="A870" s="12" t="n">
        <v>718</v>
      </c>
      <c r="B870" s="12" t="s">
        <v>1759</v>
      </c>
      <c r="C870" s="12" t="s">
        <v>2630</v>
      </c>
      <c r="D870" s="12" t="s">
        <v>113</v>
      </c>
      <c r="E870" s="12" t="s">
        <v>259</v>
      </c>
      <c r="F870" s="12" t="n">
        <v>64948.66</v>
      </c>
      <c r="G870" s="12"/>
      <c r="H870" s="12"/>
      <c r="I870" s="12"/>
      <c r="J870" s="12" t="n">
        <v>100</v>
      </c>
      <c r="K870" s="12" t="n">
        <v>150</v>
      </c>
      <c r="L870" s="12"/>
      <c r="M870" s="12" t="n">
        <v>11.92</v>
      </c>
      <c r="N870" s="12" t="n">
        <v>64896.8</v>
      </c>
      <c r="O870" s="13"/>
      <c r="P870" s="13" t="s">
        <v>5506</v>
      </c>
      <c r="Q870" s="13"/>
      <c r="R870" s="13" t="s">
        <v>5507</v>
      </c>
      <c r="S870" s="13" t="s">
        <v>5508</v>
      </c>
      <c r="T870" s="12" t="s">
        <v>94</v>
      </c>
      <c r="U870" s="12" t="s">
        <v>5509</v>
      </c>
    </row>
    <row r="871" customFormat="false" ht="31.5" hidden="false" customHeight="true" outlineLevel="0" collapsed="false">
      <c r="A871" s="12" t="n">
        <v>719</v>
      </c>
      <c r="B871" s="12" t="s">
        <v>5510</v>
      </c>
      <c r="C871" s="12" t="s">
        <v>2502</v>
      </c>
      <c r="D871" s="12" t="s">
        <v>113</v>
      </c>
      <c r="E871" s="12"/>
      <c r="F871" s="12"/>
      <c r="G871" s="12"/>
      <c r="H871" s="12"/>
      <c r="I871" s="12"/>
      <c r="J871" s="12"/>
      <c r="K871" s="12"/>
      <c r="L871" s="12"/>
      <c r="M871" s="12"/>
      <c r="N871" s="12"/>
      <c r="O871" s="13"/>
      <c r="P871" s="13" t="s">
        <v>5511</v>
      </c>
      <c r="Q871" s="13"/>
      <c r="R871" s="13"/>
      <c r="S871" s="13" t="s">
        <v>5512</v>
      </c>
      <c r="T871" s="12" t="s">
        <v>108</v>
      </c>
      <c r="U871" s="12" t="s">
        <v>5513</v>
      </c>
    </row>
    <row r="872" customFormat="false" ht="31.5" hidden="false" customHeight="true" outlineLevel="0" collapsed="false">
      <c r="A872" s="12" t="n">
        <v>720</v>
      </c>
      <c r="B872" s="12" t="s">
        <v>5514</v>
      </c>
      <c r="C872" s="12" t="s">
        <v>2527</v>
      </c>
      <c r="D872" s="12" t="s">
        <v>113</v>
      </c>
      <c r="E872" s="12"/>
      <c r="F872" s="12"/>
      <c r="G872" s="12"/>
      <c r="H872" s="12"/>
      <c r="I872" s="12"/>
      <c r="J872" s="12"/>
      <c r="K872" s="12"/>
      <c r="L872" s="12"/>
      <c r="M872" s="12"/>
      <c r="N872" s="12"/>
      <c r="O872" s="13"/>
      <c r="P872" s="13" t="s">
        <v>5515</v>
      </c>
      <c r="Q872" s="13"/>
      <c r="R872" s="13"/>
      <c r="S872" s="13" t="s">
        <v>5516</v>
      </c>
      <c r="T872" s="12" t="s">
        <v>108</v>
      </c>
      <c r="U872" s="12" t="s">
        <v>5517</v>
      </c>
    </row>
    <row r="873" customFormat="false" ht="31.5" hidden="false" customHeight="true" outlineLevel="0" collapsed="false">
      <c r="A873" s="12" t="n">
        <v>721</v>
      </c>
      <c r="B873" s="12" t="s">
        <v>1766</v>
      </c>
      <c r="C873" s="12" t="s">
        <v>2521</v>
      </c>
      <c r="D873" s="12" t="s">
        <v>113</v>
      </c>
      <c r="E873" s="12" t="s">
        <v>83</v>
      </c>
      <c r="F873" s="12" t="n">
        <v>63469</v>
      </c>
      <c r="G873" s="12" t="n">
        <v>62811</v>
      </c>
      <c r="H873" s="12"/>
      <c r="I873" s="12" t="n">
        <v>62000</v>
      </c>
      <c r="J873" s="12"/>
      <c r="K873" s="12"/>
      <c r="L873" s="12"/>
      <c r="M873" s="12"/>
      <c r="N873" s="12" t="n">
        <v>63469</v>
      </c>
      <c r="O873" s="13"/>
      <c r="P873" s="13" t="s">
        <v>5518</v>
      </c>
      <c r="Q873" s="13"/>
      <c r="R873" s="13"/>
      <c r="S873" s="13" t="s">
        <v>5519</v>
      </c>
      <c r="T873" s="12" t="s">
        <v>94</v>
      </c>
      <c r="U873" s="12" t="s">
        <v>1777</v>
      </c>
    </row>
    <row r="874" customFormat="false" ht="31.5" hidden="false" customHeight="true" outlineLevel="0" collapsed="false">
      <c r="A874" s="12" t="n">
        <v>722</v>
      </c>
      <c r="B874" s="12" t="s">
        <v>1778</v>
      </c>
      <c r="C874" s="12" t="s">
        <v>2521</v>
      </c>
      <c r="D874" s="12" t="s">
        <v>113</v>
      </c>
      <c r="E874" s="12" t="s">
        <v>83</v>
      </c>
      <c r="F874" s="12" t="n">
        <v>63323</v>
      </c>
      <c r="G874" s="12"/>
      <c r="H874" s="12" t="s">
        <v>1780</v>
      </c>
      <c r="I874" s="12" t="n">
        <v>61300</v>
      </c>
      <c r="J874" s="12"/>
      <c r="K874" s="12"/>
      <c r="L874" s="12"/>
      <c r="M874" s="12"/>
      <c r="N874" s="12" t="n">
        <v>63323</v>
      </c>
      <c r="O874" s="13"/>
      <c r="P874" s="13" t="s">
        <v>5520</v>
      </c>
      <c r="Q874" s="13"/>
      <c r="R874" s="13"/>
      <c r="S874" s="13" t="s">
        <v>5521</v>
      </c>
      <c r="T874" s="12" t="s">
        <v>94</v>
      </c>
      <c r="U874" s="12" t="s">
        <v>1791</v>
      </c>
    </row>
    <row r="875" customFormat="false" ht="31.5" hidden="false" customHeight="true" outlineLevel="0" collapsed="false">
      <c r="A875" s="12" t="n">
        <v>723</v>
      </c>
      <c r="B875" s="12" t="s">
        <v>5522</v>
      </c>
      <c r="C875" s="12" t="s">
        <v>2670</v>
      </c>
      <c r="D875" s="12" t="s">
        <v>113</v>
      </c>
      <c r="E875" s="12" t="s">
        <v>83</v>
      </c>
      <c r="F875" s="12"/>
      <c r="G875" s="12"/>
      <c r="H875" s="12" t="s">
        <v>1769</v>
      </c>
      <c r="I875" s="12"/>
      <c r="J875" s="12"/>
      <c r="K875" s="12"/>
      <c r="L875" s="12"/>
      <c r="M875" s="12"/>
      <c r="N875" s="12"/>
      <c r="O875" s="13"/>
      <c r="P875" s="13" t="s">
        <v>5523</v>
      </c>
      <c r="Q875" s="13"/>
      <c r="R875" s="13"/>
      <c r="S875" s="13" t="s">
        <v>5524</v>
      </c>
      <c r="T875" s="12" t="s">
        <v>94</v>
      </c>
      <c r="U875" s="12" t="s">
        <v>5525</v>
      </c>
    </row>
    <row r="876" customFormat="false" ht="31.5" hidden="false" customHeight="true" outlineLevel="0" collapsed="false">
      <c r="A876" s="12" t="n">
        <v>724</v>
      </c>
      <c r="B876" s="12" t="s">
        <v>5526</v>
      </c>
      <c r="C876" s="12" t="s">
        <v>2557</v>
      </c>
      <c r="D876" s="12" t="s">
        <v>113</v>
      </c>
      <c r="E876" s="12" t="s">
        <v>83</v>
      </c>
      <c r="F876" s="12"/>
      <c r="G876" s="12"/>
      <c r="H876" s="12"/>
      <c r="I876" s="12"/>
      <c r="J876" s="12"/>
      <c r="K876" s="12"/>
      <c r="L876" s="12"/>
      <c r="M876" s="12"/>
      <c r="N876" s="12"/>
      <c r="O876" s="13"/>
      <c r="P876" s="13" t="s">
        <v>5527</v>
      </c>
      <c r="Q876" s="13"/>
      <c r="R876" s="13" t="s">
        <v>5528</v>
      </c>
      <c r="S876" s="13" t="s">
        <v>5529</v>
      </c>
      <c r="T876" s="12" t="s">
        <v>94</v>
      </c>
      <c r="U876" s="12" t="s">
        <v>5530</v>
      </c>
    </row>
    <row r="877" customFormat="false" ht="31.5" hidden="false" customHeight="true" outlineLevel="0" collapsed="false">
      <c r="A877" s="12" t="n">
        <v>724</v>
      </c>
      <c r="B877" s="12" t="s">
        <v>5526</v>
      </c>
      <c r="C877" s="12" t="s">
        <v>2588</v>
      </c>
      <c r="D877" s="12" t="s">
        <v>113</v>
      </c>
      <c r="E877" s="12" t="s">
        <v>83</v>
      </c>
      <c r="F877" s="12"/>
      <c r="G877" s="12"/>
      <c r="H877" s="12"/>
      <c r="I877" s="12"/>
      <c r="J877" s="12"/>
      <c r="K877" s="12"/>
      <c r="L877" s="12"/>
      <c r="M877" s="12"/>
      <c r="N877" s="12"/>
      <c r="O877" s="13"/>
      <c r="P877" s="13" t="s">
        <v>5531</v>
      </c>
      <c r="Q877" s="13" t="s">
        <v>191</v>
      </c>
      <c r="R877" s="13"/>
      <c r="S877" s="13" t="s">
        <v>5532</v>
      </c>
      <c r="T877" s="12" t="s">
        <v>108</v>
      </c>
      <c r="U877" s="12" t="s">
        <v>5530</v>
      </c>
    </row>
    <row r="878" customFormat="false" ht="31.5" hidden="false" customHeight="true" outlineLevel="0" collapsed="false">
      <c r="A878" s="12" t="n">
        <v>725</v>
      </c>
      <c r="B878" s="12" t="s">
        <v>1771</v>
      </c>
      <c r="C878" s="12" t="s">
        <v>2666</v>
      </c>
      <c r="D878" s="12" t="s">
        <v>113</v>
      </c>
      <c r="E878" s="12" t="s">
        <v>83</v>
      </c>
      <c r="F878" s="12" t="n">
        <v>63100</v>
      </c>
      <c r="G878" s="12"/>
      <c r="H878" s="12" t="s">
        <v>1769</v>
      </c>
      <c r="I878" s="12"/>
      <c r="J878" s="12"/>
      <c r="K878" s="12" t="n">
        <v>150</v>
      </c>
      <c r="L878" s="12"/>
      <c r="M878" s="12" t="n">
        <v>171.25</v>
      </c>
      <c r="N878" s="12"/>
      <c r="O878" s="13"/>
      <c r="P878" s="13" t="s">
        <v>5533</v>
      </c>
      <c r="Q878" s="13"/>
      <c r="R878" s="13"/>
      <c r="S878" s="13" t="s">
        <v>5534</v>
      </c>
      <c r="T878" s="12" t="s">
        <v>94</v>
      </c>
      <c r="U878" s="12" t="s">
        <v>5535</v>
      </c>
    </row>
    <row r="879" customFormat="false" ht="31.5" hidden="false" customHeight="true" outlineLevel="0" collapsed="false">
      <c r="A879" s="12" t="n">
        <v>726</v>
      </c>
      <c r="B879" s="12" t="s">
        <v>5536</v>
      </c>
      <c r="C879" s="12" t="s">
        <v>2557</v>
      </c>
      <c r="D879" s="12" t="s">
        <v>113</v>
      </c>
      <c r="E879" s="12" t="s">
        <v>83</v>
      </c>
      <c r="F879" s="12"/>
      <c r="G879" s="12"/>
      <c r="H879" s="12"/>
      <c r="I879" s="12"/>
      <c r="J879" s="12"/>
      <c r="K879" s="12"/>
      <c r="L879" s="12"/>
      <c r="M879" s="12"/>
      <c r="N879" s="12" t="n">
        <v>64100</v>
      </c>
      <c r="O879" s="13"/>
      <c r="P879" s="13" t="s">
        <v>5537</v>
      </c>
      <c r="Q879" s="13"/>
      <c r="R879" s="13"/>
      <c r="S879" s="13" t="s">
        <v>5538</v>
      </c>
      <c r="T879" s="12" t="s">
        <v>94</v>
      </c>
      <c r="U879" s="12" t="s">
        <v>5539</v>
      </c>
    </row>
    <row r="880" customFormat="false" ht="31.5" hidden="false" customHeight="true" outlineLevel="0" collapsed="false">
      <c r="A880" s="12" t="n">
        <v>727</v>
      </c>
      <c r="B880" s="12" t="s">
        <v>5540</v>
      </c>
      <c r="C880" s="12" t="s">
        <v>2588</v>
      </c>
      <c r="D880" s="12" t="s">
        <v>113</v>
      </c>
      <c r="E880" s="12" t="s">
        <v>83</v>
      </c>
      <c r="F880" s="12"/>
      <c r="G880" s="12"/>
      <c r="H880" s="12"/>
      <c r="I880" s="12" t="n">
        <v>63323</v>
      </c>
      <c r="J880" s="12"/>
      <c r="K880" s="12"/>
      <c r="L880" s="12"/>
      <c r="M880" s="12"/>
      <c r="N880" s="12"/>
      <c r="O880" s="13"/>
      <c r="P880" s="13" t="s">
        <v>5541</v>
      </c>
      <c r="Q880" s="13"/>
      <c r="R880" s="13"/>
      <c r="S880" s="13" t="s">
        <v>5542</v>
      </c>
      <c r="T880" s="12" t="s">
        <v>108</v>
      </c>
      <c r="U880" s="12" t="s">
        <v>5543</v>
      </c>
    </row>
    <row r="881" customFormat="false" ht="31.5" hidden="false" customHeight="true" outlineLevel="0" collapsed="false">
      <c r="A881" s="12" t="n">
        <v>727</v>
      </c>
      <c r="B881" s="12" t="s">
        <v>5540</v>
      </c>
      <c r="C881" s="12" t="s">
        <v>2670</v>
      </c>
      <c r="D881" s="12" t="s">
        <v>113</v>
      </c>
      <c r="E881" s="12" t="s">
        <v>83</v>
      </c>
      <c r="F881" s="12"/>
      <c r="G881" s="12"/>
      <c r="H881" s="12" t="s">
        <v>1494</v>
      </c>
      <c r="I881" s="12"/>
      <c r="J881" s="12"/>
      <c r="K881" s="12"/>
      <c r="L881" s="12"/>
      <c r="M881" s="12"/>
      <c r="N881" s="12"/>
      <c r="O881" s="13"/>
      <c r="P881" s="13" t="s">
        <v>5544</v>
      </c>
      <c r="Q881" s="13"/>
      <c r="R881" s="13"/>
      <c r="S881" s="13" t="s">
        <v>5542</v>
      </c>
      <c r="T881" s="12" t="s">
        <v>94</v>
      </c>
      <c r="U881" s="12" t="s">
        <v>5543</v>
      </c>
    </row>
    <row r="882" customFormat="false" ht="31.5" hidden="false" customHeight="true" outlineLevel="0" collapsed="false">
      <c r="A882" s="12" t="n">
        <v>728</v>
      </c>
      <c r="B882" s="12" t="s">
        <v>1792</v>
      </c>
      <c r="C882" s="12" t="s">
        <v>2521</v>
      </c>
      <c r="D882" s="12" t="s">
        <v>476</v>
      </c>
      <c r="E882" s="12" t="s">
        <v>83</v>
      </c>
      <c r="F882" s="12" t="n">
        <v>544</v>
      </c>
      <c r="G882" s="12"/>
      <c r="H882" s="12"/>
      <c r="I882" s="12" t="n">
        <v>530</v>
      </c>
      <c r="J882" s="12"/>
      <c r="K882" s="12"/>
      <c r="L882" s="12"/>
      <c r="M882" s="12"/>
      <c r="N882" s="12" t="n">
        <v>544</v>
      </c>
      <c r="O882" s="13"/>
      <c r="P882" s="13" t="s">
        <v>5545</v>
      </c>
      <c r="Q882" s="13"/>
      <c r="R882" s="13"/>
      <c r="S882" s="13" t="s">
        <v>5546</v>
      </c>
      <c r="T882" s="12" t="s">
        <v>94</v>
      </c>
      <c r="U882" s="12" t="s">
        <v>1800</v>
      </c>
    </row>
    <row r="883" customFormat="false" ht="31.5" hidden="false" customHeight="true" outlineLevel="0" collapsed="false">
      <c r="A883" s="12" t="n">
        <v>729</v>
      </c>
      <c r="B883" s="12" t="s">
        <v>1795</v>
      </c>
      <c r="C883" s="12" t="s">
        <v>2630</v>
      </c>
      <c r="D883" s="12" t="s">
        <v>476</v>
      </c>
      <c r="E883" s="12" t="s">
        <v>83</v>
      </c>
      <c r="F883" s="12"/>
      <c r="G883" s="12"/>
      <c r="H883" s="12"/>
      <c r="I883" s="12"/>
      <c r="J883" s="12"/>
      <c r="K883" s="12"/>
      <c r="L883" s="12"/>
      <c r="M883" s="12"/>
      <c r="N883" s="12" t="n">
        <v>560</v>
      </c>
      <c r="O883" s="13"/>
      <c r="P883" s="13" t="s">
        <v>5547</v>
      </c>
      <c r="Q883" s="13"/>
      <c r="R883" s="13"/>
      <c r="S883" s="13" t="s">
        <v>5548</v>
      </c>
      <c r="T883" s="12" t="s">
        <v>94</v>
      </c>
      <c r="U883" s="12" t="s">
        <v>5549</v>
      </c>
    </row>
    <row r="884" customFormat="false" ht="31.5" hidden="false" customHeight="true" outlineLevel="0" collapsed="false">
      <c r="A884" s="12" t="n">
        <v>730</v>
      </c>
      <c r="B884" s="12" t="s">
        <v>5550</v>
      </c>
      <c r="C884" s="12" t="s">
        <v>2557</v>
      </c>
      <c r="D884" s="12" t="s">
        <v>476</v>
      </c>
      <c r="E884" s="12" t="s">
        <v>83</v>
      </c>
      <c r="F884" s="12"/>
      <c r="G884" s="12"/>
      <c r="H884" s="12"/>
      <c r="I884" s="12"/>
      <c r="J884" s="12"/>
      <c r="K884" s="12" t="n">
        <v>75</v>
      </c>
      <c r="L884" s="12"/>
      <c r="M884" s="12" t="n">
        <v>147.51</v>
      </c>
      <c r="N884" s="12"/>
      <c r="O884" s="13"/>
      <c r="P884" s="13" t="s">
        <v>5551</v>
      </c>
      <c r="Q884" s="13"/>
      <c r="R884" s="13"/>
      <c r="S884" s="13" t="s">
        <v>5552</v>
      </c>
      <c r="T884" s="12" t="s">
        <v>108</v>
      </c>
      <c r="U884" s="12" t="s">
        <v>5553</v>
      </c>
    </row>
    <row r="885" customFormat="false" ht="31.5" hidden="false" customHeight="true" outlineLevel="0" collapsed="false">
      <c r="A885" s="12" t="n">
        <v>731</v>
      </c>
      <c r="B885" s="12" t="s">
        <v>5554</v>
      </c>
      <c r="C885" s="12" t="s">
        <v>2670</v>
      </c>
      <c r="D885" s="12" t="s">
        <v>476</v>
      </c>
      <c r="E885" s="12" t="s">
        <v>83</v>
      </c>
      <c r="F885" s="12"/>
      <c r="G885" s="12"/>
      <c r="H885" s="12" t="s">
        <v>1794</v>
      </c>
      <c r="I885" s="12"/>
      <c r="J885" s="12" t="n">
        <v>100</v>
      </c>
      <c r="K885" s="12"/>
      <c r="L885" s="12"/>
      <c r="M885" s="12"/>
      <c r="N885" s="12"/>
      <c r="O885" s="13"/>
      <c r="P885" s="13" t="s">
        <v>5555</v>
      </c>
      <c r="Q885" s="13"/>
      <c r="R885" s="13"/>
      <c r="S885" s="13" t="s">
        <v>5556</v>
      </c>
      <c r="T885" s="12" t="s">
        <v>94</v>
      </c>
      <c r="U885" s="12" t="s">
        <v>5557</v>
      </c>
    </row>
    <row r="886" customFormat="false" ht="31.5" hidden="false" customHeight="true" outlineLevel="0" collapsed="false">
      <c r="A886" s="12" t="n">
        <v>732</v>
      </c>
      <c r="B886" s="12" t="s">
        <v>5558</v>
      </c>
      <c r="C886" s="12" t="s">
        <v>2557</v>
      </c>
      <c r="D886" s="12" t="s">
        <v>113</v>
      </c>
      <c r="E886" s="12" t="s">
        <v>83</v>
      </c>
      <c r="F886" s="12"/>
      <c r="G886" s="12"/>
      <c r="H886" s="12" t="s">
        <v>1494</v>
      </c>
      <c r="I886" s="12"/>
      <c r="J886" s="12"/>
      <c r="K886" s="12"/>
      <c r="L886" s="12" t="n">
        <v>1</v>
      </c>
      <c r="M886" s="12"/>
      <c r="N886" s="12"/>
      <c r="O886" s="13"/>
      <c r="P886" s="13" t="s">
        <v>5559</v>
      </c>
      <c r="Q886" s="13"/>
      <c r="R886" s="13"/>
      <c r="S886" s="13" t="s">
        <v>5560</v>
      </c>
      <c r="T886" s="12" t="s">
        <v>94</v>
      </c>
      <c r="U886" s="12" t="s">
        <v>5561</v>
      </c>
    </row>
    <row r="887" customFormat="false" ht="31.5" hidden="false" customHeight="true" outlineLevel="0" collapsed="false">
      <c r="A887" s="12" t="n">
        <v>733</v>
      </c>
      <c r="B887" s="12" t="s">
        <v>5562</v>
      </c>
      <c r="C887" s="12" t="s">
        <v>2581</v>
      </c>
      <c r="D887" s="12" t="s">
        <v>113</v>
      </c>
      <c r="E887" s="12" t="s">
        <v>83</v>
      </c>
      <c r="F887" s="12"/>
      <c r="G887" s="12"/>
      <c r="H887" s="12" t="s">
        <v>5563</v>
      </c>
      <c r="I887" s="12"/>
      <c r="J887" s="12" t="n">
        <v>50</v>
      </c>
      <c r="K887" s="12"/>
      <c r="L887" s="12"/>
      <c r="M887" s="12"/>
      <c r="N887" s="12" t="n">
        <v>64900</v>
      </c>
      <c r="O887" s="13"/>
      <c r="P887" s="13" t="s">
        <v>5564</v>
      </c>
      <c r="Q887" s="13"/>
      <c r="R887" s="13"/>
      <c r="S887" s="13" t="s">
        <v>5565</v>
      </c>
      <c r="T887" s="12" t="s">
        <v>94</v>
      </c>
      <c r="U887" s="12" t="s">
        <v>5566</v>
      </c>
    </row>
    <row r="888" customFormat="false" ht="31.5" hidden="false" customHeight="true" outlineLevel="0" collapsed="false">
      <c r="A888" s="12" t="n">
        <v>734</v>
      </c>
      <c r="B888" s="12" t="s">
        <v>5567</v>
      </c>
      <c r="C888" s="12" t="s">
        <v>2581</v>
      </c>
      <c r="D888" s="12" t="s">
        <v>113</v>
      </c>
      <c r="E888" s="12" t="s">
        <v>83</v>
      </c>
      <c r="F888" s="12"/>
      <c r="G888" s="12"/>
      <c r="H888" s="12" t="s">
        <v>5568</v>
      </c>
      <c r="I888" s="12"/>
      <c r="J888" s="12" t="n">
        <v>20</v>
      </c>
      <c r="K888" s="12"/>
      <c r="L888" s="12"/>
      <c r="M888" s="12"/>
      <c r="N888" s="12"/>
      <c r="O888" s="13"/>
      <c r="P888" s="13" t="s">
        <v>5569</v>
      </c>
      <c r="Q888" s="13"/>
      <c r="R888" s="13" t="s">
        <v>5570</v>
      </c>
      <c r="S888" s="13" t="s">
        <v>5571</v>
      </c>
      <c r="T888" s="12" t="s">
        <v>94</v>
      </c>
      <c r="U888" s="12" t="s">
        <v>5572</v>
      </c>
    </row>
    <row r="889" customFormat="false" ht="31.5" hidden="false" customHeight="true" outlineLevel="0" collapsed="false">
      <c r="A889" s="12" t="n">
        <v>735</v>
      </c>
      <c r="B889" s="12" t="s">
        <v>5573</v>
      </c>
      <c r="C889" s="12" t="s">
        <v>2666</v>
      </c>
      <c r="D889" s="12" t="s">
        <v>113</v>
      </c>
      <c r="E889" s="12" t="s">
        <v>83</v>
      </c>
      <c r="F889" s="12" t="n">
        <v>63244.7</v>
      </c>
      <c r="G889" s="12"/>
      <c r="H889" s="12" t="s">
        <v>1494</v>
      </c>
      <c r="I889" s="12"/>
      <c r="J889" s="12"/>
      <c r="K889" s="12"/>
      <c r="L889" s="12"/>
      <c r="M889" s="12" t="n">
        <v>204.89</v>
      </c>
      <c r="N889" s="12" t="n">
        <v>65024.1</v>
      </c>
      <c r="O889" s="13"/>
      <c r="P889" s="13" t="s">
        <v>5574</v>
      </c>
      <c r="Q889" s="13"/>
      <c r="R889" s="13"/>
      <c r="S889" s="13" t="s">
        <v>5575</v>
      </c>
      <c r="T889" s="12" t="s">
        <v>94</v>
      </c>
      <c r="U889" s="12" t="s">
        <v>5576</v>
      </c>
    </row>
    <row r="890" customFormat="false" ht="31.5" hidden="false" customHeight="true" outlineLevel="0" collapsed="false">
      <c r="A890" s="12" t="n">
        <v>736</v>
      </c>
      <c r="B890" s="12" t="s">
        <v>5577</v>
      </c>
      <c r="C890" s="12" t="s">
        <v>2527</v>
      </c>
      <c r="D890" s="12" t="s">
        <v>113</v>
      </c>
      <c r="E890" s="12"/>
      <c r="F890" s="12"/>
      <c r="G890" s="12"/>
      <c r="H890" s="12"/>
      <c r="I890" s="12"/>
      <c r="J890" s="12"/>
      <c r="K890" s="12"/>
      <c r="L890" s="12"/>
      <c r="M890" s="12"/>
      <c r="N890" s="12"/>
      <c r="O890" s="13"/>
      <c r="P890" s="13" t="s">
        <v>5578</v>
      </c>
      <c r="Q890" s="13"/>
      <c r="R890" s="13"/>
      <c r="S890" s="13" t="s">
        <v>5579</v>
      </c>
      <c r="T890" s="12" t="s">
        <v>108</v>
      </c>
      <c r="U890" s="12" t="s">
        <v>5580</v>
      </c>
    </row>
    <row r="891" customFormat="false" ht="31.5" hidden="false" customHeight="true" outlineLevel="0" collapsed="false">
      <c r="A891" s="12" t="n">
        <v>737</v>
      </c>
      <c r="B891" s="12" t="s">
        <v>5581</v>
      </c>
      <c r="C891" s="12" t="s">
        <v>2527</v>
      </c>
      <c r="D891" s="12" t="s">
        <v>113</v>
      </c>
      <c r="E891" s="12"/>
      <c r="F891" s="12"/>
      <c r="G891" s="12"/>
      <c r="H891" s="12"/>
      <c r="I891" s="12"/>
      <c r="J891" s="12"/>
      <c r="K891" s="12"/>
      <c r="L891" s="12"/>
      <c r="M891" s="12"/>
      <c r="N891" s="12" t="n">
        <v>64883.9</v>
      </c>
      <c r="O891" s="13"/>
      <c r="P891" s="13" t="s">
        <v>5582</v>
      </c>
      <c r="Q891" s="13" t="s">
        <v>5583</v>
      </c>
      <c r="R891" s="13"/>
      <c r="S891" s="13" t="s">
        <v>5584</v>
      </c>
      <c r="T891" s="12" t="s">
        <v>108</v>
      </c>
      <c r="U891" s="12" t="s">
        <v>5585</v>
      </c>
    </row>
    <row r="892" customFormat="false" ht="31.5" hidden="false" customHeight="true" outlineLevel="0" collapsed="false">
      <c r="A892" s="12" t="n">
        <v>738</v>
      </c>
      <c r="B892" s="12" t="s">
        <v>5586</v>
      </c>
      <c r="C892" s="12" t="s">
        <v>2527</v>
      </c>
      <c r="D892" s="12" t="s">
        <v>113</v>
      </c>
      <c r="E892" s="12"/>
      <c r="F892" s="12"/>
      <c r="G892" s="12"/>
      <c r="H892" s="12"/>
      <c r="I892" s="12"/>
      <c r="J892" s="12"/>
      <c r="K892" s="12"/>
      <c r="L892" s="12"/>
      <c r="M892" s="12"/>
      <c r="N892" s="12"/>
      <c r="O892" s="13" t="s">
        <v>5587</v>
      </c>
      <c r="P892" s="13" t="s">
        <v>5588</v>
      </c>
      <c r="Q892" s="13" t="s">
        <v>1811</v>
      </c>
      <c r="R892" s="13" t="s">
        <v>5589</v>
      </c>
      <c r="S892" s="13" t="s">
        <v>5590</v>
      </c>
      <c r="T892" s="12" t="s">
        <v>94</v>
      </c>
      <c r="U892" s="12" t="s">
        <v>5591</v>
      </c>
    </row>
    <row r="893" customFormat="false" ht="31.5" hidden="false" customHeight="true" outlineLevel="0" collapsed="false">
      <c r="A893" s="12" t="n">
        <v>739</v>
      </c>
      <c r="B893" s="12" t="s">
        <v>5592</v>
      </c>
      <c r="C893" s="12" t="s">
        <v>2581</v>
      </c>
      <c r="D893" s="12" t="s">
        <v>113</v>
      </c>
      <c r="E893" s="12" t="s">
        <v>83</v>
      </c>
      <c r="F893" s="12" t="n">
        <v>63244.7</v>
      </c>
      <c r="G893" s="12"/>
      <c r="H893" s="12" t="s">
        <v>5568</v>
      </c>
      <c r="I893" s="12"/>
      <c r="J893" s="12" t="n">
        <v>20</v>
      </c>
      <c r="K893" s="12"/>
      <c r="L893" s="12"/>
      <c r="M893" s="12"/>
      <c r="N893" s="12" t="n">
        <v>65578.6</v>
      </c>
      <c r="O893" s="13"/>
      <c r="P893" s="13" t="s">
        <v>5593</v>
      </c>
      <c r="Q893" s="13"/>
      <c r="R893" s="13"/>
      <c r="S893" s="13" t="s">
        <v>5594</v>
      </c>
      <c r="T893" s="12" t="s">
        <v>94</v>
      </c>
      <c r="U893" s="12" t="s">
        <v>5595</v>
      </c>
    </row>
    <row r="894" customFormat="false" ht="31.5" hidden="false" customHeight="true" outlineLevel="0" collapsed="false">
      <c r="A894" s="12" t="n">
        <v>740</v>
      </c>
      <c r="B894" s="12" t="s">
        <v>1695</v>
      </c>
      <c r="C894" s="12" t="s">
        <v>128</v>
      </c>
      <c r="D894" s="12" t="s">
        <v>317</v>
      </c>
      <c r="E894" s="12" t="s">
        <v>83</v>
      </c>
      <c r="F894" s="12" t="n">
        <v>77.9</v>
      </c>
      <c r="G894" s="12"/>
      <c r="H894" s="12"/>
      <c r="I894" s="12"/>
      <c r="J894" s="12" t="n">
        <v>100</v>
      </c>
      <c r="K894" s="12" t="n">
        <v>125</v>
      </c>
      <c r="L894" s="12"/>
      <c r="M894" s="12" t="n">
        <v>14.22</v>
      </c>
      <c r="N894" s="12" t="n">
        <v>77.99</v>
      </c>
      <c r="O894" s="13"/>
      <c r="P894" s="13" t="s">
        <v>5596</v>
      </c>
      <c r="Q894" s="13"/>
      <c r="R894" s="13"/>
      <c r="S894" s="13" t="s">
        <v>5597</v>
      </c>
      <c r="T894" s="12" t="s">
        <v>94</v>
      </c>
      <c r="U894" s="12" t="s">
        <v>5598</v>
      </c>
    </row>
    <row r="895" customFormat="false" ht="31.5" hidden="false" customHeight="true" outlineLevel="0" collapsed="false">
      <c r="A895" s="12" t="n">
        <v>741</v>
      </c>
      <c r="B895" s="12" t="s">
        <v>5599</v>
      </c>
      <c r="C895" s="12" t="s">
        <v>2516</v>
      </c>
      <c r="D895" s="12"/>
      <c r="E895" s="12"/>
      <c r="F895" s="12"/>
      <c r="G895" s="12"/>
      <c r="H895" s="12"/>
      <c r="I895" s="12"/>
      <c r="J895" s="12"/>
      <c r="K895" s="12"/>
      <c r="L895" s="12"/>
      <c r="M895" s="12"/>
      <c r="N895" s="12"/>
      <c r="O895" s="13"/>
      <c r="P895" s="13" t="s">
        <v>5600</v>
      </c>
      <c r="Q895" s="13"/>
      <c r="R895" s="13" t="s">
        <v>2241</v>
      </c>
      <c r="S895" s="13" t="s">
        <v>5601</v>
      </c>
      <c r="T895" s="12" t="s">
        <v>108</v>
      </c>
      <c r="U895" s="12" t="s">
        <v>5602</v>
      </c>
    </row>
    <row r="896" customFormat="false" ht="31.5" hidden="false" customHeight="true" outlineLevel="0" collapsed="false">
      <c r="A896" s="12" t="n">
        <v>742</v>
      </c>
      <c r="B896" s="12" t="s">
        <v>5603</v>
      </c>
      <c r="C896" s="12" t="s">
        <v>2527</v>
      </c>
      <c r="D896" s="12" t="s">
        <v>113</v>
      </c>
      <c r="E896" s="12"/>
      <c r="F896" s="12"/>
      <c r="G896" s="12"/>
      <c r="H896" s="12"/>
      <c r="I896" s="12"/>
      <c r="J896" s="12"/>
      <c r="K896" s="12"/>
      <c r="L896" s="12"/>
      <c r="M896" s="12"/>
      <c r="N896" s="12"/>
      <c r="O896" s="13"/>
      <c r="P896" s="13" t="s">
        <v>5604</v>
      </c>
      <c r="Q896" s="13"/>
      <c r="R896" s="13" t="s">
        <v>5605</v>
      </c>
      <c r="S896" s="13" t="s">
        <v>5606</v>
      </c>
      <c r="T896" s="12" t="s">
        <v>94</v>
      </c>
      <c r="U896" s="12" t="s">
        <v>5607</v>
      </c>
    </row>
    <row r="897" customFormat="false" ht="31.5" hidden="false" customHeight="true" outlineLevel="0" collapsed="false">
      <c r="A897" s="12" t="n">
        <v>743</v>
      </c>
      <c r="B897" s="12" t="s">
        <v>1784</v>
      </c>
      <c r="C897" s="12" t="s">
        <v>2666</v>
      </c>
      <c r="D897" s="12" t="s">
        <v>113</v>
      </c>
      <c r="E897" s="12" t="s">
        <v>83</v>
      </c>
      <c r="F897" s="12"/>
      <c r="G897" s="12"/>
      <c r="H897" s="12" t="s">
        <v>5568</v>
      </c>
      <c r="I897" s="12"/>
      <c r="J897" s="12" t="n">
        <v>100</v>
      </c>
      <c r="K897" s="12"/>
      <c r="L897" s="12" t="n">
        <v>1.7</v>
      </c>
      <c r="M897" s="12"/>
      <c r="N897" s="12" t="n">
        <v>66200</v>
      </c>
      <c r="O897" s="13"/>
      <c r="P897" s="13" t="s">
        <v>5608</v>
      </c>
      <c r="Q897" s="13"/>
      <c r="R897" s="13"/>
      <c r="S897" s="13" t="s">
        <v>5609</v>
      </c>
      <c r="T897" s="12" t="s">
        <v>94</v>
      </c>
      <c r="U897" s="12" t="s">
        <v>5610</v>
      </c>
    </row>
    <row r="898" customFormat="false" ht="31.5" hidden="false" customHeight="true" outlineLevel="0" collapsed="false">
      <c r="A898" s="12" t="n">
        <v>744</v>
      </c>
      <c r="B898" s="12" t="s">
        <v>1801</v>
      </c>
      <c r="C898" s="12" t="s">
        <v>2521</v>
      </c>
      <c r="D898" s="12" t="s">
        <v>113</v>
      </c>
      <c r="E898" s="12" t="s">
        <v>259</v>
      </c>
      <c r="F898" s="12" t="n">
        <v>66250</v>
      </c>
      <c r="G898" s="12" t="n">
        <v>67000</v>
      </c>
      <c r="H898" s="12"/>
      <c r="I898" s="12" t="n">
        <v>67600</v>
      </c>
      <c r="J898" s="12"/>
      <c r="K898" s="12"/>
      <c r="L898" s="12"/>
      <c r="M898" s="12"/>
      <c r="N898" s="12" t="n">
        <v>66250</v>
      </c>
      <c r="O898" s="13"/>
      <c r="P898" s="13" t="s">
        <v>5611</v>
      </c>
      <c r="Q898" s="13" t="s">
        <v>1811</v>
      </c>
      <c r="R898" s="13" t="s">
        <v>5612</v>
      </c>
      <c r="S898" s="13" t="s">
        <v>5613</v>
      </c>
      <c r="T898" s="12" t="s">
        <v>94</v>
      </c>
      <c r="U898" s="12" t="s">
        <v>1815</v>
      </c>
    </row>
    <row r="899" customFormat="false" ht="31.5" hidden="false" customHeight="true" outlineLevel="0" collapsed="false">
      <c r="A899" s="12" t="n">
        <v>745</v>
      </c>
      <c r="B899" s="12" t="s">
        <v>5614</v>
      </c>
      <c r="C899" s="12" t="s">
        <v>2516</v>
      </c>
      <c r="D899" s="12" t="s">
        <v>113</v>
      </c>
      <c r="E899" s="12" t="s">
        <v>259</v>
      </c>
      <c r="F899" s="12" t="n">
        <v>66500</v>
      </c>
      <c r="G899" s="12"/>
      <c r="H899" s="12"/>
      <c r="I899" s="12"/>
      <c r="J899" s="12"/>
      <c r="K899" s="12"/>
      <c r="L899" s="12"/>
      <c r="M899" s="12"/>
      <c r="N899" s="12"/>
      <c r="O899" s="13"/>
      <c r="P899" s="13" t="s">
        <v>5615</v>
      </c>
      <c r="Q899" s="13"/>
      <c r="R899" s="13"/>
      <c r="S899" s="13" t="s">
        <v>5616</v>
      </c>
      <c r="T899" s="12" t="s">
        <v>94</v>
      </c>
      <c r="U899" s="12" t="s">
        <v>5617</v>
      </c>
    </row>
    <row r="900" customFormat="false" ht="31.5" hidden="false" customHeight="true" outlineLevel="0" collapsed="false">
      <c r="A900" s="12" t="n">
        <v>746</v>
      </c>
      <c r="B900" s="12" t="s">
        <v>1816</v>
      </c>
      <c r="C900" s="12" t="s">
        <v>2549</v>
      </c>
      <c r="D900" s="12" t="s">
        <v>476</v>
      </c>
      <c r="E900" s="12" t="s">
        <v>259</v>
      </c>
      <c r="F900" s="12"/>
      <c r="G900" s="12"/>
      <c r="H900" s="12"/>
      <c r="I900" s="12" t="n">
        <v>573.2</v>
      </c>
      <c r="J900" s="12"/>
      <c r="K900" s="12"/>
      <c r="L900" s="12"/>
      <c r="M900" s="12"/>
      <c r="N900" s="12"/>
      <c r="O900" s="13"/>
      <c r="P900" s="13" t="s">
        <v>5618</v>
      </c>
      <c r="Q900" s="13"/>
      <c r="R900" s="13"/>
      <c r="S900" s="13" t="s">
        <v>5619</v>
      </c>
      <c r="T900" s="12" t="s">
        <v>94</v>
      </c>
      <c r="U900" s="12" t="s">
        <v>1825</v>
      </c>
    </row>
    <row r="901" customFormat="false" ht="31.5" hidden="false" customHeight="true" outlineLevel="0" collapsed="false">
      <c r="A901" s="12" t="n">
        <v>747</v>
      </c>
      <c r="B901" s="12" t="s">
        <v>5620</v>
      </c>
      <c r="C901" s="12" t="s">
        <v>2521</v>
      </c>
      <c r="D901" s="12" t="s">
        <v>476</v>
      </c>
      <c r="E901" s="12" t="s">
        <v>259</v>
      </c>
      <c r="F901" s="12" t="n">
        <v>545</v>
      </c>
      <c r="G901" s="12"/>
      <c r="H901" s="12" t="s">
        <v>1818</v>
      </c>
      <c r="I901" s="12" t="n">
        <v>573</v>
      </c>
      <c r="J901" s="12"/>
      <c r="K901" s="12"/>
      <c r="L901" s="12"/>
      <c r="M901" s="12"/>
      <c r="N901" s="12"/>
      <c r="O901" s="13"/>
      <c r="P901" s="13" t="s">
        <v>5621</v>
      </c>
      <c r="Q901" s="13"/>
      <c r="R901" s="13"/>
      <c r="S901" s="13" t="s">
        <v>5622</v>
      </c>
      <c r="T901" s="12" t="s">
        <v>94</v>
      </c>
      <c r="U901" s="12" t="s">
        <v>5623</v>
      </c>
    </row>
    <row r="902" customFormat="false" ht="31.5" hidden="false" customHeight="true" outlineLevel="0" collapsed="false">
      <c r="A902" s="12" t="n">
        <v>748</v>
      </c>
      <c r="B902" s="12" t="s">
        <v>5624</v>
      </c>
      <c r="C902" s="12" t="s">
        <v>2537</v>
      </c>
      <c r="D902" s="12" t="s">
        <v>113</v>
      </c>
      <c r="E902" s="12" t="s">
        <v>259</v>
      </c>
      <c r="F902" s="12"/>
      <c r="G902" s="12" t="n">
        <v>67000</v>
      </c>
      <c r="H902" s="12"/>
      <c r="I902" s="12"/>
      <c r="J902" s="12" t="n">
        <v>25</v>
      </c>
      <c r="K902" s="12"/>
      <c r="L902" s="12"/>
      <c r="M902" s="12"/>
      <c r="N902" s="12"/>
      <c r="O902" s="13" t="s">
        <v>5625</v>
      </c>
      <c r="P902" s="13" t="s">
        <v>5626</v>
      </c>
      <c r="Q902" s="13"/>
      <c r="R902" s="13" t="s">
        <v>5627</v>
      </c>
      <c r="S902" s="13" t="s">
        <v>5628</v>
      </c>
      <c r="T902" s="12" t="s">
        <v>94</v>
      </c>
      <c r="U902" s="12" t="s">
        <v>5629</v>
      </c>
    </row>
    <row r="903" customFormat="false" ht="31.5" hidden="false" customHeight="true" outlineLevel="0" collapsed="false">
      <c r="A903" s="12" t="n">
        <v>749</v>
      </c>
      <c r="B903" s="12" t="s">
        <v>1820</v>
      </c>
      <c r="C903" s="12" t="s">
        <v>2666</v>
      </c>
      <c r="D903" s="12" t="s">
        <v>476</v>
      </c>
      <c r="E903" s="12" t="s">
        <v>259</v>
      </c>
      <c r="F903" s="12" t="n">
        <v>543.18</v>
      </c>
      <c r="G903" s="12"/>
      <c r="H903" s="12" t="s">
        <v>1818</v>
      </c>
      <c r="I903" s="12"/>
      <c r="J903" s="12" t="n">
        <v>100</v>
      </c>
      <c r="K903" s="12" t="n">
        <v>75</v>
      </c>
      <c r="L903" s="12"/>
      <c r="M903" s="12" t="n">
        <v>220.48</v>
      </c>
      <c r="N903" s="12" t="n">
        <v>527.22</v>
      </c>
      <c r="O903" s="13"/>
      <c r="P903" s="13" t="s">
        <v>5630</v>
      </c>
      <c r="Q903" s="13"/>
      <c r="R903" s="13"/>
      <c r="S903" s="13" t="s">
        <v>5334</v>
      </c>
      <c r="T903" s="12" t="s">
        <v>94</v>
      </c>
      <c r="U903" s="12" t="s">
        <v>5631</v>
      </c>
    </row>
    <row r="904" customFormat="false" ht="31.5" hidden="false" customHeight="true" outlineLevel="0" collapsed="false">
      <c r="A904" s="12" t="n">
        <v>750</v>
      </c>
      <c r="B904" s="12" t="s">
        <v>1826</v>
      </c>
      <c r="C904" s="12" t="s">
        <v>2521</v>
      </c>
      <c r="D904" s="12" t="s">
        <v>1827</v>
      </c>
      <c r="E904" s="12" t="s">
        <v>259</v>
      </c>
      <c r="F904" s="12" t="n">
        <v>0.08825</v>
      </c>
      <c r="G904" s="12"/>
      <c r="H904" s="12"/>
      <c r="I904" s="12" t="n">
        <v>0.09264</v>
      </c>
      <c r="J904" s="12"/>
      <c r="K904" s="12"/>
      <c r="L904" s="12"/>
      <c r="M904" s="12"/>
      <c r="N904" s="12" t="n">
        <v>0.08825</v>
      </c>
      <c r="O904" s="13" t="s">
        <v>5632</v>
      </c>
      <c r="P904" s="13" t="s">
        <v>5633</v>
      </c>
      <c r="Q904" s="13"/>
      <c r="R904" s="13"/>
      <c r="S904" s="13" t="s">
        <v>5634</v>
      </c>
      <c r="T904" s="12" t="s">
        <v>94</v>
      </c>
      <c r="U904" s="12" t="s">
        <v>1835</v>
      </c>
    </row>
    <row r="905" customFormat="false" ht="31.5" hidden="false" customHeight="true" outlineLevel="0" collapsed="false">
      <c r="A905" s="12" t="n">
        <v>751</v>
      </c>
      <c r="B905" s="12" t="s">
        <v>1830</v>
      </c>
      <c r="C905" s="12" t="s">
        <v>2564</v>
      </c>
      <c r="D905" s="12" t="s">
        <v>1827</v>
      </c>
      <c r="E905" s="12" t="s">
        <v>259</v>
      </c>
      <c r="F905" s="12"/>
      <c r="G905" s="12"/>
      <c r="H905" s="12"/>
      <c r="I905" s="12" t="n">
        <v>0.09264</v>
      </c>
      <c r="J905" s="12" t="n">
        <v>100</v>
      </c>
      <c r="K905" s="12"/>
      <c r="L905" s="12"/>
      <c r="M905" s="12"/>
      <c r="N905" s="12"/>
      <c r="O905" s="13"/>
      <c r="P905" s="13" t="s">
        <v>5635</v>
      </c>
      <c r="Q905" s="13"/>
      <c r="R905" s="13"/>
      <c r="S905" s="13" t="s">
        <v>5636</v>
      </c>
      <c r="T905" s="12" t="s">
        <v>94</v>
      </c>
      <c r="U905" s="12" t="s">
        <v>5637</v>
      </c>
    </row>
    <row r="906" customFormat="false" ht="31.5" hidden="false" customHeight="true" outlineLevel="0" collapsed="false">
      <c r="A906" s="12" t="n">
        <v>752</v>
      </c>
      <c r="B906" s="12" t="s">
        <v>5638</v>
      </c>
      <c r="C906" s="12" t="s">
        <v>2670</v>
      </c>
      <c r="D906" s="12" t="s">
        <v>113</v>
      </c>
      <c r="E906" s="12" t="s">
        <v>259</v>
      </c>
      <c r="F906" s="12" t="n">
        <v>66137.7</v>
      </c>
      <c r="G906" s="12"/>
      <c r="H906" s="12" t="s">
        <v>5639</v>
      </c>
      <c r="I906" s="12"/>
      <c r="J906" s="12"/>
      <c r="K906" s="12" t="n">
        <v>150</v>
      </c>
      <c r="L906" s="12"/>
      <c r="M906" s="12" t="n">
        <v>132.8</v>
      </c>
      <c r="N906" s="12" t="n">
        <v>65552.1</v>
      </c>
      <c r="O906" s="13"/>
      <c r="P906" s="13" t="s">
        <v>5640</v>
      </c>
      <c r="Q906" s="13"/>
      <c r="R906" s="13"/>
      <c r="S906" s="13" t="s">
        <v>5641</v>
      </c>
      <c r="T906" s="12" t="s">
        <v>94</v>
      </c>
      <c r="U906" s="12" t="s">
        <v>5642</v>
      </c>
    </row>
    <row r="907" customFormat="false" ht="31.5" hidden="false" customHeight="true" outlineLevel="0" collapsed="false">
      <c r="A907" s="12" t="n">
        <v>753</v>
      </c>
      <c r="B907" s="12" t="s">
        <v>5643</v>
      </c>
      <c r="C907" s="12" t="s">
        <v>2516</v>
      </c>
      <c r="D907" s="12" t="s">
        <v>113</v>
      </c>
      <c r="E907" s="12" t="s">
        <v>259</v>
      </c>
      <c r="F907" s="12"/>
      <c r="G907" s="12"/>
      <c r="H907" s="12" t="s">
        <v>5644</v>
      </c>
      <c r="I907" s="12"/>
      <c r="J907" s="12"/>
      <c r="K907" s="12"/>
      <c r="L907" s="12"/>
      <c r="M907" s="12"/>
      <c r="N907" s="12"/>
      <c r="O907" s="13"/>
      <c r="P907" s="13" t="s">
        <v>5645</v>
      </c>
      <c r="Q907" s="13"/>
      <c r="R907" s="13" t="s">
        <v>5646</v>
      </c>
      <c r="S907" s="13" t="s">
        <v>5647</v>
      </c>
      <c r="T907" s="12" t="s">
        <v>94</v>
      </c>
      <c r="U907" s="12" t="s">
        <v>5648</v>
      </c>
    </row>
    <row r="908" customFormat="false" ht="31.5" hidden="false" customHeight="true" outlineLevel="0" collapsed="false">
      <c r="A908" s="12" t="n">
        <v>754</v>
      </c>
      <c r="B908" s="12" t="s">
        <v>5649</v>
      </c>
      <c r="C908" s="12" t="s">
        <v>2581</v>
      </c>
      <c r="D908" s="12" t="s">
        <v>113</v>
      </c>
      <c r="E908" s="12" t="s">
        <v>259</v>
      </c>
      <c r="F908" s="12" t="n">
        <v>66137.7</v>
      </c>
      <c r="G908" s="12"/>
      <c r="H908" s="12" t="s">
        <v>5650</v>
      </c>
      <c r="I908" s="12"/>
      <c r="J908" s="12" t="n">
        <v>70</v>
      </c>
      <c r="K908" s="12" t="n">
        <v>150</v>
      </c>
      <c r="L908" s="12"/>
      <c r="M908" s="12" t="n">
        <v>165.11</v>
      </c>
      <c r="N908" s="12" t="n">
        <v>65120</v>
      </c>
      <c r="O908" s="13"/>
      <c r="P908" s="13" t="s">
        <v>5651</v>
      </c>
      <c r="Q908" s="13"/>
      <c r="R908" s="13"/>
      <c r="S908" s="13" t="s">
        <v>5652</v>
      </c>
      <c r="T908" s="12" t="s">
        <v>94</v>
      </c>
      <c r="U908" s="12" t="s">
        <v>5653</v>
      </c>
    </row>
    <row r="909" customFormat="false" ht="31.5" hidden="false" customHeight="true" outlineLevel="0" collapsed="false">
      <c r="A909" s="12" t="n">
        <v>754</v>
      </c>
      <c r="B909" s="12" t="s">
        <v>5649</v>
      </c>
      <c r="C909" s="12" t="s">
        <v>2588</v>
      </c>
      <c r="D909" s="12" t="s">
        <v>113</v>
      </c>
      <c r="E909" s="12" t="s">
        <v>259</v>
      </c>
      <c r="F909" s="12"/>
      <c r="G909" s="12"/>
      <c r="H909" s="12"/>
      <c r="I909" s="12" t="n">
        <v>66137.7</v>
      </c>
      <c r="J909" s="12"/>
      <c r="K909" s="12"/>
      <c r="L909" s="12"/>
      <c r="M909" s="12"/>
      <c r="N909" s="12"/>
      <c r="O909" s="13"/>
      <c r="P909" s="13" t="s">
        <v>5654</v>
      </c>
      <c r="Q909" s="13"/>
      <c r="R909" s="13"/>
      <c r="S909" s="13" t="s">
        <v>5652</v>
      </c>
      <c r="T909" s="12" t="s">
        <v>108</v>
      </c>
      <c r="U909" s="12" t="s">
        <v>5653</v>
      </c>
    </row>
    <row r="910" customFormat="false" ht="31.5" hidden="false" customHeight="true" outlineLevel="0" collapsed="false">
      <c r="A910" s="12" t="n">
        <v>755</v>
      </c>
      <c r="B910" s="12" t="s">
        <v>1836</v>
      </c>
      <c r="C910" s="12" t="s">
        <v>2521</v>
      </c>
      <c r="D910" s="12" t="s">
        <v>754</v>
      </c>
      <c r="E910" s="12" t="s">
        <v>83</v>
      </c>
      <c r="F910" s="12" t="n">
        <v>1.871</v>
      </c>
      <c r="G910" s="12"/>
      <c r="H910" s="12"/>
      <c r="I910" s="12" t="n">
        <v>1.775</v>
      </c>
      <c r="J910" s="12"/>
      <c r="K910" s="12"/>
      <c r="L910" s="12"/>
      <c r="M910" s="12"/>
      <c r="N910" s="12" t="n">
        <v>1.871</v>
      </c>
      <c r="O910" s="13"/>
      <c r="P910" s="13" t="s">
        <v>5655</v>
      </c>
      <c r="Q910" s="13"/>
      <c r="R910" s="13"/>
      <c r="S910" s="13" t="s">
        <v>5656</v>
      </c>
      <c r="T910" s="12" t="s">
        <v>94</v>
      </c>
      <c r="U910" s="12" t="s">
        <v>1845</v>
      </c>
    </row>
    <row r="911" customFormat="false" ht="31.5" hidden="false" customHeight="true" outlineLevel="0" collapsed="false">
      <c r="A911" s="12" t="n">
        <v>756</v>
      </c>
      <c r="B911" s="12" t="s">
        <v>1808</v>
      </c>
      <c r="C911" s="12" t="s">
        <v>2666</v>
      </c>
      <c r="D911" s="12" t="s">
        <v>113</v>
      </c>
      <c r="E911" s="12" t="s">
        <v>259</v>
      </c>
      <c r="F911" s="12"/>
      <c r="G911" s="12"/>
      <c r="H911" s="12" t="s">
        <v>5657</v>
      </c>
      <c r="I911" s="12"/>
      <c r="J911" s="12" t="n">
        <v>100</v>
      </c>
      <c r="K911" s="12"/>
      <c r="L911" s="12"/>
      <c r="M911" s="12"/>
      <c r="N911" s="12"/>
      <c r="O911" s="13"/>
      <c r="P911" s="13" t="s">
        <v>5658</v>
      </c>
      <c r="Q911" s="13"/>
      <c r="R911" s="13"/>
      <c r="S911" s="13" t="s">
        <v>5659</v>
      </c>
      <c r="T911" s="12" t="s">
        <v>108</v>
      </c>
      <c r="U911" s="12" t="s">
        <v>1870</v>
      </c>
    </row>
    <row r="912" customFormat="false" ht="31.5" hidden="false" customHeight="true" outlineLevel="0" collapsed="false">
      <c r="A912" s="12" t="n">
        <v>756</v>
      </c>
      <c r="B912" s="12" t="s">
        <v>1808</v>
      </c>
      <c r="C912" s="12" t="s">
        <v>2516</v>
      </c>
      <c r="D912" s="12" t="s">
        <v>113</v>
      </c>
      <c r="E912" s="12" t="s">
        <v>83</v>
      </c>
      <c r="F912" s="12"/>
      <c r="G912" s="12"/>
      <c r="H912" s="12"/>
      <c r="I912" s="12"/>
      <c r="J912" s="12"/>
      <c r="K912" s="12"/>
      <c r="L912" s="12"/>
      <c r="M912" s="12"/>
      <c r="N912" s="12"/>
      <c r="O912" s="13"/>
      <c r="P912" s="13" t="s">
        <v>5660</v>
      </c>
      <c r="Q912" s="13"/>
      <c r="R912" s="13"/>
      <c r="S912" s="13" t="s">
        <v>5661</v>
      </c>
      <c r="T912" s="12" t="s">
        <v>94</v>
      </c>
      <c r="U912" s="12" t="s">
        <v>1870</v>
      </c>
    </row>
    <row r="913" customFormat="false" ht="31.5" hidden="false" customHeight="true" outlineLevel="0" collapsed="false">
      <c r="A913" s="12" t="n">
        <v>757</v>
      </c>
      <c r="B913" s="12" t="s">
        <v>1846</v>
      </c>
      <c r="C913" s="12" t="s">
        <v>2521</v>
      </c>
      <c r="D913" s="12" t="s">
        <v>296</v>
      </c>
      <c r="E913" s="12" t="s">
        <v>83</v>
      </c>
      <c r="F913" s="12" t="n">
        <v>1.112</v>
      </c>
      <c r="G913" s="12"/>
      <c r="H913" s="12" t="s">
        <v>1849</v>
      </c>
      <c r="I913" s="12" t="n">
        <v>1.04</v>
      </c>
      <c r="J913" s="12"/>
      <c r="K913" s="12"/>
      <c r="L913" s="12"/>
      <c r="M913" s="12"/>
      <c r="N913" s="12" t="n">
        <v>1.112</v>
      </c>
      <c r="O913" s="13" t="s">
        <v>5662</v>
      </c>
      <c r="P913" s="13" t="s">
        <v>5663</v>
      </c>
      <c r="Q913" s="13"/>
      <c r="R913" s="13"/>
      <c r="S913" s="13" t="s">
        <v>5664</v>
      </c>
      <c r="T913" s="12" t="s">
        <v>94</v>
      </c>
      <c r="U913" s="12" t="s">
        <v>1857</v>
      </c>
    </row>
    <row r="914" customFormat="false" ht="31.5" hidden="false" customHeight="true" outlineLevel="0" collapsed="false">
      <c r="A914" s="12" t="n">
        <v>758</v>
      </c>
      <c r="B914" s="12" t="s">
        <v>5665</v>
      </c>
      <c r="C914" s="12" t="s">
        <v>2670</v>
      </c>
      <c r="D914" s="12" t="s">
        <v>754</v>
      </c>
      <c r="E914" s="12" t="s">
        <v>83</v>
      </c>
      <c r="F914" s="12"/>
      <c r="G914" s="12"/>
      <c r="H914" s="12" t="s">
        <v>5666</v>
      </c>
      <c r="I914" s="12"/>
      <c r="J914" s="12" t="n">
        <v>50</v>
      </c>
      <c r="K914" s="12"/>
      <c r="L914" s="12"/>
      <c r="M914" s="12"/>
      <c r="N914" s="12"/>
      <c r="O914" s="13"/>
      <c r="P914" s="13" t="s">
        <v>5667</v>
      </c>
      <c r="Q914" s="13"/>
      <c r="R914" s="13" t="s">
        <v>5668</v>
      </c>
      <c r="S914" s="13" t="s">
        <v>5669</v>
      </c>
      <c r="T914" s="12" t="s">
        <v>94</v>
      </c>
      <c r="U914" s="12" t="s">
        <v>5670</v>
      </c>
    </row>
    <row r="915" customFormat="false" ht="31.5" hidden="false" customHeight="true" outlineLevel="0" collapsed="false">
      <c r="A915" s="12" t="n">
        <v>759</v>
      </c>
      <c r="B915" s="12" t="s">
        <v>5671</v>
      </c>
      <c r="C915" s="12" t="s">
        <v>2516</v>
      </c>
      <c r="D915" s="12" t="s">
        <v>113</v>
      </c>
      <c r="E915" s="12" t="s">
        <v>83</v>
      </c>
      <c r="F915" s="12"/>
      <c r="G915" s="12"/>
      <c r="H915" s="12"/>
      <c r="I915" s="12"/>
      <c r="J915" s="12"/>
      <c r="K915" s="12"/>
      <c r="L915" s="12"/>
      <c r="M915" s="12"/>
      <c r="N915" s="12" t="n">
        <v>64600</v>
      </c>
      <c r="O915" s="13"/>
      <c r="P915" s="13" t="s">
        <v>5672</v>
      </c>
      <c r="Q915" s="13"/>
      <c r="R915" s="13"/>
      <c r="S915" s="13" t="s">
        <v>5673</v>
      </c>
      <c r="T915" s="12" t="s">
        <v>108</v>
      </c>
      <c r="U915" s="12" t="s">
        <v>5674</v>
      </c>
    </row>
    <row r="916" customFormat="false" ht="31.5" hidden="false" customHeight="true" outlineLevel="0" collapsed="false">
      <c r="A916" s="12" t="n">
        <v>760</v>
      </c>
      <c r="B916" s="12" t="s">
        <v>1858</v>
      </c>
      <c r="C916" s="12" t="s">
        <v>2521</v>
      </c>
      <c r="D916" s="12" t="s">
        <v>113</v>
      </c>
      <c r="E916" s="12" t="s">
        <v>83</v>
      </c>
      <c r="F916" s="12" t="n">
        <v>64700</v>
      </c>
      <c r="G916" s="12" t="n">
        <v>64100</v>
      </c>
      <c r="H916" s="12" t="s">
        <v>1861</v>
      </c>
      <c r="I916" s="12" t="n">
        <v>63500</v>
      </c>
      <c r="J916" s="12"/>
      <c r="K916" s="12"/>
      <c r="L916" s="12"/>
      <c r="M916" s="12"/>
      <c r="N916" s="12" t="n">
        <v>64700</v>
      </c>
      <c r="O916" s="13" t="s">
        <v>5675</v>
      </c>
      <c r="P916" s="13" t="s">
        <v>5676</v>
      </c>
      <c r="Q916" s="13"/>
      <c r="R916" s="13"/>
      <c r="S916" s="13" t="s">
        <v>5677</v>
      </c>
      <c r="T916" s="12" t="s">
        <v>94</v>
      </c>
      <c r="U916" s="12" t="s">
        <v>5678</v>
      </c>
    </row>
    <row r="917" customFormat="false" ht="31.5" hidden="false" customHeight="true" outlineLevel="0" collapsed="false">
      <c r="A917" s="12" t="n">
        <v>761</v>
      </c>
      <c r="B917" s="12" t="s">
        <v>5679</v>
      </c>
      <c r="C917" s="12" t="s">
        <v>2618</v>
      </c>
      <c r="D917" s="12" t="s">
        <v>113</v>
      </c>
      <c r="E917" s="12" t="s">
        <v>83</v>
      </c>
      <c r="F917" s="12"/>
      <c r="G917" s="12"/>
      <c r="H917" s="12" t="s">
        <v>1863</v>
      </c>
      <c r="I917" s="12"/>
      <c r="J917" s="12"/>
      <c r="K917" s="12"/>
      <c r="L917" s="12"/>
      <c r="M917" s="12"/>
      <c r="N917" s="12"/>
      <c r="O917" s="13"/>
      <c r="P917" s="13" t="s">
        <v>5680</v>
      </c>
      <c r="Q917" s="13"/>
      <c r="R917" s="13"/>
      <c r="S917" s="13" t="s">
        <v>5681</v>
      </c>
      <c r="T917" s="12" t="s">
        <v>94</v>
      </c>
      <c r="U917" s="12" t="s">
        <v>5682</v>
      </c>
    </row>
    <row r="918" customFormat="false" ht="31.5" hidden="false" customHeight="true" outlineLevel="0" collapsed="false">
      <c r="A918" s="12" t="n">
        <v>762</v>
      </c>
      <c r="B918" s="12" t="s">
        <v>1864</v>
      </c>
      <c r="C918" s="12" t="s">
        <v>2666</v>
      </c>
      <c r="D918" s="12" t="s">
        <v>113</v>
      </c>
      <c r="E918" s="12" t="s">
        <v>83</v>
      </c>
      <c r="F918" s="12" t="n">
        <v>64790.5</v>
      </c>
      <c r="G918" s="12"/>
      <c r="H918" s="12" t="s">
        <v>1863</v>
      </c>
      <c r="I918" s="12"/>
      <c r="J918" s="12" t="n">
        <v>100</v>
      </c>
      <c r="K918" s="12" t="n">
        <v>150</v>
      </c>
      <c r="L918" s="12"/>
      <c r="M918" s="12" t="n">
        <v>214.37</v>
      </c>
      <c r="N918" s="12" t="n">
        <v>65700</v>
      </c>
      <c r="O918" s="13"/>
      <c r="P918" s="13" t="s">
        <v>5683</v>
      </c>
      <c r="Q918" s="13"/>
      <c r="R918" s="13"/>
      <c r="S918" s="13" t="s">
        <v>5684</v>
      </c>
      <c r="T918" s="12" t="s">
        <v>94</v>
      </c>
      <c r="U918" s="12" t="s">
        <v>5685</v>
      </c>
    </row>
    <row r="919" customFormat="false" ht="31.5" hidden="false" customHeight="true" outlineLevel="0" collapsed="false">
      <c r="A919" s="12" t="n">
        <v>763</v>
      </c>
      <c r="B919" s="12" t="s">
        <v>1871</v>
      </c>
      <c r="C919" s="12" t="s">
        <v>2521</v>
      </c>
      <c r="D919" s="12" t="s">
        <v>1084</v>
      </c>
      <c r="E919" s="12" t="s">
        <v>83</v>
      </c>
      <c r="F919" s="12" t="n">
        <v>5.42</v>
      </c>
      <c r="G919" s="12"/>
      <c r="H919" s="12"/>
      <c r="I919" s="12" t="n">
        <v>5.07</v>
      </c>
      <c r="J919" s="12"/>
      <c r="K919" s="12"/>
      <c r="L919" s="12"/>
      <c r="M919" s="12"/>
      <c r="N919" s="12" t="n">
        <v>5.42</v>
      </c>
      <c r="O919" s="13" t="s">
        <v>5686</v>
      </c>
      <c r="P919" s="13" t="s">
        <v>5687</v>
      </c>
      <c r="Q919" s="13"/>
      <c r="R919" s="13"/>
      <c r="S919" s="13" t="s">
        <v>5688</v>
      </c>
      <c r="T919" s="12" t="s">
        <v>94</v>
      </c>
      <c r="U919" s="12" t="s">
        <v>1883</v>
      </c>
    </row>
    <row r="920" customFormat="false" ht="31.5" hidden="false" customHeight="true" outlineLevel="0" collapsed="false">
      <c r="A920" s="12" t="n">
        <v>764</v>
      </c>
      <c r="B920" s="12" t="s">
        <v>1884</v>
      </c>
      <c r="C920" s="12" t="s">
        <v>2521</v>
      </c>
      <c r="D920" s="12" t="s">
        <v>113</v>
      </c>
      <c r="E920" s="12" t="s">
        <v>83</v>
      </c>
      <c r="F920" s="12" t="n">
        <v>64700</v>
      </c>
      <c r="G920" s="12" t="n">
        <v>64100</v>
      </c>
      <c r="H920" s="12" t="s">
        <v>1861</v>
      </c>
      <c r="I920" s="12" t="n">
        <v>63500</v>
      </c>
      <c r="J920" s="12"/>
      <c r="K920" s="12"/>
      <c r="L920" s="12"/>
      <c r="M920" s="12"/>
      <c r="N920" s="12"/>
      <c r="O920" s="13"/>
      <c r="P920" s="13" t="s">
        <v>5689</v>
      </c>
      <c r="Q920" s="13"/>
      <c r="R920" s="13"/>
      <c r="S920" s="13" t="s">
        <v>5690</v>
      </c>
      <c r="T920" s="12" t="s">
        <v>108</v>
      </c>
      <c r="U920" s="12" t="s">
        <v>1895</v>
      </c>
    </row>
    <row r="921" customFormat="false" ht="31.5" hidden="false" customHeight="true" outlineLevel="0" collapsed="false">
      <c r="A921" s="12" t="n">
        <v>765</v>
      </c>
      <c r="B921" s="12" t="s">
        <v>5691</v>
      </c>
      <c r="C921" s="12" t="s">
        <v>2537</v>
      </c>
      <c r="D921" s="12" t="s">
        <v>113</v>
      </c>
      <c r="E921" s="12" t="s">
        <v>83</v>
      </c>
      <c r="F921" s="12"/>
      <c r="G921" s="12" t="n">
        <v>64050</v>
      </c>
      <c r="H921" s="12"/>
      <c r="I921" s="12"/>
      <c r="J921" s="12"/>
      <c r="K921" s="12"/>
      <c r="L921" s="12"/>
      <c r="M921" s="12"/>
      <c r="N921" s="12"/>
      <c r="O921" s="13"/>
      <c r="P921" s="13" t="s">
        <v>5692</v>
      </c>
      <c r="Q921" s="13"/>
      <c r="R921" s="13"/>
      <c r="S921" s="13" t="s">
        <v>5693</v>
      </c>
      <c r="T921" s="12" t="s">
        <v>94</v>
      </c>
      <c r="U921" s="12" t="s">
        <v>5694</v>
      </c>
    </row>
    <row r="922" customFormat="false" ht="31.5" hidden="false" customHeight="true" outlineLevel="0" collapsed="false">
      <c r="A922" s="12" t="n">
        <v>765</v>
      </c>
      <c r="B922" s="12" t="s">
        <v>5691</v>
      </c>
      <c r="C922" s="12" t="s">
        <v>2588</v>
      </c>
      <c r="D922" s="12" t="s">
        <v>113</v>
      </c>
      <c r="E922" s="12" t="s">
        <v>83</v>
      </c>
      <c r="F922" s="12"/>
      <c r="G922" s="12"/>
      <c r="H922" s="12"/>
      <c r="I922" s="12" t="n">
        <v>63400</v>
      </c>
      <c r="J922" s="12"/>
      <c r="K922" s="12"/>
      <c r="L922" s="12"/>
      <c r="M922" s="12"/>
      <c r="N922" s="12"/>
      <c r="O922" s="13"/>
      <c r="P922" s="13" t="s">
        <v>5695</v>
      </c>
      <c r="Q922" s="13"/>
      <c r="R922" s="13"/>
      <c r="S922" s="13" t="s">
        <v>5693</v>
      </c>
      <c r="T922" s="12" t="s">
        <v>94</v>
      </c>
      <c r="U922" s="12" t="s">
        <v>5694</v>
      </c>
    </row>
    <row r="923" customFormat="false" ht="31.5" hidden="false" customHeight="true" outlineLevel="0" collapsed="false">
      <c r="A923" s="12" t="n">
        <v>765</v>
      </c>
      <c r="B923" s="12" t="s">
        <v>5691</v>
      </c>
      <c r="C923" s="12" t="s">
        <v>2537</v>
      </c>
      <c r="D923" s="12" t="s">
        <v>1084</v>
      </c>
      <c r="E923" s="12" t="s">
        <v>83</v>
      </c>
      <c r="F923" s="12" t="n">
        <v>5.36</v>
      </c>
      <c r="G923" s="12"/>
      <c r="H923" s="12"/>
      <c r="I923" s="12"/>
      <c r="J923" s="12" t="n">
        <v>20</v>
      </c>
      <c r="K923" s="12"/>
      <c r="L923" s="12"/>
      <c r="M923" s="12"/>
      <c r="N923" s="12"/>
      <c r="O923" s="13" t="s">
        <v>5696</v>
      </c>
      <c r="P923" s="13" t="s">
        <v>5697</v>
      </c>
      <c r="Q923" s="13"/>
      <c r="R923" s="13"/>
      <c r="S923" s="13" t="s">
        <v>5698</v>
      </c>
      <c r="T923" s="12" t="s">
        <v>94</v>
      </c>
      <c r="U923" s="12" t="s">
        <v>5694</v>
      </c>
    </row>
    <row r="924" customFormat="false" ht="31.5" hidden="false" customHeight="true" outlineLevel="0" collapsed="false">
      <c r="A924" s="12" t="n">
        <v>765</v>
      </c>
      <c r="B924" s="12" t="s">
        <v>5691</v>
      </c>
      <c r="C924" s="12" t="s">
        <v>2537</v>
      </c>
      <c r="D924" s="12" t="s">
        <v>296</v>
      </c>
      <c r="E924" s="12" t="s">
        <v>83</v>
      </c>
      <c r="F924" s="12"/>
      <c r="G924" s="12" t="n">
        <v>1.082</v>
      </c>
      <c r="H924" s="12"/>
      <c r="I924" s="12"/>
      <c r="J924" s="12" t="n">
        <v>25</v>
      </c>
      <c r="K924" s="12"/>
      <c r="L924" s="12"/>
      <c r="M924" s="12"/>
      <c r="N924" s="12"/>
      <c r="O924" s="13" t="s">
        <v>5696</v>
      </c>
      <c r="P924" s="13" t="s">
        <v>5699</v>
      </c>
      <c r="Q924" s="13"/>
      <c r="R924" s="13"/>
      <c r="S924" s="13" t="s">
        <v>5700</v>
      </c>
      <c r="T924" s="12" t="s">
        <v>94</v>
      </c>
      <c r="U924" s="12" t="s">
        <v>5694</v>
      </c>
    </row>
    <row r="925" customFormat="false" ht="31.5" hidden="false" customHeight="true" outlineLevel="0" collapsed="false">
      <c r="A925" s="12" t="n">
        <v>766</v>
      </c>
      <c r="B925" s="12" t="s">
        <v>5701</v>
      </c>
      <c r="C925" s="12" t="s">
        <v>2557</v>
      </c>
      <c r="D925" s="12" t="s">
        <v>113</v>
      </c>
      <c r="E925" s="12" t="s">
        <v>83</v>
      </c>
      <c r="F925" s="12"/>
      <c r="G925" s="12"/>
      <c r="H925" s="12"/>
      <c r="I925" s="12" t="n">
        <v>63400</v>
      </c>
      <c r="J925" s="12"/>
      <c r="K925" s="12"/>
      <c r="L925" s="12"/>
      <c r="M925" s="12"/>
      <c r="N925" s="12"/>
      <c r="O925" s="13"/>
      <c r="P925" s="13" t="s">
        <v>5702</v>
      </c>
      <c r="Q925" s="13"/>
      <c r="R925" s="13"/>
      <c r="S925" s="13" t="s">
        <v>5703</v>
      </c>
      <c r="T925" s="12" t="s">
        <v>108</v>
      </c>
      <c r="U925" s="12" t="s">
        <v>5704</v>
      </c>
    </row>
    <row r="926" customFormat="false" ht="31.5" hidden="false" customHeight="true" outlineLevel="0" collapsed="false">
      <c r="A926" s="12" t="n">
        <v>767</v>
      </c>
      <c r="B926" s="12" t="s">
        <v>1896</v>
      </c>
      <c r="C926" s="12" t="s">
        <v>2516</v>
      </c>
      <c r="D926" s="12" t="s">
        <v>142</v>
      </c>
      <c r="E926" s="12" t="s">
        <v>83</v>
      </c>
      <c r="F926" s="12" t="n">
        <v>4065</v>
      </c>
      <c r="G926" s="12"/>
      <c r="H926" s="12"/>
      <c r="I926" s="12" t="n">
        <v>4045</v>
      </c>
      <c r="J926" s="12"/>
      <c r="K926" s="12"/>
      <c r="L926" s="12"/>
      <c r="M926" s="12"/>
      <c r="N926" s="12" t="n">
        <v>4065</v>
      </c>
      <c r="O926" s="13"/>
      <c r="P926" s="13" t="s">
        <v>5705</v>
      </c>
      <c r="Q926" s="13"/>
      <c r="R926" s="13"/>
      <c r="S926" s="13" t="s">
        <v>5706</v>
      </c>
      <c r="T926" s="12" t="s">
        <v>94</v>
      </c>
      <c r="U926" s="12" t="s">
        <v>1904</v>
      </c>
    </row>
    <row r="927" customFormat="false" ht="31.5" hidden="false" customHeight="true" outlineLevel="0" collapsed="false">
      <c r="A927" s="12" t="n">
        <v>768</v>
      </c>
      <c r="B927" s="12" t="s">
        <v>5707</v>
      </c>
      <c r="C927" s="12" t="s">
        <v>2588</v>
      </c>
      <c r="D927" s="12" t="s">
        <v>142</v>
      </c>
      <c r="E927" s="12" t="s">
        <v>83</v>
      </c>
      <c r="F927" s="12" t="n">
        <v>4066.9</v>
      </c>
      <c r="G927" s="12"/>
      <c r="H927" s="12"/>
      <c r="I927" s="12" t="n">
        <v>4066.9</v>
      </c>
      <c r="J927" s="12"/>
      <c r="K927" s="12" t="n">
        <v>100</v>
      </c>
      <c r="L927" s="12" t="n">
        <v>1</v>
      </c>
      <c r="M927" s="12" t="n">
        <v>34.63</v>
      </c>
      <c r="N927" s="12" t="n">
        <v>4080.98</v>
      </c>
      <c r="O927" s="13"/>
      <c r="P927" s="13" t="s">
        <v>5708</v>
      </c>
      <c r="Q927" s="13"/>
      <c r="R927" s="13"/>
      <c r="S927" s="13" t="s">
        <v>5709</v>
      </c>
      <c r="T927" s="12" t="s">
        <v>94</v>
      </c>
      <c r="U927" s="12" t="s">
        <v>5710</v>
      </c>
    </row>
    <row r="928" customFormat="false" ht="31.5" hidden="false" customHeight="true" outlineLevel="0" collapsed="false">
      <c r="A928" s="12" t="n">
        <v>769</v>
      </c>
      <c r="B928" s="12" t="s">
        <v>1665</v>
      </c>
      <c r="C928" s="12" t="s">
        <v>2630</v>
      </c>
      <c r="D928" s="12" t="s">
        <v>1662</v>
      </c>
      <c r="E928" s="12" t="s">
        <v>83</v>
      </c>
      <c r="F928" s="12" t="n">
        <v>0.06447</v>
      </c>
      <c r="G928" s="12"/>
      <c r="H928" s="12"/>
      <c r="I928" s="12"/>
      <c r="J928" s="12" t="n">
        <v>100</v>
      </c>
      <c r="K928" s="12" t="n">
        <v>50</v>
      </c>
      <c r="L928" s="12"/>
      <c r="M928" s="12" t="n">
        <v>179.96</v>
      </c>
      <c r="N928" s="12" t="n">
        <v>0.0668</v>
      </c>
      <c r="O928" s="13"/>
      <c r="P928" s="13" t="s">
        <v>5711</v>
      </c>
      <c r="Q928" s="13"/>
      <c r="R928" s="13"/>
      <c r="S928" s="13" t="s">
        <v>5712</v>
      </c>
      <c r="T928" s="12" t="s">
        <v>94</v>
      </c>
      <c r="U928" s="12" t="s">
        <v>5713</v>
      </c>
    </row>
    <row r="929" customFormat="false" ht="31.5" hidden="false" customHeight="true" outlineLevel="0" collapsed="false">
      <c r="A929" s="12" t="n">
        <v>770</v>
      </c>
      <c r="B929" s="12" t="s">
        <v>1719</v>
      </c>
      <c r="C929" s="12" t="s">
        <v>2630</v>
      </c>
      <c r="D929" s="12" t="s">
        <v>1715</v>
      </c>
      <c r="E929" s="12" t="s">
        <v>83</v>
      </c>
      <c r="F929" s="12" t="n">
        <v>0.3509</v>
      </c>
      <c r="G929" s="12"/>
      <c r="H929" s="12"/>
      <c r="I929" s="12"/>
      <c r="J929" s="12" t="n">
        <v>100</v>
      </c>
      <c r="K929" s="12" t="n">
        <v>20</v>
      </c>
      <c r="L929" s="12"/>
      <c r="M929" s="12" t="n">
        <v>172.22</v>
      </c>
      <c r="N929" s="12" t="n">
        <v>0.3816</v>
      </c>
      <c r="O929" s="13"/>
      <c r="P929" s="13" t="s">
        <v>5714</v>
      </c>
      <c r="Q929" s="13"/>
      <c r="R929" s="13"/>
      <c r="S929" s="13" t="s">
        <v>5715</v>
      </c>
      <c r="T929" s="12" t="s">
        <v>108</v>
      </c>
      <c r="U929" s="12" t="s">
        <v>5716</v>
      </c>
    </row>
    <row r="930" customFormat="false" ht="31.5" hidden="false" customHeight="true" outlineLevel="0" collapsed="false">
      <c r="A930" s="12" t="n">
        <v>770</v>
      </c>
      <c r="B930" s="12" t="s">
        <v>1719</v>
      </c>
      <c r="C930" s="12" t="s">
        <v>2588</v>
      </c>
      <c r="D930" s="12" t="s">
        <v>1715</v>
      </c>
      <c r="E930" s="12" t="s">
        <v>83</v>
      </c>
      <c r="F930" s="12"/>
      <c r="G930" s="12"/>
      <c r="H930" s="12"/>
      <c r="I930" s="12"/>
      <c r="J930" s="12"/>
      <c r="K930" s="12"/>
      <c r="L930" s="12"/>
      <c r="M930" s="12"/>
      <c r="N930" s="12"/>
      <c r="O930" s="13"/>
      <c r="P930" s="13" t="s">
        <v>5717</v>
      </c>
      <c r="Q930" s="13"/>
      <c r="R930" s="13"/>
      <c r="S930" s="13" t="s">
        <v>5718</v>
      </c>
      <c r="T930" s="12" t="s">
        <v>108</v>
      </c>
      <c r="U930" s="12" t="s">
        <v>5716</v>
      </c>
    </row>
    <row r="931" customFormat="false" ht="31.5" hidden="false" customHeight="true" outlineLevel="0" collapsed="false">
      <c r="A931" s="12" t="n">
        <v>770</v>
      </c>
      <c r="B931" s="12" t="s">
        <v>1719</v>
      </c>
      <c r="C931" s="12" t="s">
        <v>2670</v>
      </c>
      <c r="D931" s="12" t="s">
        <v>1715</v>
      </c>
      <c r="E931" s="12" t="s">
        <v>83</v>
      </c>
      <c r="F931" s="12"/>
      <c r="G931" s="12"/>
      <c r="H931" s="12" t="s">
        <v>5719</v>
      </c>
      <c r="I931" s="12"/>
      <c r="J931" s="12"/>
      <c r="K931" s="12"/>
      <c r="L931" s="12"/>
      <c r="M931" s="12"/>
      <c r="N931" s="12"/>
      <c r="O931" s="13"/>
      <c r="P931" s="13" t="s">
        <v>5720</v>
      </c>
      <c r="Q931" s="13"/>
      <c r="R931" s="13"/>
      <c r="S931" s="13" t="s">
        <v>5718</v>
      </c>
      <c r="T931" s="12" t="s">
        <v>94</v>
      </c>
      <c r="U931" s="12" t="s">
        <v>5716</v>
      </c>
    </row>
    <row r="932" customFormat="false" ht="31.5" hidden="false" customHeight="true" outlineLevel="0" collapsed="false">
      <c r="A932" s="12" t="n">
        <v>771</v>
      </c>
      <c r="B932" s="12" t="s">
        <v>1905</v>
      </c>
      <c r="C932" s="12" t="s">
        <v>2521</v>
      </c>
      <c r="D932" s="12" t="s">
        <v>792</v>
      </c>
      <c r="E932" s="12" t="s">
        <v>83</v>
      </c>
      <c r="F932" s="12" t="n">
        <v>565</v>
      </c>
      <c r="G932" s="12"/>
      <c r="H932" s="12"/>
      <c r="I932" s="12" t="n">
        <v>540</v>
      </c>
      <c r="J932" s="12"/>
      <c r="K932" s="12"/>
      <c r="L932" s="12"/>
      <c r="M932" s="12"/>
      <c r="N932" s="12"/>
      <c r="O932" s="13"/>
      <c r="P932" s="13" t="s">
        <v>5721</v>
      </c>
      <c r="Q932" s="13"/>
      <c r="R932" s="13"/>
      <c r="S932" s="13" t="s">
        <v>5722</v>
      </c>
      <c r="T932" s="12" t="s">
        <v>94</v>
      </c>
      <c r="U932" s="12" t="s">
        <v>1913</v>
      </c>
    </row>
    <row r="933" customFormat="false" ht="31.5" hidden="false" customHeight="true" outlineLevel="0" collapsed="false">
      <c r="A933" s="12" t="n">
        <v>772</v>
      </c>
      <c r="B933" s="12" t="s">
        <v>1914</v>
      </c>
      <c r="C933" s="12" t="s">
        <v>2521</v>
      </c>
      <c r="D933" s="12" t="s">
        <v>1915</v>
      </c>
      <c r="E933" s="12" t="s">
        <v>83</v>
      </c>
      <c r="F933" s="12" t="n">
        <v>0.0337</v>
      </c>
      <c r="G933" s="12"/>
      <c r="H933" s="12" t="s">
        <v>1916</v>
      </c>
      <c r="I933" s="12" t="n">
        <v>0.03192</v>
      </c>
      <c r="J933" s="12"/>
      <c r="K933" s="12"/>
      <c r="L933" s="12"/>
      <c r="M933" s="12"/>
      <c r="N933" s="12"/>
      <c r="O933" s="13"/>
      <c r="P933" s="13" t="s">
        <v>5723</v>
      </c>
      <c r="Q933" s="13" t="s">
        <v>1410</v>
      </c>
      <c r="R933" s="13"/>
      <c r="S933" s="13" t="s">
        <v>5724</v>
      </c>
      <c r="T933" s="12" t="s">
        <v>94</v>
      </c>
      <c r="U933" s="12" t="s">
        <v>1923</v>
      </c>
    </row>
    <row r="934" customFormat="false" ht="31.5" hidden="false" customHeight="true" outlineLevel="0" collapsed="false">
      <c r="A934" s="12" t="n">
        <v>773</v>
      </c>
      <c r="B934" s="12" t="s">
        <v>5725</v>
      </c>
      <c r="C934" s="12" t="s">
        <v>2557</v>
      </c>
      <c r="D934" s="12" t="s">
        <v>1915</v>
      </c>
      <c r="E934" s="12" t="s">
        <v>83</v>
      </c>
      <c r="F934" s="12"/>
      <c r="G934" s="12"/>
      <c r="H934" s="12"/>
      <c r="I934" s="12"/>
      <c r="J934" s="12"/>
      <c r="K934" s="12"/>
      <c r="L934" s="12"/>
      <c r="M934" s="12"/>
      <c r="N934" s="12"/>
      <c r="O934" s="13" t="s">
        <v>5726</v>
      </c>
      <c r="P934" s="13" t="s">
        <v>5727</v>
      </c>
      <c r="Q934" s="13"/>
      <c r="R934" s="13"/>
      <c r="S934" s="13" t="s">
        <v>5728</v>
      </c>
      <c r="T934" s="12" t="s">
        <v>108</v>
      </c>
      <c r="U934" s="12" t="s">
        <v>5729</v>
      </c>
    </row>
    <row r="935" customFormat="false" ht="31.5" hidden="false" customHeight="true" outlineLevel="0" collapsed="false">
      <c r="A935" s="12" t="n">
        <v>774</v>
      </c>
      <c r="B935" s="12" t="s">
        <v>1918</v>
      </c>
      <c r="C935" s="12" t="s">
        <v>2630</v>
      </c>
      <c r="D935" s="12" t="s">
        <v>1915</v>
      </c>
      <c r="E935" s="12" t="s">
        <v>83</v>
      </c>
      <c r="F935" s="12" t="n">
        <v>0.03375</v>
      </c>
      <c r="G935" s="12"/>
      <c r="H935" s="12"/>
      <c r="I935" s="12"/>
      <c r="J935" s="12" t="n">
        <v>100</v>
      </c>
      <c r="K935" s="12" t="n">
        <v>49</v>
      </c>
      <c r="L935" s="12"/>
      <c r="M935" s="12" t="n">
        <v>187.28</v>
      </c>
      <c r="N935" s="12" t="n">
        <v>0.03504</v>
      </c>
      <c r="O935" s="13"/>
      <c r="P935" s="13" t="s">
        <v>5730</v>
      </c>
      <c r="Q935" s="13"/>
      <c r="R935" s="13"/>
      <c r="S935" s="13" t="s">
        <v>5731</v>
      </c>
      <c r="T935" s="12" t="s">
        <v>94</v>
      </c>
      <c r="U935" s="12" t="s">
        <v>5732</v>
      </c>
    </row>
    <row r="936" customFormat="false" ht="31.5" hidden="false" customHeight="true" outlineLevel="0" collapsed="false">
      <c r="A936" s="12" t="n">
        <v>775</v>
      </c>
      <c r="B936" s="12" t="s">
        <v>5733</v>
      </c>
      <c r="C936" s="12" t="s">
        <v>2588</v>
      </c>
      <c r="D936" s="12" t="s">
        <v>1084</v>
      </c>
      <c r="E936" s="12" t="s">
        <v>83</v>
      </c>
      <c r="F936" s="12"/>
      <c r="G936" s="12"/>
      <c r="H936" s="12"/>
      <c r="I936" s="12" t="n">
        <v>5</v>
      </c>
      <c r="J936" s="12"/>
      <c r="K936" s="12"/>
      <c r="L936" s="12"/>
      <c r="M936" s="12"/>
      <c r="N936" s="12"/>
      <c r="O936" s="13"/>
      <c r="P936" s="13" t="s">
        <v>5734</v>
      </c>
      <c r="Q936" s="13"/>
      <c r="R936" s="13" t="s">
        <v>5735</v>
      </c>
      <c r="S936" s="13" t="s">
        <v>5736</v>
      </c>
      <c r="T936" s="12" t="s">
        <v>94</v>
      </c>
      <c r="U936" s="12" t="s">
        <v>5737</v>
      </c>
    </row>
    <row r="937" customFormat="false" ht="31.5" hidden="false" customHeight="true" outlineLevel="0" collapsed="false">
      <c r="A937" s="12" t="n">
        <v>776</v>
      </c>
      <c r="B937" s="12" t="s">
        <v>5738</v>
      </c>
      <c r="C937" s="12" t="s">
        <v>2516</v>
      </c>
      <c r="D937" s="12" t="s">
        <v>113</v>
      </c>
      <c r="E937" s="12" t="s">
        <v>83</v>
      </c>
      <c r="F937" s="12" t="n">
        <v>64350</v>
      </c>
      <c r="G937" s="12"/>
      <c r="H937" s="12" t="s">
        <v>1494</v>
      </c>
      <c r="I937" s="12"/>
      <c r="J937" s="12"/>
      <c r="K937" s="12"/>
      <c r="L937" s="12"/>
      <c r="M937" s="12"/>
      <c r="N937" s="12"/>
      <c r="O937" s="13"/>
      <c r="P937" s="13" t="s">
        <v>5739</v>
      </c>
      <c r="Q937" s="13"/>
      <c r="R937" s="13"/>
      <c r="S937" s="13" t="s">
        <v>5740</v>
      </c>
      <c r="T937" s="12" t="s">
        <v>94</v>
      </c>
      <c r="U937" s="12" t="s">
        <v>5741</v>
      </c>
    </row>
    <row r="938" customFormat="false" ht="31.5" hidden="false" customHeight="true" outlineLevel="0" collapsed="false">
      <c r="A938" s="12" t="n">
        <v>777</v>
      </c>
      <c r="B938" s="12" t="s">
        <v>1876</v>
      </c>
      <c r="C938" s="12" t="s">
        <v>2506</v>
      </c>
      <c r="D938" s="12"/>
      <c r="E938" s="12"/>
      <c r="F938" s="12"/>
      <c r="G938" s="12"/>
      <c r="H938" s="12"/>
      <c r="I938" s="12"/>
      <c r="J938" s="12"/>
      <c r="K938" s="12"/>
      <c r="L938" s="12"/>
      <c r="M938" s="12"/>
      <c r="N938" s="12"/>
      <c r="O938" s="13" t="s">
        <v>5742</v>
      </c>
      <c r="P938" s="13" t="s">
        <v>5743</v>
      </c>
      <c r="Q938" s="13"/>
      <c r="R938" s="13"/>
      <c r="S938" s="13" t="s">
        <v>5744</v>
      </c>
      <c r="T938" s="12" t="s">
        <v>94</v>
      </c>
      <c r="U938" s="12" t="s">
        <v>5745</v>
      </c>
    </row>
    <row r="939" customFormat="false" ht="31.5" hidden="false" customHeight="true" outlineLevel="0" collapsed="false">
      <c r="A939" s="12" t="n">
        <v>777</v>
      </c>
      <c r="B939" s="12" t="s">
        <v>1876</v>
      </c>
      <c r="C939" s="12" t="s">
        <v>2564</v>
      </c>
      <c r="D939" s="12" t="s">
        <v>1084</v>
      </c>
      <c r="E939" s="12" t="s">
        <v>83</v>
      </c>
      <c r="F939" s="12"/>
      <c r="G939" s="12"/>
      <c r="H939" s="12"/>
      <c r="I939" s="12"/>
      <c r="J939" s="12" t="n">
        <v>100</v>
      </c>
      <c r="K939" s="12"/>
      <c r="L939" s="12"/>
      <c r="M939" s="12"/>
      <c r="N939" s="12"/>
      <c r="O939" s="13"/>
      <c r="P939" s="13" t="s">
        <v>5746</v>
      </c>
      <c r="Q939" s="13" t="s">
        <v>1879</v>
      </c>
      <c r="R939" s="13" t="s">
        <v>1880</v>
      </c>
      <c r="S939" s="13" t="s">
        <v>5747</v>
      </c>
      <c r="T939" s="12" t="s">
        <v>94</v>
      </c>
      <c r="U939" s="12" t="s">
        <v>5745</v>
      </c>
    </row>
    <row r="940" customFormat="false" ht="31.5" hidden="false" customHeight="true" outlineLevel="0" collapsed="false">
      <c r="A940" s="12" t="n">
        <v>778</v>
      </c>
      <c r="B940" s="12" t="s">
        <v>5748</v>
      </c>
      <c r="C940" s="12" t="s">
        <v>2588</v>
      </c>
      <c r="D940" s="12" t="s">
        <v>792</v>
      </c>
      <c r="E940" s="12" t="s">
        <v>83</v>
      </c>
      <c r="F940" s="12" t="n">
        <v>565.35</v>
      </c>
      <c r="G940" s="12"/>
      <c r="H940" s="12"/>
      <c r="I940" s="12" t="n">
        <v>565.35</v>
      </c>
      <c r="J940" s="12"/>
      <c r="K940" s="12" t="n">
        <v>75</v>
      </c>
      <c r="L940" s="12"/>
      <c r="M940" s="12" t="n">
        <v>87.66</v>
      </c>
      <c r="N940" s="12" t="n">
        <v>571.95</v>
      </c>
      <c r="O940" s="13"/>
      <c r="P940" s="13" t="s">
        <v>5749</v>
      </c>
      <c r="Q940" s="13"/>
      <c r="R940" s="13"/>
      <c r="S940" s="13" t="s">
        <v>5750</v>
      </c>
      <c r="T940" s="12" t="s">
        <v>94</v>
      </c>
      <c r="U940" s="12" t="s">
        <v>5751</v>
      </c>
    </row>
    <row r="941" customFormat="false" ht="31.5" hidden="false" customHeight="true" outlineLevel="0" collapsed="false">
      <c r="A941" s="12" t="n">
        <v>779</v>
      </c>
      <c r="B941" s="12" t="s">
        <v>1889</v>
      </c>
      <c r="C941" s="12" t="s">
        <v>2630</v>
      </c>
      <c r="D941" s="12" t="s">
        <v>113</v>
      </c>
      <c r="E941" s="12" t="s">
        <v>83</v>
      </c>
      <c r="F941" s="12"/>
      <c r="G941" s="12"/>
      <c r="H941" s="12"/>
      <c r="I941" s="12"/>
      <c r="J941" s="12" t="n">
        <v>100</v>
      </c>
      <c r="K941" s="12"/>
      <c r="L941" s="12"/>
      <c r="M941" s="12"/>
      <c r="N941" s="12" t="n">
        <v>64800</v>
      </c>
      <c r="O941" s="13"/>
      <c r="P941" s="13" t="s">
        <v>5752</v>
      </c>
      <c r="Q941" s="13"/>
      <c r="R941" s="13"/>
      <c r="S941" s="13" t="s">
        <v>5753</v>
      </c>
      <c r="T941" s="12" t="s">
        <v>94</v>
      </c>
      <c r="U941" s="12" t="s">
        <v>5754</v>
      </c>
    </row>
    <row r="942" customFormat="false" ht="31.5" hidden="false" customHeight="true" outlineLevel="0" collapsed="false">
      <c r="A942" s="12" t="n">
        <v>780</v>
      </c>
      <c r="B942" s="12" t="s">
        <v>5755</v>
      </c>
      <c r="C942" s="12" t="s">
        <v>2557</v>
      </c>
      <c r="D942" s="12" t="s">
        <v>113</v>
      </c>
      <c r="E942" s="12" t="s">
        <v>83</v>
      </c>
      <c r="F942" s="12" t="n">
        <v>64489.7</v>
      </c>
      <c r="G942" s="12"/>
      <c r="H942" s="12"/>
      <c r="I942" s="12"/>
      <c r="J942" s="12"/>
      <c r="K942" s="12" t="n">
        <v>150</v>
      </c>
      <c r="L942" s="12"/>
      <c r="M942" s="12" t="n">
        <v>70.28</v>
      </c>
      <c r="N942" s="12" t="n">
        <v>64791.9</v>
      </c>
      <c r="O942" s="13"/>
      <c r="P942" s="13" t="s">
        <v>5756</v>
      </c>
      <c r="Q942" s="13"/>
      <c r="R942" s="13"/>
      <c r="S942" s="13" t="s">
        <v>5757</v>
      </c>
      <c r="T942" s="12" t="s">
        <v>94</v>
      </c>
      <c r="U942" s="12" t="s">
        <v>5758</v>
      </c>
    </row>
    <row r="943" customFormat="false" ht="31.5" hidden="false" customHeight="true" outlineLevel="0" collapsed="false">
      <c r="A943" s="12" t="n">
        <v>780</v>
      </c>
      <c r="B943" s="12" t="s">
        <v>5755</v>
      </c>
      <c r="C943" s="12" t="s">
        <v>2511</v>
      </c>
      <c r="D943" s="12" t="s">
        <v>113</v>
      </c>
      <c r="E943" s="12"/>
      <c r="F943" s="12"/>
      <c r="G943" s="12"/>
      <c r="H943" s="12"/>
      <c r="I943" s="12"/>
      <c r="J943" s="12"/>
      <c r="K943" s="12"/>
      <c r="L943" s="12"/>
      <c r="M943" s="12"/>
      <c r="N943" s="12"/>
      <c r="O943" s="13"/>
      <c r="P943" s="13" t="s">
        <v>5759</v>
      </c>
      <c r="Q943" s="13"/>
      <c r="R943" s="13"/>
      <c r="S943" s="13" t="s">
        <v>5760</v>
      </c>
      <c r="T943" s="12" t="s">
        <v>94</v>
      </c>
      <c r="U943" s="12" t="s">
        <v>5758</v>
      </c>
    </row>
    <row r="944" customFormat="false" ht="31.5" hidden="false" customHeight="true" outlineLevel="0" collapsed="false">
      <c r="A944" s="12" t="n">
        <v>781</v>
      </c>
      <c r="B944" s="12" t="s">
        <v>5761</v>
      </c>
      <c r="C944" s="12" t="s">
        <v>2527</v>
      </c>
      <c r="D944" s="12" t="s">
        <v>113</v>
      </c>
      <c r="E944" s="12"/>
      <c r="F944" s="12"/>
      <c r="G944" s="12"/>
      <c r="H944" s="12"/>
      <c r="I944" s="12"/>
      <c r="J944" s="12"/>
      <c r="K944" s="12"/>
      <c r="L944" s="12"/>
      <c r="M944" s="12"/>
      <c r="N944" s="12" t="n">
        <v>65500</v>
      </c>
      <c r="O944" s="13"/>
      <c r="P944" s="13" t="s">
        <v>5762</v>
      </c>
      <c r="Q944" s="13"/>
      <c r="R944" s="13"/>
      <c r="S944" s="13" t="s">
        <v>5763</v>
      </c>
      <c r="T944" s="12" t="s">
        <v>94</v>
      </c>
      <c r="U944" s="12" t="s">
        <v>5764</v>
      </c>
    </row>
    <row r="945" customFormat="false" ht="31.5" hidden="false" customHeight="true" outlineLevel="0" collapsed="false">
      <c r="A945" s="12" t="n">
        <v>782</v>
      </c>
      <c r="B945" s="12" t="s">
        <v>5765</v>
      </c>
      <c r="C945" s="12" t="s">
        <v>2527</v>
      </c>
      <c r="D945" s="12" t="s">
        <v>113</v>
      </c>
      <c r="E945" s="12"/>
      <c r="F945" s="12"/>
      <c r="G945" s="12"/>
      <c r="H945" s="12"/>
      <c r="I945" s="12"/>
      <c r="J945" s="12"/>
      <c r="K945" s="12"/>
      <c r="L945" s="12"/>
      <c r="M945" s="12"/>
      <c r="N945" s="12" t="n">
        <v>65555</v>
      </c>
      <c r="O945" s="13"/>
      <c r="P945" s="13" t="s">
        <v>5766</v>
      </c>
      <c r="Q945" s="13" t="s">
        <v>5767</v>
      </c>
      <c r="R945" s="13"/>
      <c r="S945" s="13" t="s">
        <v>5768</v>
      </c>
      <c r="T945" s="12" t="s">
        <v>94</v>
      </c>
      <c r="U945" s="12" t="s">
        <v>5769</v>
      </c>
    </row>
    <row r="946" customFormat="false" ht="31.5" hidden="false" customHeight="true" outlineLevel="0" collapsed="false">
      <c r="A946" s="12" t="n">
        <v>783</v>
      </c>
      <c r="B946" s="12" t="s">
        <v>5770</v>
      </c>
      <c r="C946" s="12" t="s">
        <v>2516</v>
      </c>
      <c r="D946" s="12" t="s">
        <v>754</v>
      </c>
      <c r="E946" s="12" t="s">
        <v>83</v>
      </c>
      <c r="F946" s="12" t="n">
        <v>1.871</v>
      </c>
      <c r="G946" s="12"/>
      <c r="H946" s="12" t="s">
        <v>5771</v>
      </c>
      <c r="I946" s="12"/>
      <c r="J946" s="12"/>
      <c r="K946" s="12"/>
      <c r="L946" s="12"/>
      <c r="M946" s="12"/>
      <c r="N946" s="12"/>
      <c r="O946" s="13"/>
      <c r="P946" s="13" t="s">
        <v>5772</v>
      </c>
      <c r="Q946" s="13"/>
      <c r="R946" s="13"/>
      <c r="S946" s="13" t="s">
        <v>5773</v>
      </c>
      <c r="T946" s="12" t="s">
        <v>94</v>
      </c>
      <c r="U946" s="12" t="s">
        <v>5774</v>
      </c>
    </row>
    <row r="947" customFormat="false" ht="31.5" hidden="false" customHeight="true" outlineLevel="0" collapsed="false">
      <c r="A947" s="12" t="n">
        <v>784</v>
      </c>
      <c r="B947" s="12" t="s">
        <v>5775</v>
      </c>
      <c r="C947" s="12" t="s">
        <v>2527</v>
      </c>
      <c r="D947" s="12" t="s">
        <v>113</v>
      </c>
      <c r="E947" s="12"/>
      <c r="F947" s="12"/>
      <c r="G947" s="12"/>
      <c r="H947" s="12"/>
      <c r="I947" s="12"/>
      <c r="J947" s="12"/>
      <c r="K947" s="12"/>
      <c r="L947" s="12"/>
      <c r="M947" s="12"/>
      <c r="N947" s="12" t="n">
        <v>66500</v>
      </c>
      <c r="O947" s="13"/>
      <c r="P947" s="13" t="s">
        <v>5776</v>
      </c>
      <c r="Q947" s="13"/>
      <c r="R947" s="13"/>
      <c r="S947" s="13" t="s">
        <v>5777</v>
      </c>
      <c r="T947" s="12" t="s">
        <v>94</v>
      </c>
      <c r="U947" s="12" t="s">
        <v>5778</v>
      </c>
    </row>
    <row r="948" customFormat="false" ht="31.5" hidden="false" customHeight="true" outlineLevel="0" collapsed="false">
      <c r="A948" s="12" t="n">
        <v>785</v>
      </c>
      <c r="B948" s="12" t="s">
        <v>1908</v>
      </c>
      <c r="C948" s="12" t="s">
        <v>2666</v>
      </c>
      <c r="D948" s="12" t="s">
        <v>792</v>
      </c>
      <c r="E948" s="12" t="s">
        <v>83</v>
      </c>
      <c r="F948" s="12" t="n">
        <v>565.46</v>
      </c>
      <c r="G948" s="12"/>
      <c r="H948" s="12"/>
      <c r="I948" s="12"/>
      <c r="J948" s="12" t="n">
        <v>100</v>
      </c>
      <c r="K948" s="12"/>
      <c r="L948" s="12"/>
      <c r="M948" s="12"/>
      <c r="N948" s="12" t="n">
        <v>577.3</v>
      </c>
      <c r="O948" s="13"/>
      <c r="P948" s="13" t="s">
        <v>5779</v>
      </c>
      <c r="Q948" s="13"/>
      <c r="R948" s="13"/>
      <c r="S948" s="13" t="s">
        <v>5780</v>
      </c>
      <c r="T948" s="12" t="s">
        <v>94</v>
      </c>
      <c r="U948" s="12" t="s">
        <v>5781</v>
      </c>
    </row>
    <row r="949" customFormat="false" ht="31.5" hidden="false" customHeight="true" outlineLevel="0" collapsed="false">
      <c r="A949" s="12" t="n">
        <v>786</v>
      </c>
      <c r="B949" s="12" t="s">
        <v>5782</v>
      </c>
      <c r="C949" s="12" t="s">
        <v>2557</v>
      </c>
      <c r="D949" s="12" t="s">
        <v>792</v>
      </c>
      <c r="E949" s="12" t="s">
        <v>83</v>
      </c>
      <c r="F949" s="12" t="n">
        <v>565.35</v>
      </c>
      <c r="G949" s="12"/>
      <c r="H949" s="12"/>
      <c r="I949" s="12"/>
      <c r="J949" s="12"/>
      <c r="K949" s="12" t="n">
        <v>75</v>
      </c>
      <c r="L949" s="12"/>
      <c r="M949" s="12" t="n">
        <v>142.34</v>
      </c>
      <c r="N949" s="12" t="n">
        <v>576.08</v>
      </c>
      <c r="O949" s="13"/>
      <c r="P949" s="13" t="s">
        <v>5783</v>
      </c>
      <c r="Q949" s="13"/>
      <c r="R949" s="13"/>
      <c r="S949" s="13" t="s">
        <v>5784</v>
      </c>
      <c r="T949" s="12" t="s">
        <v>94</v>
      </c>
      <c r="U949" s="12" t="s">
        <v>5785</v>
      </c>
    </row>
    <row r="950" customFormat="false" ht="31.5" hidden="false" customHeight="true" outlineLevel="0" collapsed="false">
      <c r="A950" s="12" t="n">
        <v>787</v>
      </c>
      <c r="B950" s="12" t="s">
        <v>5786</v>
      </c>
      <c r="C950" s="12" t="s">
        <v>2670</v>
      </c>
      <c r="D950" s="12" t="s">
        <v>792</v>
      </c>
      <c r="E950" s="12" t="s">
        <v>83</v>
      </c>
      <c r="F950" s="12"/>
      <c r="G950" s="12"/>
      <c r="H950" s="12" t="s">
        <v>5787</v>
      </c>
      <c r="I950" s="12"/>
      <c r="J950" s="12"/>
      <c r="K950" s="12"/>
      <c r="L950" s="12"/>
      <c r="M950" s="12"/>
      <c r="N950" s="12"/>
      <c r="O950" s="13"/>
      <c r="P950" s="13" t="s">
        <v>5788</v>
      </c>
      <c r="Q950" s="13"/>
      <c r="R950" s="13"/>
      <c r="S950" s="13" t="s">
        <v>5789</v>
      </c>
      <c r="T950" s="12" t="s">
        <v>94</v>
      </c>
      <c r="U950" s="12" t="s">
        <v>5790</v>
      </c>
    </row>
    <row r="951" customFormat="false" ht="31.5" hidden="false" customHeight="true" outlineLevel="0" collapsed="false">
      <c r="A951" s="12" t="n">
        <v>788</v>
      </c>
      <c r="B951" s="12" t="s">
        <v>5791</v>
      </c>
      <c r="C951" s="12" t="s">
        <v>2511</v>
      </c>
      <c r="D951" s="12"/>
      <c r="E951" s="12"/>
      <c r="F951" s="12"/>
      <c r="G951" s="12"/>
      <c r="H951" s="12"/>
      <c r="I951" s="12"/>
      <c r="J951" s="12"/>
      <c r="K951" s="12"/>
      <c r="L951" s="12"/>
      <c r="M951" s="12"/>
      <c r="N951" s="12"/>
      <c r="O951" s="13"/>
      <c r="P951" s="13" t="s">
        <v>5792</v>
      </c>
      <c r="Q951" s="13"/>
      <c r="R951" s="13"/>
      <c r="S951" s="13" t="s">
        <v>5793</v>
      </c>
      <c r="T951" s="12" t="s">
        <v>108</v>
      </c>
      <c r="U951" s="12" t="s">
        <v>5794</v>
      </c>
    </row>
    <row r="952" customFormat="false" ht="31.5" hidden="false" customHeight="true" outlineLevel="0" collapsed="false">
      <c r="A952" s="12" t="n">
        <v>789</v>
      </c>
      <c r="B952" s="12" t="s">
        <v>5795</v>
      </c>
      <c r="C952" s="12" t="s">
        <v>2527</v>
      </c>
      <c r="D952" s="12" t="s">
        <v>113</v>
      </c>
      <c r="E952" s="12"/>
      <c r="F952" s="12"/>
      <c r="G952" s="12"/>
      <c r="H952" s="12"/>
      <c r="I952" s="12"/>
      <c r="J952" s="12"/>
      <c r="K952" s="12"/>
      <c r="L952" s="12"/>
      <c r="M952" s="12"/>
      <c r="N952" s="12" t="n">
        <v>66000</v>
      </c>
      <c r="O952" s="13"/>
      <c r="P952" s="13" t="s">
        <v>5796</v>
      </c>
      <c r="Q952" s="13"/>
      <c r="R952" s="13"/>
      <c r="S952" s="13" t="s">
        <v>5797</v>
      </c>
      <c r="T952" s="12" t="s">
        <v>94</v>
      </c>
      <c r="U952" s="12" t="s">
        <v>5798</v>
      </c>
    </row>
    <row r="953" customFormat="false" ht="31.5" hidden="false" customHeight="true" outlineLevel="0" collapsed="false">
      <c r="A953" s="12" t="n">
        <v>789</v>
      </c>
      <c r="B953" s="12" t="s">
        <v>5795</v>
      </c>
      <c r="C953" s="12" t="s">
        <v>2527</v>
      </c>
      <c r="D953" s="12" t="s">
        <v>99</v>
      </c>
      <c r="E953" s="12"/>
      <c r="F953" s="12"/>
      <c r="G953" s="12"/>
      <c r="H953" s="12"/>
      <c r="I953" s="12"/>
      <c r="J953" s="12"/>
      <c r="K953" s="12"/>
      <c r="L953" s="12"/>
      <c r="M953" s="12"/>
      <c r="N953" s="12" t="n">
        <v>2000</v>
      </c>
      <c r="O953" s="13"/>
      <c r="P953" s="13" t="s">
        <v>5799</v>
      </c>
      <c r="Q953" s="13"/>
      <c r="R953" s="13"/>
      <c r="S953" s="13" t="s">
        <v>5800</v>
      </c>
      <c r="T953" s="12" t="s">
        <v>94</v>
      </c>
      <c r="U953" s="12" t="s">
        <v>5798</v>
      </c>
    </row>
    <row r="954" customFormat="false" ht="31.5" hidden="false" customHeight="true" outlineLevel="0" collapsed="false">
      <c r="A954" s="12" t="n">
        <v>790</v>
      </c>
      <c r="B954" s="12" t="s">
        <v>1924</v>
      </c>
      <c r="C954" s="12" t="s">
        <v>2521</v>
      </c>
      <c r="D954" s="12" t="s">
        <v>113</v>
      </c>
      <c r="E954" s="12" t="s">
        <v>259</v>
      </c>
      <c r="F954" s="12" t="n">
        <v>65200</v>
      </c>
      <c r="G954" s="12" t="n">
        <v>65800</v>
      </c>
      <c r="H954" s="12" t="s">
        <v>1927</v>
      </c>
      <c r="I954" s="12" t="n">
        <v>66500</v>
      </c>
      <c r="J954" s="12"/>
      <c r="K954" s="12"/>
      <c r="L954" s="12"/>
      <c r="M954" s="12"/>
      <c r="N954" s="12"/>
      <c r="O954" s="13" t="s">
        <v>5801</v>
      </c>
      <c r="P954" s="13" t="s">
        <v>5802</v>
      </c>
      <c r="Q954" s="13"/>
      <c r="R954" s="13"/>
      <c r="S954" s="13" t="s">
        <v>5803</v>
      </c>
      <c r="T954" s="12" t="s">
        <v>94</v>
      </c>
      <c r="U954" s="12" t="s">
        <v>1936</v>
      </c>
    </row>
    <row r="955" customFormat="false" ht="31.5" hidden="false" customHeight="true" outlineLevel="0" collapsed="false">
      <c r="A955" s="12" t="n">
        <v>791</v>
      </c>
      <c r="B955" s="12" t="s">
        <v>5804</v>
      </c>
      <c r="C955" s="12" t="s">
        <v>2557</v>
      </c>
      <c r="D955" s="12" t="s">
        <v>113</v>
      </c>
      <c r="E955" s="12" t="s">
        <v>259</v>
      </c>
      <c r="F955" s="12"/>
      <c r="G955" s="12"/>
      <c r="H955" s="12"/>
      <c r="I955" s="12"/>
      <c r="J955" s="12"/>
      <c r="K955" s="12"/>
      <c r="L955" s="12"/>
      <c r="M955" s="12"/>
      <c r="N955" s="12"/>
      <c r="O955" s="13"/>
      <c r="P955" s="13" t="s">
        <v>5805</v>
      </c>
      <c r="Q955" s="13" t="s">
        <v>1932</v>
      </c>
      <c r="R955" s="13"/>
      <c r="S955" s="13" t="s">
        <v>5806</v>
      </c>
      <c r="T955" s="12" t="s">
        <v>94</v>
      </c>
      <c r="U955" s="12" t="s">
        <v>5807</v>
      </c>
    </row>
    <row r="956" customFormat="false" ht="31.5" hidden="false" customHeight="true" outlineLevel="0" collapsed="false">
      <c r="A956" s="12" t="n">
        <v>792</v>
      </c>
      <c r="B956" s="12" t="s">
        <v>1937</v>
      </c>
      <c r="C956" s="12" t="s">
        <v>2521</v>
      </c>
      <c r="D956" s="12" t="s">
        <v>476</v>
      </c>
      <c r="E956" s="12" t="s">
        <v>259</v>
      </c>
      <c r="F956" s="12" t="n">
        <v>502</v>
      </c>
      <c r="G956" s="12"/>
      <c r="H956" s="12"/>
      <c r="I956" s="12" t="n">
        <v>525.5</v>
      </c>
      <c r="J956" s="12"/>
      <c r="K956" s="12"/>
      <c r="L956" s="12"/>
      <c r="M956" s="12"/>
      <c r="N956" s="12"/>
      <c r="O956" s="13" t="s">
        <v>1939</v>
      </c>
      <c r="P956" s="13" t="s">
        <v>5808</v>
      </c>
      <c r="Q956" s="13"/>
      <c r="R956" s="13"/>
      <c r="S956" s="13" t="s">
        <v>5809</v>
      </c>
      <c r="T956" s="12" t="s">
        <v>94</v>
      </c>
      <c r="U956" s="12" t="s">
        <v>1944</v>
      </c>
    </row>
    <row r="957" customFormat="false" ht="31.5" hidden="false" customHeight="true" outlineLevel="0" collapsed="false">
      <c r="A957" s="12" t="n">
        <v>793</v>
      </c>
      <c r="B957" s="12" t="s">
        <v>1851</v>
      </c>
      <c r="C957" s="12" t="s">
        <v>2630</v>
      </c>
      <c r="D957" s="12" t="s">
        <v>296</v>
      </c>
      <c r="E957" s="12" t="s">
        <v>83</v>
      </c>
      <c r="F957" s="12" t="n">
        <v>1.1069</v>
      </c>
      <c r="G957" s="12"/>
      <c r="H957" s="12"/>
      <c r="I957" s="12"/>
      <c r="J957" s="12" t="n">
        <v>100</v>
      </c>
      <c r="K957" s="12"/>
      <c r="L957" s="12"/>
      <c r="M957" s="12"/>
      <c r="N957" s="12" t="n">
        <v>1.1081</v>
      </c>
      <c r="O957" s="13"/>
      <c r="P957" s="13" t="s">
        <v>5810</v>
      </c>
      <c r="Q957" s="13"/>
      <c r="R957" s="13"/>
      <c r="S957" s="13" t="s">
        <v>5811</v>
      </c>
      <c r="T957" s="12" t="s">
        <v>94</v>
      </c>
      <c r="U957" s="12" t="s">
        <v>5812</v>
      </c>
    </row>
    <row r="958" customFormat="false" ht="31.5" hidden="false" customHeight="true" outlineLevel="0" collapsed="false">
      <c r="A958" s="12" t="n">
        <v>793</v>
      </c>
      <c r="B958" s="12" t="s">
        <v>1851</v>
      </c>
      <c r="C958" s="12" t="s">
        <v>2516</v>
      </c>
      <c r="D958" s="12" t="s">
        <v>296</v>
      </c>
      <c r="E958" s="12" t="s">
        <v>83</v>
      </c>
      <c r="F958" s="12" t="n">
        <v>1.08</v>
      </c>
      <c r="G958" s="12"/>
      <c r="H958" s="12"/>
      <c r="I958" s="12"/>
      <c r="J958" s="12"/>
      <c r="K958" s="12"/>
      <c r="L958" s="12"/>
      <c r="M958" s="12"/>
      <c r="N958" s="12"/>
      <c r="O958" s="13"/>
      <c r="P958" s="13" t="s">
        <v>5813</v>
      </c>
      <c r="Q958" s="13"/>
      <c r="R958" s="13"/>
      <c r="S958" s="13" t="s">
        <v>5814</v>
      </c>
      <c r="T958" s="12" t="s">
        <v>94</v>
      </c>
      <c r="U958" s="12" t="s">
        <v>5812</v>
      </c>
    </row>
    <row r="959" customFormat="false" ht="31.5" hidden="false" customHeight="true" outlineLevel="0" collapsed="false">
      <c r="A959" s="12" t="n">
        <v>794</v>
      </c>
      <c r="B959" s="12" t="s">
        <v>1945</v>
      </c>
      <c r="C959" s="12" t="s">
        <v>2549</v>
      </c>
      <c r="D959" s="12" t="s">
        <v>1946</v>
      </c>
      <c r="E959" s="12" t="s">
        <v>83</v>
      </c>
      <c r="F959" s="12" t="n">
        <v>0.095</v>
      </c>
      <c r="G959" s="12"/>
      <c r="H959" s="12"/>
      <c r="I959" s="12" t="n">
        <v>0.07</v>
      </c>
      <c r="J959" s="12"/>
      <c r="K959" s="12"/>
      <c r="L959" s="12"/>
      <c r="M959" s="12"/>
      <c r="N959" s="12"/>
      <c r="O959" s="13" t="s">
        <v>5815</v>
      </c>
      <c r="P959" s="13" t="s">
        <v>5816</v>
      </c>
      <c r="Q959" s="13"/>
      <c r="R959" s="13"/>
      <c r="S959" s="13" t="s">
        <v>5817</v>
      </c>
      <c r="T959" s="12" t="s">
        <v>94</v>
      </c>
      <c r="U959" s="12" t="s">
        <v>1953</v>
      </c>
    </row>
    <row r="960" customFormat="false" ht="31.5" hidden="false" customHeight="true" outlineLevel="0" collapsed="false">
      <c r="A960" s="12" t="n">
        <v>795</v>
      </c>
      <c r="B960" s="12" t="s">
        <v>1929</v>
      </c>
      <c r="C960" s="12" t="s">
        <v>2666</v>
      </c>
      <c r="D960" s="12" t="s">
        <v>113</v>
      </c>
      <c r="E960" s="12" t="s">
        <v>259</v>
      </c>
      <c r="F960" s="12"/>
      <c r="G960" s="12"/>
      <c r="H960" s="12"/>
      <c r="I960" s="12"/>
      <c r="J960" s="12" t="n">
        <v>100</v>
      </c>
      <c r="K960" s="12"/>
      <c r="L960" s="12"/>
      <c r="M960" s="12"/>
      <c r="N960" s="12" t="n">
        <v>64500</v>
      </c>
      <c r="O960" s="13"/>
      <c r="P960" s="13" t="s">
        <v>5818</v>
      </c>
      <c r="Q960" s="13"/>
      <c r="R960" s="13"/>
      <c r="S960" s="13" t="s">
        <v>5819</v>
      </c>
      <c r="T960" s="12" t="s">
        <v>94</v>
      </c>
      <c r="U960" s="12" t="s">
        <v>5820</v>
      </c>
    </row>
    <row r="961" customFormat="false" ht="31.5" hidden="false" customHeight="true" outlineLevel="0" collapsed="false">
      <c r="A961" s="12" t="n">
        <v>795</v>
      </c>
      <c r="B961" s="12" t="s">
        <v>1929</v>
      </c>
      <c r="C961" s="12" t="s">
        <v>2630</v>
      </c>
      <c r="D961" s="12" t="s">
        <v>476</v>
      </c>
      <c r="E961" s="12" t="s">
        <v>259</v>
      </c>
      <c r="F961" s="12"/>
      <c r="G961" s="12"/>
      <c r="H961" s="12"/>
      <c r="I961" s="12"/>
      <c r="J961" s="12" t="n">
        <v>100</v>
      </c>
      <c r="K961" s="12"/>
      <c r="L961" s="12"/>
      <c r="M961" s="12"/>
      <c r="N961" s="12" t="n">
        <v>483</v>
      </c>
      <c r="O961" s="13"/>
      <c r="P961" s="13" t="s">
        <v>5821</v>
      </c>
      <c r="Q961" s="13"/>
      <c r="R961" s="13"/>
      <c r="S961" s="13" t="s">
        <v>5822</v>
      </c>
      <c r="T961" s="12" t="s">
        <v>94</v>
      </c>
      <c r="U961" s="12" t="s">
        <v>5820</v>
      </c>
    </row>
    <row r="962" customFormat="false" ht="31.5" hidden="false" customHeight="true" outlineLevel="0" collapsed="false">
      <c r="A962" s="12" t="n">
        <v>796</v>
      </c>
      <c r="B962" s="12" t="s">
        <v>5823</v>
      </c>
      <c r="C962" s="12" t="s">
        <v>2557</v>
      </c>
      <c r="D962" s="12" t="s">
        <v>476</v>
      </c>
      <c r="E962" s="12" t="s">
        <v>259</v>
      </c>
      <c r="F962" s="12" t="n">
        <v>501.92</v>
      </c>
      <c r="G962" s="12"/>
      <c r="H962" s="12"/>
      <c r="I962" s="12"/>
      <c r="J962" s="12"/>
      <c r="K962" s="12" t="n">
        <v>75</v>
      </c>
      <c r="L962" s="12"/>
      <c r="M962" s="12" t="n">
        <v>295.56</v>
      </c>
      <c r="N962" s="12" t="n">
        <v>482.14</v>
      </c>
      <c r="O962" s="13"/>
      <c r="P962" s="13" t="s">
        <v>5824</v>
      </c>
      <c r="Q962" s="13"/>
      <c r="R962" s="13"/>
      <c r="S962" s="13" t="s">
        <v>5825</v>
      </c>
      <c r="T962" s="12" t="s">
        <v>94</v>
      </c>
      <c r="U962" s="12" t="s">
        <v>5826</v>
      </c>
    </row>
    <row r="963" customFormat="false" ht="31.5" hidden="false" customHeight="true" outlineLevel="0" collapsed="false">
      <c r="A963" s="12" t="n">
        <v>797</v>
      </c>
      <c r="B963" s="12" t="s">
        <v>5827</v>
      </c>
      <c r="C963" s="12" t="s">
        <v>2557</v>
      </c>
      <c r="D963" s="12" t="s">
        <v>113</v>
      </c>
      <c r="E963" s="12" t="s">
        <v>259</v>
      </c>
      <c r="F963" s="12" t="n">
        <v>65213.3</v>
      </c>
      <c r="G963" s="12"/>
      <c r="H963" s="12"/>
      <c r="I963" s="12"/>
      <c r="J963" s="12"/>
      <c r="K963" s="12" t="n">
        <v>150</v>
      </c>
      <c r="L963" s="12"/>
      <c r="M963" s="12" t="n">
        <v>152.31</v>
      </c>
      <c r="N963" s="12" t="n">
        <v>64551.1</v>
      </c>
      <c r="O963" s="13"/>
      <c r="P963" s="13" t="s">
        <v>5828</v>
      </c>
      <c r="Q963" s="13"/>
      <c r="R963" s="13"/>
      <c r="S963" s="13" t="s">
        <v>5829</v>
      </c>
      <c r="T963" s="12" t="s">
        <v>94</v>
      </c>
      <c r="U963" s="12" t="s">
        <v>5830</v>
      </c>
    </row>
    <row r="964" customFormat="false" ht="31.5" hidden="false" customHeight="true" outlineLevel="0" collapsed="false">
      <c r="A964" s="12" t="n">
        <v>798</v>
      </c>
      <c r="B964" s="12" t="s">
        <v>5831</v>
      </c>
      <c r="C964" s="12" t="s">
        <v>2557</v>
      </c>
      <c r="D964" s="12" t="s">
        <v>1946</v>
      </c>
      <c r="E964" s="12" t="s">
        <v>83</v>
      </c>
      <c r="F964" s="12"/>
      <c r="G964" s="12"/>
      <c r="H964" s="12"/>
      <c r="I964" s="12"/>
      <c r="J964" s="12"/>
      <c r="K964" s="12"/>
      <c r="L964" s="12"/>
      <c r="M964" s="12"/>
      <c r="N964" s="12"/>
      <c r="O964" s="13"/>
      <c r="P964" s="13" t="s">
        <v>5832</v>
      </c>
      <c r="Q964" s="13"/>
      <c r="R964" s="13"/>
      <c r="S964" s="13" t="s">
        <v>5833</v>
      </c>
      <c r="T964" s="12" t="s">
        <v>94</v>
      </c>
      <c r="U964" s="12" t="s">
        <v>5834</v>
      </c>
    </row>
    <row r="965" customFormat="false" ht="31.5" hidden="false" customHeight="true" outlineLevel="0" collapsed="false">
      <c r="A965" s="12" t="n">
        <v>799</v>
      </c>
      <c r="B965" s="12" t="s">
        <v>1839</v>
      </c>
      <c r="C965" s="12" t="s">
        <v>2564</v>
      </c>
      <c r="D965" s="12" t="s">
        <v>754</v>
      </c>
      <c r="E965" s="12" t="s">
        <v>83</v>
      </c>
      <c r="F965" s="12"/>
      <c r="G965" s="12"/>
      <c r="H965" s="12"/>
      <c r="I965" s="12" t="n">
        <v>1.775</v>
      </c>
      <c r="J965" s="12" t="n">
        <v>100</v>
      </c>
      <c r="K965" s="12"/>
      <c r="L965" s="12"/>
      <c r="M965" s="12"/>
      <c r="N965" s="12"/>
      <c r="O965" s="13"/>
      <c r="P965" s="13" t="s">
        <v>5835</v>
      </c>
      <c r="Q965" s="13"/>
      <c r="R965" s="13"/>
      <c r="S965" s="13" t="s">
        <v>5836</v>
      </c>
      <c r="T965" s="12" t="s">
        <v>108</v>
      </c>
      <c r="U965" s="12" t="s">
        <v>5837</v>
      </c>
    </row>
    <row r="966" customFormat="false" ht="31.5" hidden="false" customHeight="true" outlineLevel="0" collapsed="false">
      <c r="A966" s="12" t="n">
        <v>800</v>
      </c>
      <c r="B966" s="12" t="s">
        <v>5838</v>
      </c>
      <c r="C966" s="12" t="s">
        <v>2511</v>
      </c>
      <c r="D966" s="12"/>
      <c r="E966" s="12"/>
      <c r="F966" s="12"/>
      <c r="G966" s="12"/>
      <c r="H966" s="12"/>
      <c r="I966" s="12"/>
      <c r="J966" s="12"/>
      <c r="K966" s="12"/>
      <c r="L966" s="12" t="n">
        <v>11.9</v>
      </c>
      <c r="M966" s="12"/>
      <c r="N966" s="12"/>
      <c r="O966" s="13"/>
      <c r="P966" s="13" t="s">
        <v>5839</v>
      </c>
      <c r="Q966" s="13"/>
      <c r="R966" s="13"/>
      <c r="S966" s="13" t="s">
        <v>5840</v>
      </c>
      <c r="T966" s="12" t="s">
        <v>94</v>
      </c>
      <c r="U966" s="12" t="s">
        <v>5841</v>
      </c>
    </row>
    <row r="967" customFormat="false" ht="31.5" hidden="false" customHeight="true" outlineLevel="0" collapsed="false">
      <c r="A967" s="12" t="n">
        <v>802</v>
      </c>
      <c r="B967" s="12" t="s">
        <v>5842</v>
      </c>
      <c r="C967" s="12" t="s">
        <v>2506</v>
      </c>
      <c r="D967" s="12"/>
      <c r="E967" s="12"/>
      <c r="F967" s="12"/>
      <c r="G967" s="12"/>
      <c r="H967" s="12"/>
      <c r="I967" s="12"/>
      <c r="J967" s="12"/>
      <c r="K967" s="12"/>
      <c r="L967" s="12"/>
      <c r="M967" s="12"/>
      <c r="N967" s="12"/>
      <c r="O967" s="13"/>
      <c r="P967" s="13" t="s">
        <v>5843</v>
      </c>
      <c r="Q967" s="13"/>
      <c r="R967" s="13"/>
      <c r="S967" s="13" t="s">
        <v>5844</v>
      </c>
      <c r="T967" s="12" t="s">
        <v>94</v>
      </c>
      <c r="U967" s="12" t="s">
        <v>5845</v>
      </c>
    </row>
    <row r="968" customFormat="false" ht="31.5" hidden="false" customHeight="true" outlineLevel="0" collapsed="false">
      <c r="A968" s="12" t="n">
        <v>803</v>
      </c>
      <c r="B968" s="12" t="s">
        <v>5846</v>
      </c>
      <c r="C968" s="12" t="s">
        <v>2516</v>
      </c>
      <c r="D968" s="12" t="s">
        <v>113</v>
      </c>
      <c r="E968" s="12" t="s">
        <v>83</v>
      </c>
      <c r="F968" s="12" t="n">
        <v>63500</v>
      </c>
      <c r="G968" s="12"/>
      <c r="H968" s="12"/>
      <c r="I968" s="12"/>
      <c r="J968" s="12"/>
      <c r="K968" s="12"/>
      <c r="L968" s="12"/>
      <c r="M968" s="12"/>
      <c r="N968" s="12"/>
      <c r="O968" s="13" t="s">
        <v>5847</v>
      </c>
      <c r="P968" s="13" t="s">
        <v>5848</v>
      </c>
      <c r="Q968" s="13" t="s">
        <v>336</v>
      </c>
      <c r="R968" s="13" t="s">
        <v>5849</v>
      </c>
      <c r="S968" s="13" t="s">
        <v>5850</v>
      </c>
      <c r="T968" s="12" t="s">
        <v>94</v>
      </c>
      <c r="U968" s="12" t="s">
        <v>1966</v>
      </c>
    </row>
    <row r="969" customFormat="false" ht="31.5" hidden="false" customHeight="true" outlineLevel="0" collapsed="false">
      <c r="A969" s="12" t="n">
        <v>804</v>
      </c>
      <c r="B969" s="12" t="s">
        <v>1954</v>
      </c>
      <c r="C969" s="12" t="s">
        <v>2521</v>
      </c>
      <c r="D969" s="12" t="s">
        <v>113</v>
      </c>
      <c r="E969" s="12" t="s">
        <v>83</v>
      </c>
      <c r="F969" s="12" t="n">
        <v>63100</v>
      </c>
      <c r="G969" s="12"/>
      <c r="H969" s="12"/>
      <c r="I969" s="12" t="n">
        <v>61500</v>
      </c>
      <c r="J969" s="12"/>
      <c r="K969" s="12"/>
      <c r="L969" s="12"/>
      <c r="M969" s="12"/>
      <c r="N969" s="12"/>
      <c r="O969" s="13" t="s">
        <v>5851</v>
      </c>
      <c r="P969" s="13" t="s">
        <v>5852</v>
      </c>
      <c r="Q969" s="13"/>
      <c r="R969" s="13"/>
      <c r="S969" s="13" t="s">
        <v>5853</v>
      </c>
      <c r="T969" s="12" t="s">
        <v>94</v>
      </c>
      <c r="U969" s="12" t="s">
        <v>5854</v>
      </c>
    </row>
    <row r="970" customFormat="false" ht="31.5" hidden="false" customHeight="true" outlineLevel="0" collapsed="false">
      <c r="A970" s="12" t="n">
        <v>805</v>
      </c>
      <c r="B970" s="12" t="s">
        <v>5855</v>
      </c>
      <c r="C970" s="12" t="s">
        <v>2557</v>
      </c>
      <c r="D970" s="12" t="s">
        <v>113</v>
      </c>
      <c r="E970" s="12" t="s">
        <v>83</v>
      </c>
      <c r="F970" s="12"/>
      <c r="G970" s="12"/>
      <c r="H970" s="12"/>
      <c r="I970" s="12"/>
      <c r="J970" s="12"/>
      <c r="K970" s="12"/>
      <c r="L970" s="12"/>
      <c r="M970" s="12"/>
      <c r="N970" s="12"/>
      <c r="O970" s="13"/>
      <c r="P970" s="13" t="s">
        <v>5856</v>
      </c>
      <c r="Q970" s="13"/>
      <c r="R970" s="13"/>
      <c r="S970" s="13" t="s">
        <v>5857</v>
      </c>
      <c r="T970" s="12" t="s">
        <v>94</v>
      </c>
      <c r="U970" s="12" t="s">
        <v>5858</v>
      </c>
    </row>
    <row r="971" customFormat="false" ht="31.5" hidden="false" customHeight="true" outlineLevel="0" collapsed="false">
      <c r="A971" s="12" t="n">
        <v>806</v>
      </c>
      <c r="B971" s="12" t="s">
        <v>5859</v>
      </c>
      <c r="C971" s="12" t="s">
        <v>2557</v>
      </c>
      <c r="D971" s="12" t="s">
        <v>113</v>
      </c>
      <c r="E971" s="12" t="s">
        <v>83</v>
      </c>
      <c r="F971" s="12"/>
      <c r="G971" s="12"/>
      <c r="H971" s="12"/>
      <c r="I971" s="12"/>
      <c r="J971" s="12"/>
      <c r="K971" s="12"/>
      <c r="L971" s="12"/>
      <c r="M971" s="12"/>
      <c r="N971" s="12"/>
      <c r="O971" s="13"/>
      <c r="P971" s="13" t="s">
        <v>5860</v>
      </c>
      <c r="Q971" s="13"/>
      <c r="R971" s="13"/>
      <c r="S971" s="13" t="s">
        <v>5861</v>
      </c>
      <c r="T971" s="12" t="s">
        <v>94</v>
      </c>
      <c r="U971" s="12" t="s">
        <v>5862</v>
      </c>
    </row>
    <row r="972" customFormat="false" ht="31.5" hidden="false" customHeight="true" outlineLevel="0" collapsed="false">
      <c r="A972" s="12" t="n">
        <v>807</v>
      </c>
      <c r="B972" s="12" t="s">
        <v>5863</v>
      </c>
      <c r="C972" s="12" t="s">
        <v>2670</v>
      </c>
      <c r="D972" s="12" t="s">
        <v>113</v>
      </c>
      <c r="E972" s="12" t="s">
        <v>83</v>
      </c>
      <c r="F972" s="12"/>
      <c r="G972" s="12"/>
      <c r="H972" s="12" t="s">
        <v>1113</v>
      </c>
      <c r="I972" s="12"/>
      <c r="J972" s="12"/>
      <c r="K972" s="12"/>
      <c r="L972" s="12"/>
      <c r="M972" s="12"/>
      <c r="N972" s="12"/>
      <c r="O972" s="13"/>
      <c r="P972" s="13" t="s">
        <v>5864</v>
      </c>
      <c r="Q972" s="13"/>
      <c r="R972" s="13"/>
      <c r="S972" s="13" t="s">
        <v>5865</v>
      </c>
      <c r="T972" s="12" t="s">
        <v>108</v>
      </c>
      <c r="U972" s="12" t="s">
        <v>5866</v>
      </c>
    </row>
    <row r="973" customFormat="false" ht="31.5" hidden="false" customHeight="true" outlineLevel="0" collapsed="false">
      <c r="A973" s="12" t="n">
        <v>808</v>
      </c>
      <c r="B973" s="12" t="s">
        <v>1967</v>
      </c>
      <c r="C973" s="12" t="s">
        <v>2521</v>
      </c>
      <c r="D973" s="12" t="s">
        <v>317</v>
      </c>
      <c r="E973" s="12" t="s">
        <v>83</v>
      </c>
      <c r="F973" s="12" t="n">
        <v>73.18</v>
      </c>
      <c r="G973" s="12"/>
      <c r="H973" s="12"/>
      <c r="I973" s="12" t="n">
        <v>69.4</v>
      </c>
      <c r="J973" s="12"/>
      <c r="K973" s="12"/>
      <c r="L973" s="12"/>
      <c r="M973" s="12"/>
      <c r="N973" s="12"/>
      <c r="O973" s="13" t="s">
        <v>5867</v>
      </c>
      <c r="P973" s="13" t="s">
        <v>5868</v>
      </c>
      <c r="Q973" s="13" t="s">
        <v>1285</v>
      </c>
      <c r="R973" s="13" t="s">
        <v>5869</v>
      </c>
      <c r="S973" s="13" t="s">
        <v>5870</v>
      </c>
      <c r="T973" s="12" t="s">
        <v>94</v>
      </c>
      <c r="U973" s="12" t="s">
        <v>1976</v>
      </c>
    </row>
    <row r="974" customFormat="false" ht="31.5" hidden="false" customHeight="true" outlineLevel="0" collapsed="false">
      <c r="A974" s="12" t="n">
        <v>809</v>
      </c>
      <c r="B974" s="12" t="s">
        <v>5871</v>
      </c>
      <c r="C974" s="12" t="s">
        <v>2557</v>
      </c>
      <c r="D974" s="12" t="s">
        <v>317</v>
      </c>
      <c r="E974" s="12" t="s">
        <v>83</v>
      </c>
      <c r="F974" s="12"/>
      <c r="G974" s="12"/>
      <c r="H974" s="12"/>
      <c r="I974" s="12"/>
      <c r="J974" s="12"/>
      <c r="K974" s="12"/>
      <c r="L974" s="12"/>
      <c r="M974" s="12"/>
      <c r="N974" s="12"/>
      <c r="O974" s="13"/>
      <c r="P974" s="13" t="s">
        <v>5872</v>
      </c>
      <c r="Q974" s="13"/>
      <c r="R974" s="13"/>
      <c r="S974" s="13" t="s">
        <v>388</v>
      </c>
      <c r="T974" s="12" t="s">
        <v>108</v>
      </c>
      <c r="U974" s="12" t="s">
        <v>5873</v>
      </c>
    </row>
    <row r="975" customFormat="false" ht="31.5" hidden="false" customHeight="true" outlineLevel="0" collapsed="false">
      <c r="A975" s="12" t="n">
        <v>810</v>
      </c>
      <c r="B975" s="12" t="s">
        <v>5874</v>
      </c>
      <c r="C975" s="12" t="s">
        <v>2670</v>
      </c>
      <c r="D975" s="12" t="s">
        <v>113</v>
      </c>
      <c r="E975" s="12" t="s">
        <v>83</v>
      </c>
      <c r="F975" s="12"/>
      <c r="G975" s="12"/>
      <c r="H975" s="12" t="s">
        <v>5875</v>
      </c>
      <c r="I975" s="12"/>
      <c r="J975" s="12"/>
      <c r="K975" s="12"/>
      <c r="L975" s="12"/>
      <c r="M975" s="12"/>
      <c r="N975" s="12"/>
      <c r="O975" s="13"/>
      <c r="P975" s="13" t="s">
        <v>5876</v>
      </c>
      <c r="Q975" s="13" t="s">
        <v>1285</v>
      </c>
      <c r="R975" s="13" t="s">
        <v>5877</v>
      </c>
      <c r="S975" s="13" t="s">
        <v>5878</v>
      </c>
      <c r="T975" s="12" t="s">
        <v>108</v>
      </c>
      <c r="U975" s="12" t="s">
        <v>5879</v>
      </c>
    </row>
    <row r="976" customFormat="false" ht="31.5" hidden="false" customHeight="true" outlineLevel="0" collapsed="false">
      <c r="A976" s="12" t="n">
        <v>812</v>
      </c>
      <c r="B976" s="12" t="s">
        <v>5880</v>
      </c>
      <c r="C976" s="12" t="s">
        <v>2588</v>
      </c>
      <c r="D976" s="12" t="s">
        <v>317</v>
      </c>
      <c r="E976" s="12" t="s">
        <v>83</v>
      </c>
      <c r="F976" s="12" t="n">
        <v>73.19</v>
      </c>
      <c r="G976" s="12"/>
      <c r="H976" s="12"/>
      <c r="I976" s="12" t="n">
        <v>73.19</v>
      </c>
      <c r="J976" s="12"/>
      <c r="K976" s="12" t="n">
        <v>125</v>
      </c>
      <c r="L976" s="12"/>
      <c r="M976" s="12" t="n">
        <v>156.83</v>
      </c>
      <c r="N976" s="12" t="n">
        <v>74.1</v>
      </c>
      <c r="O976" s="13"/>
      <c r="P976" s="13" t="s">
        <v>5881</v>
      </c>
      <c r="Q976" s="13"/>
      <c r="R976" s="13"/>
      <c r="S976" s="13" t="s">
        <v>5882</v>
      </c>
      <c r="T976" s="12" t="s">
        <v>94</v>
      </c>
      <c r="U976" s="12" t="s">
        <v>5883</v>
      </c>
    </row>
    <row r="977" customFormat="false" ht="31.5" hidden="false" customHeight="true" outlineLevel="0" collapsed="false">
      <c r="A977" s="12" t="n">
        <v>813</v>
      </c>
      <c r="B977" s="12" t="s">
        <v>5884</v>
      </c>
      <c r="C977" s="12" t="s">
        <v>2527</v>
      </c>
      <c r="D977" s="12" t="s">
        <v>1946</v>
      </c>
      <c r="E977" s="12"/>
      <c r="F977" s="12"/>
      <c r="G977" s="12"/>
      <c r="H977" s="12"/>
      <c r="I977" s="12"/>
      <c r="J977" s="12"/>
      <c r="K977" s="12"/>
      <c r="L977" s="12"/>
      <c r="M977" s="12"/>
      <c r="N977" s="12"/>
      <c r="O977" s="13"/>
      <c r="P977" s="13" t="s">
        <v>5885</v>
      </c>
      <c r="Q977" s="13"/>
      <c r="R977" s="13"/>
      <c r="S977" s="13" t="s">
        <v>5886</v>
      </c>
      <c r="T977" s="12" t="s">
        <v>94</v>
      </c>
      <c r="U977" s="12" t="s">
        <v>5887</v>
      </c>
    </row>
    <row r="978" customFormat="false" ht="31.5" hidden="false" customHeight="true" outlineLevel="0" collapsed="false">
      <c r="A978" s="12" t="n">
        <v>814</v>
      </c>
      <c r="B978" s="12" t="s">
        <v>5888</v>
      </c>
      <c r="C978" s="12" t="s">
        <v>2581</v>
      </c>
      <c r="D978" s="12" t="s">
        <v>113</v>
      </c>
      <c r="E978" s="12" t="s">
        <v>83</v>
      </c>
      <c r="F978" s="12" t="n">
        <v>63182.1</v>
      </c>
      <c r="G978" s="12"/>
      <c r="H978" s="12" t="s">
        <v>1494</v>
      </c>
      <c r="I978" s="12"/>
      <c r="J978" s="12" t="n">
        <v>70</v>
      </c>
      <c r="K978" s="12" t="n">
        <v>150</v>
      </c>
      <c r="L978" s="12"/>
      <c r="M978" s="12" t="n">
        <v>179.69</v>
      </c>
      <c r="N978" s="12" t="n">
        <v>63939</v>
      </c>
      <c r="O978" s="13"/>
      <c r="P978" s="13" t="s">
        <v>5889</v>
      </c>
      <c r="Q978" s="13"/>
      <c r="R978" s="13"/>
      <c r="S978" s="13" t="s">
        <v>5890</v>
      </c>
      <c r="T978" s="12" t="s">
        <v>94</v>
      </c>
      <c r="U978" s="12" t="s">
        <v>5891</v>
      </c>
    </row>
    <row r="979" customFormat="false" ht="31.5" hidden="false" customHeight="true" outlineLevel="0" collapsed="false">
      <c r="A979" s="12" t="n">
        <v>814</v>
      </c>
      <c r="B979" s="12" t="s">
        <v>5888</v>
      </c>
      <c r="C979" s="12" t="s">
        <v>2516</v>
      </c>
      <c r="D979" s="12" t="s">
        <v>113</v>
      </c>
      <c r="E979" s="12" t="s">
        <v>83</v>
      </c>
      <c r="F979" s="12" t="n">
        <v>63100</v>
      </c>
      <c r="G979" s="12"/>
      <c r="H979" s="12" t="s">
        <v>1494</v>
      </c>
      <c r="I979" s="12"/>
      <c r="J979" s="12" t="n">
        <v>50</v>
      </c>
      <c r="K979" s="12"/>
      <c r="L979" s="12"/>
      <c r="M979" s="12"/>
      <c r="N979" s="12"/>
      <c r="O979" s="13"/>
      <c r="P979" s="13" t="s">
        <v>5892</v>
      </c>
      <c r="Q979" s="13"/>
      <c r="R979" s="13"/>
      <c r="S979" s="13" t="s">
        <v>5893</v>
      </c>
      <c r="T979" s="12" t="s">
        <v>94</v>
      </c>
      <c r="U979" s="12" t="s">
        <v>5891</v>
      </c>
    </row>
    <row r="980" customFormat="false" ht="31.5" hidden="false" customHeight="true" outlineLevel="0" collapsed="false">
      <c r="A980" s="12" t="n">
        <v>815</v>
      </c>
      <c r="B980" s="12" t="s">
        <v>5894</v>
      </c>
      <c r="C980" s="12" t="s">
        <v>2511</v>
      </c>
      <c r="D980" s="12" t="s">
        <v>113</v>
      </c>
      <c r="E980" s="12"/>
      <c r="F980" s="12"/>
      <c r="G980" s="12"/>
      <c r="H980" s="12"/>
      <c r="I980" s="12"/>
      <c r="J980" s="12"/>
      <c r="K980" s="12"/>
      <c r="L980" s="12"/>
      <c r="M980" s="12"/>
      <c r="N980" s="12"/>
      <c r="O980" s="13"/>
      <c r="P980" s="13" t="s">
        <v>5895</v>
      </c>
      <c r="Q980" s="13"/>
      <c r="R980" s="13"/>
      <c r="S980" s="13" t="s">
        <v>5896</v>
      </c>
      <c r="T980" s="12" t="s">
        <v>94</v>
      </c>
      <c r="U980" s="12" t="s">
        <v>1986</v>
      </c>
    </row>
    <row r="981" customFormat="false" ht="31.5" hidden="false" customHeight="true" outlineLevel="0" collapsed="false">
      <c r="A981" s="12" t="n">
        <v>815</v>
      </c>
      <c r="B981" s="12" t="s">
        <v>5894</v>
      </c>
      <c r="C981" s="12" t="s">
        <v>2516</v>
      </c>
      <c r="D981" s="12" t="s">
        <v>113</v>
      </c>
      <c r="E981" s="12" t="s">
        <v>83</v>
      </c>
      <c r="F981" s="12"/>
      <c r="G981" s="12"/>
      <c r="H981" s="12"/>
      <c r="I981" s="12"/>
      <c r="J981" s="12"/>
      <c r="K981" s="12"/>
      <c r="L981" s="12"/>
      <c r="M981" s="12"/>
      <c r="N981" s="12" t="n">
        <v>64100</v>
      </c>
      <c r="O981" s="13"/>
      <c r="P981" s="13" t="s">
        <v>5897</v>
      </c>
      <c r="Q981" s="13" t="s">
        <v>5898</v>
      </c>
      <c r="R981" s="13" t="s">
        <v>5899</v>
      </c>
      <c r="S981" s="13" t="s">
        <v>5900</v>
      </c>
      <c r="T981" s="12" t="s">
        <v>94</v>
      </c>
      <c r="U981" s="12" t="s">
        <v>1986</v>
      </c>
    </row>
    <row r="982" customFormat="false" ht="31.5" hidden="false" customHeight="true" outlineLevel="0" collapsed="false">
      <c r="A982" s="12" t="n">
        <v>816</v>
      </c>
      <c r="B982" s="12" t="s">
        <v>5901</v>
      </c>
      <c r="C982" s="12" t="s">
        <v>2557</v>
      </c>
      <c r="D982" s="12" t="s">
        <v>113</v>
      </c>
      <c r="E982" s="12" t="s">
        <v>83</v>
      </c>
      <c r="F982" s="12"/>
      <c r="G982" s="12"/>
      <c r="H982" s="12" t="s">
        <v>5902</v>
      </c>
      <c r="I982" s="12"/>
      <c r="J982" s="12" t="n">
        <v>30</v>
      </c>
      <c r="K982" s="12"/>
      <c r="L982" s="12"/>
      <c r="M982" s="12"/>
      <c r="N982" s="12"/>
      <c r="O982" s="13"/>
      <c r="P982" s="13" t="s">
        <v>5903</v>
      </c>
      <c r="Q982" s="13" t="s">
        <v>1285</v>
      </c>
      <c r="R982" s="13" t="s">
        <v>1285</v>
      </c>
      <c r="S982" s="13" t="s">
        <v>5904</v>
      </c>
      <c r="T982" s="12" t="s">
        <v>94</v>
      </c>
      <c r="U982" s="12" t="s">
        <v>5905</v>
      </c>
    </row>
    <row r="983" customFormat="false" ht="31.5" hidden="false" customHeight="true" outlineLevel="0" collapsed="false">
      <c r="A983" s="12" t="n">
        <v>817</v>
      </c>
      <c r="B983" s="12" t="s">
        <v>1977</v>
      </c>
      <c r="C983" s="12" t="s">
        <v>2521</v>
      </c>
      <c r="D983" s="12" t="s">
        <v>113</v>
      </c>
      <c r="E983" s="12" t="s">
        <v>83</v>
      </c>
      <c r="F983" s="12" t="n">
        <v>64160</v>
      </c>
      <c r="G983" s="12" t="n">
        <v>63460</v>
      </c>
      <c r="H983" s="12"/>
      <c r="I983" s="12" t="n">
        <v>62550</v>
      </c>
      <c r="J983" s="12"/>
      <c r="K983" s="12"/>
      <c r="L983" s="12"/>
      <c r="M983" s="12"/>
      <c r="N983" s="12"/>
      <c r="O983" s="13" t="s">
        <v>5906</v>
      </c>
      <c r="P983" s="13" t="s">
        <v>5907</v>
      </c>
      <c r="Q983" s="13"/>
      <c r="R983" s="13"/>
      <c r="S983" s="13" t="s">
        <v>5908</v>
      </c>
      <c r="T983" s="12" t="s">
        <v>94</v>
      </c>
      <c r="U983" s="12" t="s">
        <v>5909</v>
      </c>
    </row>
    <row r="984" customFormat="false" ht="31.5" hidden="false" customHeight="true" outlineLevel="0" collapsed="false">
      <c r="A984" s="12" t="n">
        <v>818</v>
      </c>
      <c r="B984" s="12" t="s">
        <v>5910</v>
      </c>
      <c r="C984" s="12" t="s">
        <v>2557</v>
      </c>
      <c r="D984" s="12" t="s">
        <v>113</v>
      </c>
      <c r="E984" s="12" t="s">
        <v>83</v>
      </c>
      <c r="F984" s="12" t="n">
        <v>64160</v>
      </c>
      <c r="G984" s="12"/>
      <c r="H984" s="12"/>
      <c r="I984" s="12"/>
      <c r="J984" s="12"/>
      <c r="K984" s="12"/>
      <c r="L984" s="12"/>
      <c r="M984" s="12"/>
      <c r="N984" s="12"/>
      <c r="O984" s="13"/>
      <c r="P984" s="13" t="s">
        <v>5911</v>
      </c>
      <c r="Q984" s="13"/>
      <c r="R984" s="13"/>
      <c r="S984" s="13" t="s">
        <v>5912</v>
      </c>
      <c r="T984" s="12" t="s">
        <v>94</v>
      </c>
      <c r="U984" s="12" t="s">
        <v>5913</v>
      </c>
    </row>
    <row r="985" customFormat="false" ht="31.5" hidden="false" customHeight="true" outlineLevel="0" collapsed="false">
      <c r="A985" s="12" t="n">
        <v>819</v>
      </c>
      <c r="B985" s="12" t="s">
        <v>5914</v>
      </c>
      <c r="C985" s="12" t="s">
        <v>2557</v>
      </c>
      <c r="D985" s="12" t="s">
        <v>113</v>
      </c>
      <c r="E985" s="12" t="s">
        <v>83</v>
      </c>
      <c r="F985" s="12" t="n">
        <v>63700</v>
      </c>
      <c r="G985" s="12"/>
      <c r="H985" s="12"/>
      <c r="I985" s="12"/>
      <c r="J985" s="12"/>
      <c r="K985" s="12"/>
      <c r="L985" s="12"/>
      <c r="M985" s="12"/>
      <c r="N985" s="12"/>
      <c r="O985" s="13" t="s">
        <v>5915</v>
      </c>
      <c r="P985" s="13" t="s">
        <v>5916</v>
      </c>
      <c r="Q985" s="13"/>
      <c r="R985" s="13"/>
      <c r="S985" s="13" t="s">
        <v>5917</v>
      </c>
      <c r="T985" s="12" t="s">
        <v>94</v>
      </c>
      <c r="U985" s="12" t="s">
        <v>5918</v>
      </c>
    </row>
    <row r="986" customFormat="false" ht="31.5" hidden="false" customHeight="true" outlineLevel="0" collapsed="false">
      <c r="A986" s="12" t="n">
        <v>820</v>
      </c>
      <c r="B986" s="12" t="s">
        <v>5919</v>
      </c>
      <c r="C986" s="12" t="s">
        <v>2557</v>
      </c>
      <c r="D986" s="12" t="s">
        <v>113</v>
      </c>
      <c r="E986" s="12" t="s">
        <v>83</v>
      </c>
      <c r="F986" s="12"/>
      <c r="G986" s="12"/>
      <c r="H986" s="12"/>
      <c r="I986" s="12"/>
      <c r="J986" s="12"/>
      <c r="K986" s="12"/>
      <c r="L986" s="12"/>
      <c r="M986" s="12"/>
      <c r="N986" s="12"/>
      <c r="O986" s="13"/>
      <c r="P986" s="13" t="s">
        <v>5920</v>
      </c>
      <c r="Q986" s="13"/>
      <c r="R986" s="13"/>
      <c r="S986" s="13" t="s">
        <v>5921</v>
      </c>
      <c r="T986" s="12" t="s">
        <v>108</v>
      </c>
      <c r="U986" s="12" t="s">
        <v>5922</v>
      </c>
    </row>
    <row r="987" customFormat="false" ht="31.5" hidden="false" customHeight="true" outlineLevel="0" collapsed="false">
      <c r="A987" s="12" t="n">
        <v>821</v>
      </c>
      <c r="B987" s="12" t="s">
        <v>5923</v>
      </c>
      <c r="C987" s="12" t="s">
        <v>2527</v>
      </c>
      <c r="D987" s="12" t="s">
        <v>113</v>
      </c>
      <c r="E987" s="12"/>
      <c r="F987" s="12"/>
      <c r="G987" s="12"/>
      <c r="H987" s="12"/>
      <c r="I987" s="12"/>
      <c r="J987" s="12"/>
      <c r="K987" s="12"/>
      <c r="L987" s="12"/>
      <c r="M987" s="12"/>
      <c r="N987" s="12" t="n">
        <v>66000</v>
      </c>
      <c r="O987" s="13"/>
      <c r="P987" s="13" t="s">
        <v>5924</v>
      </c>
      <c r="Q987" s="13"/>
      <c r="R987" s="13"/>
      <c r="S987" s="13" t="s">
        <v>5925</v>
      </c>
      <c r="T987" s="12" t="s">
        <v>94</v>
      </c>
      <c r="U987" s="12" t="s">
        <v>5926</v>
      </c>
    </row>
    <row r="988" customFormat="false" ht="31.5" hidden="false" customHeight="true" outlineLevel="0" collapsed="false">
      <c r="A988" s="12" t="n">
        <v>821</v>
      </c>
      <c r="B988" s="12" t="s">
        <v>5923</v>
      </c>
      <c r="C988" s="12" t="s">
        <v>2527</v>
      </c>
      <c r="D988" s="12" t="s">
        <v>99</v>
      </c>
      <c r="E988" s="12"/>
      <c r="F988" s="12"/>
      <c r="G988" s="12"/>
      <c r="H988" s="12"/>
      <c r="I988" s="12"/>
      <c r="J988" s="12"/>
      <c r="K988" s="12"/>
      <c r="L988" s="12"/>
      <c r="M988" s="12"/>
      <c r="N988" s="12" t="n">
        <v>2000</v>
      </c>
      <c r="O988" s="13"/>
      <c r="P988" s="13" t="s">
        <v>5927</v>
      </c>
      <c r="Q988" s="13"/>
      <c r="R988" s="13"/>
      <c r="S988" s="13" t="s">
        <v>5928</v>
      </c>
      <c r="T988" s="12" t="s">
        <v>94</v>
      </c>
      <c r="U988" s="12" t="s">
        <v>5926</v>
      </c>
    </row>
    <row r="989" customFormat="false" ht="31.5" hidden="false" customHeight="true" outlineLevel="0" collapsed="false">
      <c r="A989" s="12" t="n">
        <v>822</v>
      </c>
      <c r="B989" s="12" t="s">
        <v>1959</v>
      </c>
      <c r="C989" s="12" t="s">
        <v>2630</v>
      </c>
      <c r="D989" s="12" t="s">
        <v>113</v>
      </c>
      <c r="E989" s="12" t="s">
        <v>83</v>
      </c>
      <c r="F989" s="12" t="n">
        <v>63182.1</v>
      </c>
      <c r="G989" s="12"/>
      <c r="H989" s="12"/>
      <c r="I989" s="12"/>
      <c r="J989" s="12" t="n">
        <v>100</v>
      </c>
      <c r="K989" s="12"/>
      <c r="L989" s="12"/>
      <c r="M989" s="12"/>
      <c r="N989" s="12" t="n">
        <v>64652.4</v>
      </c>
      <c r="O989" s="13"/>
      <c r="P989" s="13" t="s">
        <v>5929</v>
      </c>
      <c r="Q989" s="13"/>
      <c r="R989" s="13"/>
      <c r="S989" s="13" t="s">
        <v>5930</v>
      </c>
      <c r="T989" s="12" t="s">
        <v>94</v>
      </c>
      <c r="U989" s="12" t="s">
        <v>5931</v>
      </c>
    </row>
    <row r="990" customFormat="false" ht="31.5" hidden="false" customHeight="true" outlineLevel="0" collapsed="false">
      <c r="A990" s="12" t="n">
        <v>822</v>
      </c>
      <c r="B990" s="12" t="s">
        <v>1959</v>
      </c>
      <c r="C990" s="12" t="s">
        <v>2557</v>
      </c>
      <c r="D990" s="12" t="s">
        <v>113</v>
      </c>
      <c r="E990" s="12" t="s">
        <v>83</v>
      </c>
      <c r="F990" s="12"/>
      <c r="G990" s="12"/>
      <c r="H990" s="12"/>
      <c r="I990" s="12"/>
      <c r="J990" s="12"/>
      <c r="K990" s="12"/>
      <c r="L990" s="12"/>
      <c r="M990" s="12"/>
      <c r="N990" s="12"/>
      <c r="O990" s="13"/>
      <c r="P990" s="13" t="s">
        <v>5932</v>
      </c>
      <c r="Q990" s="13"/>
      <c r="R990" s="13"/>
      <c r="S990" s="13" t="s">
        <v>5933</v>
      </c>
      <c r="T990" s="12" t="s">
        <v>94</v>
      </c>
      <c r="U990" s="12" t="s">
        <v>5931</v>
      </c>
    </row>
    <row r="991" customFormat="false" ht="31.5" hidden="false" customHeight="true" outlineLevel="0" collapsed="false">
      <c r="A991" s="12" t="n">
        <v>823</v>
      </c>
      <c r="B991" s="12" t="s">
        <v>1987</v>
      </c>
      <c r="C991" s="12" t="s">
        <v>2502</v>
      </c>
      <c r="D991" s="12" t="s">
        <v>113</v>
      </c>
      <c r="E991" s="12"/>
      <c r="F991" s="12"/>
      <c r="G991" s="12"/>
      <c r="H991" s="12"/>
      <c r="I991" s="12"/>
      <c r="J991" s="12"/>
      <c r="K991" s="12"/>
      <c r="L991" s="12"/>
      <c r="M991" s="12"/>
      <c r="N991" s="12"/>
      <c r="O991" s="13"/>
      <c r="P991" s="13" t="s">
        <v>5934</v>
      </c>
      <c r="Q991" s="13"/>
      <c r="R991" s="13"/>
      <c r="S991" s="13" t="s">
        <v>5935</v>
      </c>
      <c r="T991" s="12" t="s">
        <v>94</v>
      </c>
      <c r="U991" s="12" t="s">
        <v>2001</v>
      </c>
    </row>
    <row r="992" customFormat="false" ht="31.5" hidden="false" customHeight="true" outlineLevel="0" collapsed="false">
      <c r="A992" s="12" t="n">
        <v>824</v>
      </c>
      <c r="B992" s="12" t="s">
        <v>1994</v>
      </c>
      <c r="C992" s="12" t="s">
        <v>2521</v>
      </c>
      <c r="D992" s="12" t="s">
        <v>113</v>
      </c>
      <c r="E992" s="12" t="s">
        <v>83</v>
      </c>
      <c r="F992" s="12" t="n">
        <v>64100</v>
      </c>
      <c r="G992" s="12" t="n">
        <v>63440</v>
      </c>
      <c r="H992" s="12"/>
      <c r="I992" s="12" t="n">
        <v>62550</v>
      </c>
      <c r="J992" s="12"/>
      <c r="K992" s="12"/>
      <c r="L992" s="12"/>
      <c r="M992" s="12"/>
      <c r="N992" s="12"/>
      <c r="O992" s="13" t="s">
        <v>5936</v>
      </c>
      <c r="P992" s="13" t="s">
        <v>5937</v>
      </c>
      <c r="Q992" s="13"/>
      <c r="R992" s="13"/>
      <c r="S992" s="13" t="s">
        <v>5938</v>
      </c>
      <c r="T992" s="12" t="s">
        <v>94</v>
      </c>
      <c r="U992" s="12" t="s">
        <v>5939</v>
      </c>
    </row>
    <row r="993" customFormat="false" ht="31.5" hidden="false" customHeight="true" outlineLevel="0" collapsed="false">
      <c r="A993" s="12" t="n">
        <v>825</v>
      </c>
      <c r="B993" s="12" t="s">
        <v>5940</v>
      </c>
      <c r="C993" s="12" t="s">
        <v>2557</v>
      </c>
      <c r="D993" s="12" t="s">
        <v>113</v>
      </c>
      <c r="E993" s="12" t="s">
        <v>83</v>
      </c>
      <c r="F993" s="12" t="n">
        <v>63700</v>
      </c>
      <c r="G993" s="12"/>
      <c r="H993" s="12"/>
      <c r="I993" s="12"/>
      <c r="J993" s="12"/>
      <c r="K993" s="12"/>
      <c r="L993" s="12"/>
      <c r="M993" s="12"/>
      <c r="N993" s="12"/>
      <c r="O993" s="13"/>
      <c r="P993" s="13" t="s">
        <v>5941</v>
      </c>
      <c r="Q993" s="13"/>
      <c r="R993" s="13"/>
      <c r="S993" s="13" t="s">
        <v>5942</v>
      </c>
      <c r="T993" s="12" t="s">
        <v>94</v>
      </c>
      <c r="U993" s="12" t="s">
        <v>5943</v>
      </c>
    </row>
    <row r="994" customFormat="false" ht="31.5" hidden="false" customHeight="true" outlineLevel="0" collapsed="false">
      <c r="A994" s="12" t="n">
        <v>826</v>
      </c>
      <c r="B994" s="12" t="s">
        <v>5944</v>
      </c>
      <c r="C994" s="12" t="s">
        <v>2557</v>
      </c>
      <c r="D994" s="12" t="s">
        <v>113</v>
      </c>
      <c r="E994" s="12" t="s">
        <v>83</v>
      </c>
      <c r="F994" s="12"/>
      <c r="G994" s="12"/>
      <c r="H994" s="12"/>
      <c r="I994" s="12"/>
      <c r="J994" s="12"/>
      <c r="K994" s="12"/>
      <c r="L994" s="12"/>
      <c r="M994" s="12"/>
      <c r="N994" s="12"/>
      <c r="O994" s="13" t="s">
        <v>5945</v>
      </c>
      <c r="P994" s="13" t="s">
        <v>5946</v>
      </c>
      <c r="Q994" s="13"/>
      <c r="R994" s="13"/>
      <c r="S994" s="13" t="s">
        <v>5947</v>
      </c>
      <c r="T994" s="12" t="s">
        <v>94</v>
      </c>
      <c r="U994" s="12" t="s">
        <v>5948</v>
      </c>
    </row>
    <row r="995" customFormat="false" ht="31.5" hidden="false" customHeight="true" outlineLevel="0" collapsed="false">
      <c r="A995" s="12" t="n">
        <v>827</v>
      </c>
      <c r="B995" s="12" t="s">
        <v>5949</v>
      </c>
      <c r="C995" s="12" t="s">
        <v>2506</v>
      </c>
      <c r="D995" s="12" t="s">
        <v>113</v>
      </c>
      <c r="E995" s="12" t="s">
        <v>83</v>
      </c>
      <c r="F995" s="12"/>
      <c r="G995" s="12"/>
      <c r="H995" s="12"/>
      <c r="I995" s="12"/>
      <c r="J995" s="12"/>
      <c r="K995" s="12"/>
      <c r="L995" s="12"/>
      <c r="M995" s="12"/>
      <c r="N995" s="12"/>
      <c r="O995" s="13" t="s">
        <v>5950</v>
      </c>
      <c r="P995" s="13" t="s">
        <v>5951</v>
      </c>
      <c r="Q995" s="13"/>
      <c r="R995" s="13"/>
      <c r="S995" s="13" t="s">
        <v>5952</v>
      </c>
      <c r="T995" s="12" t="s">
        <v>94</v>
      </c>
      <c r="U995" s="12" t="s">
        <v>5953</v>
      </c>
    </row>
    <row r="996" customFormat="false" ht="31.5" hidden="false" customHeight="true" outlineLevel="0" collapsed="false">
      <c r="A996" s="12" t="n">
        <v>828</v>
      </c>
      <c r="B996" s="12" t="s">
        <v>5954</v>
      </c>
      <c r="C996" s="12" t="s">
        <v>2537</v>
      </c>
      <c r="D996" s="12" t="s">
        <v>113</v>
      </c>
      <c r="E996" s="12" t="s">
        <v>83</v>
      </c>
      <c r="F996" s="12"/>
      <c r="G996" s="12" t="n">
        <v>63440</v>
      </c>
      <c r="H996" s="12"/>
      <c r="I996" s="12"/>
      <c r="J996" s="12"/>
      <c r="K996" s="12"/>
      <c r="L996" s="12"/>
      <c r="M996" s="12"/>
      <c r="N996" s="12"/>
      <c r="O996" s="13"/>
      <c r="P996" s="13" t="s">
        <v>5955</v>
      </c>
      <c r="Q996" s="13"/>
      <c r="R996" s="13"/>
      <c r="S996" s="13" t="s">
        <v>5956</v>
      </c>
      <c r="T996" s="12" t="s">
        <v>108</v>
      </c>
      <c r="U996" s="12" t="s">
        <v>5957</v>
      </c>
    </row>
    <row r="997" customFormat="false" ht="31.5" hidden="false" customHeight="true" outlineLevel="0" collapsed="false">
      <c r="A997" s="12" t="n">
        <v>828</v>
      </c>
      <c r="B997" s="12" t="s">
        <v>5954</v>
      </c>
      <c r="C997" s="12" t="s">
        <v>2670</v>
      </c>
      <c r="D997" s="12" t="s">
        <v>113</v>
      </c>
      <c r="E997" s="12" t="s">
        <v>83</v>
      </c>
      <c r="F997" s="12"/>
      <c r="G997" s="12"/>
      <c r="H997" s="12" t="s">
        <v>5958</v>
      </c>
      <c r="I997" s="12"/>
      <c r="J997" s="12"/>
      <c r="K997" s="12"/>
      <c r="L997" s="12"/>
      <c r="M997" s="12"/>
      <c r="N997" s="12"/>
      <c r="O997" s="13"/>
      <c r="P997" s="13" t="s">
        <v>5959</v>
      </c>
      <c r="Q997" s="13"/>
      <c r="R997" s="13"/>
      <c r="S997" s="13" t="s">
        <v>5960</v>
      </c>
      <c r="T997" s="12" t="s">
        <v>94</v>
      </c>
      <c r="U997" s="12" t="s">
        <v>5957</v>
      </c>
    </row>
    <row r="998" customFormat="false" ht="31.5" hidden="false" customHeight="true" outlineLevel="0" collapsed="false">
      <c r="A998" s="12" t="n">
        <v>829</v>
      </c>
      <c r="B998" s="12" t="s">
        <v>5961</v>
      </c>
      <c r="C998" s="12" t="s">
        <v>2618</v>
      </c>
      <c r="D998" s="12" t="s">
        <v>113</v>
      </c>
      <c r="E998" s="12" t="s">
        <v>83</v>
      </c>
      <c r="F998" s="12"/>
      <c r="G998" s="12"/>
      <c r="H998" s="12" t="s">
        <v>5962</v>
      </c>
      <c r="I998" s="12"/>
      <c r="J998" s="12"/>
      <c r="K998" s="12"/>
      <c r="L998" s="12"/>
      <c r="M998" s="12"/>
      <c r="N998" s="12"/>
      <c r="O998" s="13"/>
      <c r="P998" s="13" t="s">
        <v>5963</v>
      </c>
      <c r="Q998" s="13"/>
      <c r="R998" s="13"/>
      <c r="S998" s="13" t="s">
        <v>5964</v>
      </c>
      <c r="T998" s="12" t="s">
        <v>94</v>
      </c>
      <c r="U998" s="12" t="s">
        <v>5965</v>
      </c>
    </row>
    <row r="999" customFormat="false" ht="31.5" hidden="false" customHeight="true" outlineLevel="0" collapsed="false">
      <c r="A999" s="12" t="n">
        <v>830</v>
      </c>
      <c r="B999" s="12" t="s">
        <v>5966</v>
      </c>
      <c r="C999" s="12" t="s">
        <v>2581</v>
      </c>
      <c r="D999" s="12" t="s">
        <v>113</v>
      </c>
      <c r="E999" s="12" t="s">
        <v>83</v>
      </c>
      <c r="F999" s="12" t="n">
        <v>63812.5</v>
      </c>
      <c r="G999" s="12"/>
      <c r="H999" s="12"/>
      <c r="I999" s="12"/>
      <c r="J999" s="12" t="n">
        <v>50</v>
      </c>
      <c r="K999" s="12" t="n">
        <v>150</v>
      </c>
      <c r="L999" s="12"/>
      <c r="M999" s="12" t="n">
        <v>180.1</v>
      </c>
      <c r="N999" s="12" t="n">
        <v>64578.7</v>
      </c>
      <c r="O999" s="13"/>
      <c r="P999" s="13" t="s">
        <v>5967</v>
      </c>
      <c r="Q999" s="13"/>
      <c r="R999" s="13"/>
      <c r="S999" s="13" t="s">
        <v>5968</v>
      </c>
      <c r="T999" s="12" t="s">
        <v>94</v>
      </c>
      <c r="U999" s="12" t="s">
        <v>5969</v>
      </c>
    </row>
    <row r="1000" customFormat="false" ht="31.5" hidden="false" customHeight="true" outlineLevel="0" collapsed="false">
      <c r="A1000" s="12" t="n">
        <v>831</v>
      </c>
      <c r="B1000" s="12" t="s">
        <v>5970</v>
      </c>
      <c r="C1000" s="12" t="s">
        <v>2516</v>
      </c>
      <c r="D1000" s="12" t="s">
        <v>113</v>
      </c>
      <c r="E1000" s="12" t="s">
        <v>83</v>
      </c>
      <c r="F1000" s="12"/>
      <c r="G1000" s="12"/>
      <c r="H1000" s="12" t="s">
        <v>1494</v>
      </c>
      <c r="I1000" s="12"/>
      <c r="J1000" s="12" t="n">
        <v>100</v>
      </c>
      <c r="K1000" s="12"/>
      <c r="L1000" s="12"/>
      <c r="M1000" s="12"/>
      <c r="N1000" s="12"/>
      <c r="O1000" s="13"/>
      <c r="P1000" s="13" t="s">
        <v>5971</v>
      </c>
      <c r="Q1000" s="13"/>
      <c r="R1000" s="13"/>
      <c r="S1000" s="13" t="s">
        <v>5972</v>
      </c>
      <c r="T1000" s="12" t="s">
        <v>94</v>
      </c>
      <c r="U1000" s="12" t="s">
        <v>5973</v>
      </c>
    </row>
    <row r="1001" customFormat="false" ht="31.5" hidden="false" customHeight="true" outlineLevel="0" collapsed="false">
      <c r="A1001" s="12" t="n">
        <v>832</v>
      </c>
      <c r="B1001" s="12" t="s">
        <v>5974</v>
      </c>
      <c r="C1001" s="12" t="s">
        <v>2527</v>
      </c>
      <c r="D1001" s="12" t="s">
        <v>113</v>
      </c>
      <c r="E1001" s="12"/>
      <c r="F1001" s="12"/>
      <c r="G1001" s="12"/>
      <c r="H1001" s="12"/>
      <c r="I1001" s="12"/>
      <c r="J1001" s="12"/>
      <c r="K1001" s="12"/>
      <c r="L1001" s="12"/>
      <c r="M1001" s="12"/>
      <c r="N1001" s="12" t="n">
        <v>67000</v>
      </c>
      <c r="O1001" s="13"/>
      <c r="P1001" s="13" t="s">
        <v>5975</v>
      </c>
      <c r="Q1001" s="13"/>
      <c r="R1001" s="13"/>
      <c r="S1001" s="13" t="s">
        <v>5976</v>
      </c>
      <c r="T1001" s="12" t="s">
        <v>108</v>
      </c>
      <c r="U1001" s="12" t="s">
        <v>5977</v>
      </c>
    </row>
    <row r="1002" customFormat="false" ht="31.5" hidden="false" customHeight="true" outlineLevel="0" collapsed="false">
      <c r="A1002" s="12" t="n">
        <v>833</v>
      </c>
      <c r="B1002" s="12" t="s">
        <v>1995</v>
      </c>
      <c r="C1002" s="12" t="s">
        <v>2666</v>
      </c>
      <c r="D1002" s="12" t="s">
        <v>113</v>
      </c>
      <c r="E1002" s="12" t="s">
        <v>83</v>
      </c>
      <c r="F1002" s="12" t="n">
        <v>63812.5</v>
      </c>
      <c r="G1002" s="12"/>
      <c r="H1002" s="12"/>
      <c r="I1002" s="12"/>
      <c r="J1002" s="12" t="n">
        <v>100</v>
      </c>
      <c r="K1002" s="12" t="n">
        <v>150</v>
      </c>
      <c r="L1002" s="12"/>
      <c r="M1002" s="12" t="n">
        <v>232.12</v>
      </c>
      <c r="N1002" s="12" t="n">
        <v>64800</v>
      </c>
      <c r="O1002" s="13"/>
      <c r="P1002" s="13" t="s">
        <v>5978</v>
      </c>
      <c r="Q1002" s="13"/>
      <c r="R1002" s="13"/>
      <c r="S1002" s="13" t="s">
        <v>5979</v>
      </c>
      <c r="T1002" s="12" t="s">
        <v>94</v>
      </c>
      <c r="U1002" s="12" t="s">
        <v>5980</v>
      </c>
    </row>
    <row r="1003" customFormat="false" ht="31.5" hidden="false" customHeight="true" outlineLevel="0" collapsed="false">
      <c r="A1003" s="12" t="n">
        <v>834</v>
      </c>
      <c r="B1003" s="12" t="s">
        <v>2002</v>
      </c>
      <c r="C1003" s="12" t="s">
        <v>2521</v>
      </c>
      <c r="D1003" s="12" t="s">
        <v>113</v>
      </c>
      <c r="E1003" s="12" t="s">
        <v>259</v>
      </c>
      <c r="F1003" s="12" t="n">
        <v>65200</v>
      </c>
      <c r="G1003" s="12"/>
      <c r="H1003" s="12"/>
      <c r="I1003" s="12" t="n">
        <v>66600</v>
      </c>
      <c r="J1003" s="12"/>
      <c r="K1003" s="12"/>
      <c r="L1003" s="12"/>
      <c r="M1003" s="12"/>
      <c r="N1003" s="12"/>
      <c r="O1003" s="13" t="s">
        <v>5981</v>
      </c>
      <c r="P1003" s="13" t="s">
        <v>5982</v>
      </c>
      <c r="Q1003" s="13"/>
      <c r="R1003" s="13"/>
      <c r="S1003" s="13" t="s">
        <v>5983</v>
      </c>
      <c r="T1003" s="12" t="s">
        <v>94</v>
      </c>
      <c r="U1003" s="12" t="s">
        <v>2014</v>
      </c>
    </row>
    <row r="1004" customFormat="false" ht="31.5" hidden="false" customHeight="true" outlineLevel="0" collapsed="false">
      <c r="A1004" s="12" t="n">
        <v>835</v>
      </c>
      <c r="B1004" s="12" t="s">
        <v>2007</v>
      </c>
      <c r="C1004" s="12" t="s">
        <v>2549</v>
      </c>
      <c r="D1004" s="12" t="s">
        <v>113</v>
      </c>
      <c r="E1004" s="12" t="s">
        <v>259</v>
      </c>
      <c r="F1004" s="12" t="n">
        <v>65000</v>
      </c>
      <c r="G1004" s="12" t="n">
        <v>65400</v>
      </c>
      <c r="H1004" s="12"/>
      <c r="I1004" s="12" t="n">
        <v>66500</v>
      </c>
      <c r="J1004" s="12"/>
      <c r="K1004" s="12"/>
      <c r="L1004" s="12"/>
      <c r="M1004" s="12"/>
      <c r="N1004" s="12"/>
      <c r="O1004" s="13"/>
      <c r="P1004" s="13" t="s">
        <v>5984</v>
      </c>
      <c r="Q1004" s="13"/>
      <c r="R1004" s="13"/>
      <c r="S1004" s="13" t="s">
        <v>5985</v>
      </c>
      <c r="T1004" s="12" t="s">
        <v>108</v>
      </c>
      <c r="U1004" s="12" t="s">
        <v>5986</v>
      </c>
    </row>
    <row r="1005" customFormat="false" ht="31.5" hidden="false" customHeight="true" outlineLevel="0" collapsed="false">
      <c r="A1005" s="12" t="n">
        <v>836</v>
      </c>
      <c r="B1005" s="12" t="s">
        <v>5987</v>
      </c>
      <c r="C1005" s="12" t="s">
        <v>2557</v>
      </c>
      <c r="D1005" s="12" t="s">
        <v>113</v>
      </c>
      <c r="E1005" s="12" t="s">
        <v>259</v>
      </c>
      <c r="F1005" s="12"/>
      <c r="G1005" s="12"/>
      <c r="H1005" s="12"/>
      <c r="I1005" s="12" t="n">
        <v>66500</v>
      </c>
      <c r="J1005" s="12"/>
      <c r="K1005" s="12"/>
      <c r="L1005" s="12"/>
      <c r="M1005" s="12"/>
      <c r="N1005" s="12"/>
      <c r="O1005" s="13"/>
      <c r="P1005" s="13" t="s">
        <v>5988</v>
      </c>
      <c r="Q1005" s="13"/>
      <c r="R1005" s="13"/>
      <c r="S1005" s="13" t="s">
        <v>5989</v>
      </c>
      <c r="T1005" s="12" t="s">
        <v>94</v>
      </c>
      <c r="U1005" s="12" t="s">
        <v>5990</v>
      </c>
    </row>
    <row r="1006" customFormat="false" ht="31.5" hidden="false" customHeight="true" outlineLevel="0" collapsed="false">
      <c r="A1006" s="12" t="n">
        <v>837</v>
      </c>
      <c r="B1006" s="12" t="s">
        <v>5991</v>
      </c>
      <c r="C1006" s="12" t="s">
        <v>2670</v>
      </c>
      <c r="D1006" s="12" t="s">
        <v>113</v>
      </c>
      <c r="E1006" s="12" t="s">
        <v>259</v>
      </c>
      <c r="F1006" s="12"/>
      <c r="G1006" s="12"/>
      <c r="H1006" s="12" t="s">
        <v>996</v>
      </c>
      <c r="I1006" s="12"/>
      <c r="J1006" s="12"/>
      <c r="K1006" s="12"/>
      <c r="L1006" s="12"/>
      <c r="M1006" s="12"/>
      <c r="N1006" s="12"/>
      <c r="O1006" s="13"/>
      <c r="P1006" s="13" t="s">
        <v>5992</v>
      </c>
      <c r="Q1006" s="13"/>
      <c r="R1006" s="13"/>
      <c r="S1006" s="13" t="s">
        <v>5993</v>
      </c>
      <c r="T1006" s="12" t="s">
        <v>94</v>
      </c>
      <c r="U1006" s="12" t="s">
        <v>5994</v>
      </c>
    </row>
    <row r="1007" customFormat="false" ht="31.5" hidden="false" customHeight="true" outlineLevel="0" collapsed="false">
      <c r="A1007" s="12" t="n">
        <v>838</v>
      </c>
      <c r="B1007" s="12" t="s">
        <v>2015</v>
      </c>
      <c r="C1007" s="12" t="s">
        <v>2516</v>
      </c>
      <c r="D1007" s="12" t="s">
        <v>99</v>
      </c>
      <c r="E1007" s="12" t="s">
        <v>259</v>
      </c>
      <c r="F1007" s="12"/>
      <c r="G1007" s="12"/>
      <c r="H1007" s="12"/>
      <c r="I1007" s="12" t="n">
        <v>1950</v>
      </c>
      <c r="J1007" s="12"/>
      <c r="K1007" s="12"/>
      <c r="L1007" s="12"/>
      <c r="M1007" s="12"/>
      <c r="N1007" s="12"/>
      <c r="O1007" s="13"/>
      <c r="P1007" s="13" t="s">
        <v>5995</v>
      </c>
      <c r="Q1007" s="13"/>
      <c r="R1007" s="13"/>
      <c r="S1007" s="13" t="s">
        <v>5996</v>
      </c>
      <c r="T1007" s="12" t="s">
        <v>94</v>
      </c>
      <c r="U1007" s="12" t="s">
        <v>2022</v>
      </c>
    </row>
    <row r="1008" customFormat="false" ht="31.5" hidden="false" customHeight="true" outlineLevel="0" collapsed="false">
      <c r="A1008" s="12" t="n">
        <v>839</v>
      </c>
      <c r="B1008" s="12" t="s">
        <v>2008</v>
      </c>
      <c r="C1008" s="12" t="s">
        <v>2666</v>
      </c>
      <c r="D1008" s="12" t="s">
        <v>113</v>
      </c>
      <c r="E1008" s="12" t="s">
        <v>259</v>
      </c>
      <c r="F1008" s="12"/>
      <c r="G1008" s="12"/>
      <c r="H1008" s="12"/>
      <c r="I1008" s="12"/>
      <c r="J1008" s="12" t="n">
        <v>100</v>
      </c>
      <c r="K1008" s="12"/>
      <c r="L1008" s="12"/>
      <c r="M1008" s="12" t="n">
        <v>188.47</v>
      </c>
      <c r="N1008" s="12" t="n">
        <v>64200</v>
      </c>
      <c r="O1008" s="13"/>
      <c r="P1008" s="13" t="s">
        <v>5997</v>
      </c>
      <c r="Q1008" s="13"/>
      <c r="R1008" s="13"/>
      <c r="S1008" s="13" t="s">
        <v>5998</v>
      </c>
      <c r="T1008" s="12" t="s">
        <v>94</v>
      </c>
      <c r="U1008" s="12" t="s">
        <v>5999</v>
      </c>
    </row>
    <row r="1009" customFormat="false" ht="31.5" hidden="false" customHeight="true" outlineLevel="0" collapsed="false">
      <c r="A1009" s="12" t="n">
        <v>840</v>
      </c>
      <c r="B1009" s="12" t="s">
        <v>2023</v>
      </c>
      <c r="C1009" s="12" t="s">
        <v>2521</v>
      </c>
      <c r="D1009" s="12" t="s">
        <v>113</v>
      </c>
      <c r="E1009" s="12" t="s">
        <v>83</v>
      </c>
      <c r="F1009" s="12" t="n">
        <v>63969</v>
      </c>
      <c r="G1009" s="12"/>
      <c r="H1009" s="12" t="s">
        <v>1494</v>
      </c>
      <c r="I1009" s="12" t="n">
        <v>62700</v>
      </c>
      <c r="J1009" s="12"/>
      <c r="K1009" s="12"/>
      <c r="L1009" s="12"/>
      <c r="M1009" s="12"/>
      <c r="N1009" s="12"/>
      <c r="O1009" s="13"/>
      <c r="P1009" s="13" t="s">
        <v>6000</v>
      </c>
      <c r="Q1009" s="13"/>
      <c r="R1009" s="13"/>
      <c r="S1009" s="13" t="s">
        <v>6001</v>
      </c>
      <c r="T1009" s="12" t="s">
        <v>94</v>
      </c>
      <c r="U1009" s="12" t="s">
        <v>2033</v>
      </c>
    </row>
    <row r="1010" customFormat="false" ht="31.5" hidden="false" customHeight="true" outlineLevel="0" collapsed="false">
      <c r="A1010" s="12" t="n">
        <v>841</v>
      </c>
      <c r="B1010" s="12" t="s">
        <v>6002</v>
      </c>
      <c r="C1010" s="12" t="s">
        <v>2557</v>
      </c>
      <c r="D1010" s="12" t="s">
        <v>113</v>
      </c>
      <c r="E1010" s="12" t="s">
        <v>83</v>
      </c>
      <c r="F1010" s="12"/>
      <c r="G1010" s="12"/>
      <c r="H1010" s="12"/>
      <c r="I1010" s="12"/>
      <c r="J1010" s="12"/>
      <c r="K1010" s="12"/>
      <c r="L1010" s="12"/>
      <c r="M1010" s="12"/>
      <c r="N1010" s="12"/>
      <c r="O1010" s="13" t="s">
        <v>6003</v>
      </c>
      <c r="P1010" s="13" t="s">
        <v>6004</v>
      </c>
      <c r="Q1010" s="13" t="s">
        <v>2029</v>
      </c>
      <c r="R1010" s="13" t="s">
        <v>6005</v>
      </c>
      <c r="S1010" s="13" t="s">
        <v>6006</v>
      </c>
      <c r="T1010" s="12" t="s">
        <v>108</v>
      </c>
      <c r="U1010" s="12" t="s">
        <v>6007</v>
      </c>
    </row>
    <row r="1011" customFormat="false" ht="31.5" hidden="false" customHeight="true" outlineLevel="0" collapsed="false">
      <c r="A1011" s="12" t="n">
        <v>842</v>
      </c>
      <c r="B1011" s="12" t="s">
        <v>2034</v>
      </c>
      <c r="C1011" s="12" t="s">
        <v>2516</v>
      </c>
      <c r="D1011" s="12" t="s">
        <v>792</v>
      </c>
      <c r="E1011" s="12" t="s">
        <v>83</v>
      </c>
      <c r="F1011" s="12" t="n">
        <v>582</v>
      </c>
      <c r="G1011" s="12"/>
      <c r="H1011" s="12" t="s">
        <v>6008</v>
      </c>
      <c r="I1011" s="12"/>
      <c r="J1011" s="12"/>
      <c r="K1011" s="12"/>
      <c r="L1011" s="12"/>
      <c r="M1011" s="12"/>
      <c r="N1011" s="12"/>
      <c r="O1011" s="13"/>
      <c r="P1011" s="13" t="s">
        <v>6009</v>
      </c>
      <c r="Q1011" s="13"/>
      <c r="R1011" s="13" t="s">
        <v>6010</v>
      </c>
      <c r="S1011" s="13" t="s">
        <v>6011</v>
      </c>
      <c r="T1011" s="12" t="s">
        <v>94</v>
      </c>
      <c r="U1011" s="12" t="s">
        <v>2043</v>
      </c>
    </row>
    <row r="1012" customFormat="false" ht="31.5" hidden="false" customHeight="true" outlineLevel="0" collapsed="false">
      <c r="A1012" s="12" t="n">
        <v>843</v>
      </c>
      <c r="B1012" s="12" t="s">
        <v>2044</v>
      </c>
      <c r="C1012" s="12" t="s">
        <v>2521</v>
      </c>
      <c r="D1012" s="12" t="s">
        <v>2045</v>
      </c>
      <c r="E1012" s="12" t="s">
        <v>83</v>
      </c>
      <c r="F1012" s="12"/>
      <c r="G1012" s="12"/>
      <c r="H1012" s="12"/>
      <c r="I1012" s="12" t="n">
        <v>0.093</v>
      </c>
      <c r="J1012" s="12"/>
      <c r="K1012" s="12"/>
      <c r="L1012" s="12"/>
      <c r="M1012" s="12"/>
      <c r="N1012" s="12"/>
      <c r="O1012" s="13"/>
      <c r="P1012" s="13" t="s">
        <v>6012</v>
      </c>
      <c r="Q1012" s="13" t="s">
        <v>1519</v>
      </c>
      <c r="R1012" s="13"/>
      <c r="S1012" s="13" t="s">
        <v>6013</v>
      </c>
      <c r="T1012" s="12" t="s">
        <v>94</v>
      </c>
      <c r="U1012" s="12" t="s">
        <v>2053</v>
      </c>
    </row>
    <row r="1013" customFormat="false" ht="31.5" hidden="false" customHeight="true" outlineLevel="0" collapsed="false">
      <c r="A1013" s="12" t="n">
        <v>844</v>
      </c>
      <c r="B1013" s="12" t="s">
        <v>2026</v>
      </c>
      <c r="C1013" s="12" t="s">
        <v>2564</v>
      </c>
      <c r="D1013" s="12" t="s">
        <v>113</v>
      </c>
      <c r="E1013" s="12" t="s">
        <v>83</v>
      </c>
      <c r="F1013" s="12"/>
      <c r="G1013" s="12"/>
      <c r="H1013" s="12"/>
      <c r="I1013" s="12"/>
      <c r="J1013" s="12"/>
      <c r="K1013" s="12"/>
      <c r="L1013" s="12"/>
      <c r="M1013" s="12"/>
      <c r="N1013" s="12"/>
      <c r="O1013" s="13"/>
      <c r="P1013" s="13" t="s">
        <v>6014</v>
      </c>
      <c r="Q1013" s="13"/>
      <c r="R1013" s="13"/>
      <c r="S1013" s="13" t="s">
        <v>6015</v>
      </c>
      <c r="T1013" s="12" t="s">
        <v>94</v>
      </c>
      <c r="U1013" s="12" t="s">
        <v>6016</v>
      </c>
    </row>
    <row r="1014" customFormat="false" ht="31.5" hidden="false" customHeight="true" outlineLevel="0" collapsed="false">
      <c r="A1014" s="12" t="n">
        <v>844</v>
      </c>
      <c r="B1014" s="12" t="s">
        <v>2026</v>
      </c>
      <c r="C1014" s="12" t="s">
        <v>2516</v>
      </c>
      <c r="D1014" s="12" t="s">
        <v>113</v>
      </c>
      <c r="E1014" s="12" t="s">
        <v>83</v>
      </c>
      <c r="F1014" s="12" t="n">
        <v>62200</v>
      </c>
      <c r="G1014" s="12"/>
      <c r="H1014" s="12"/>
      <c r="I1014" s="12"/>
      <c r="J1014" s="12"/>
      <c r="K1014" s="12"/>
      <c r="L1014" s="12"/>
      <c r="M1014" s="12"/>
      <c r="N1014" s="12"/>
      <c r="O1014" s="13"/>
      <c r="P1014" s="13" t="s">
        <v>6017</v>
      </c>
      <c r="Q1014" s="13"/>
      <c r="R1014" s="13"/>
      <c r="S1014" s="13" t="s">
        <v>6018</v>
      </c>
      <c r="T1014" s="12" t="s">
        <v>94</v>
      </c>
      <c r="U1014" s="12" t="s">
        <v>6016</v>
      </c>
    </row>
    <row r="1015" customFormat="false" ht="31.5" hidden="false" customHeight="true" outlineLevel="0" collapsed="false">
      <c r="A1015" s="12" t="n">
        <v>845</v>
      </c>
      <c r="B1015" s="12" t="s">
        <v>6019</v>
      </c>
      <c r="C1015" s="12" t="s">
        <v>2521</v>
      </c>
      <c r="D1015" s="12" t="s">
        <v>792</v>
      </c>
      <c r="E1015" s="12" t="s">
        <v>83</v>
      </c>
      <c r="F1015" s="12" t="n">
        <v>586.6</v>
      </c>
      <c r="G1015" s="12"/>
      <c r="H1015" s="12" t="s">
        <v>2036</v>
      </c>
      <c r="I1015" s="12" t="n">
        <v>570</v>
      </c>
      <c r="J1015" s="12"/>
      <c r="K1015" s="12"/>
      <c r="L1015" s="12"/>
      <c r="M1015" s="12"/>
      <c r="N1015" s="12"/>
      <c r="O1015" s="13"/>
      <c r="P1015" s="13" t="s">
        <v>6020</v>
      </c>
      <c r="Q1015" s="13"/>
      <c r="R1015" s="13"/>
      <c r="S1015" s="13" t="s">
        <v>6021</v>
      </c>
      <c r="T1015" s="12" t="s">
        <v>94</v>
      </c>
      <c r="U1015" s="12" t="s">
        <v>6022</v>
      </c>
    </row>
    <row r="1016" customFormat="false" ht="31.5" hidden="false" customHeight="true" outlineLevel="0" collapsed="false">
      <c r="A1016" s="12" t="n">
        <v>845</v>
      </c>
      <c r="B1016" s="12" t="s">
        <v>6019</v>
      </c>
      <c r="C1016" s="12" t="s">
        <v>2516</v>
      </c>
      <c r="D1016" s="12" t="s">
        <v>113</v>
      </c>
      <c r="E1016" s="12" t="s">
        <v>83</v>
      </c>
      <c r="F1016" s="12"/>
      <c r="G1016" s="12"/>
      <c r="H1016" s="12"/>
      <c r="I1016" s="12"/>
      <c r="J1016" s="12"/>
      <c r="K1016" s="12"/>
      <c r="L1016" s="12"/>
      <c r="M1016" s="12"/>
      <c r="N1016" s="12" t="n">
        <v>63500</v>
      </c>
      <c r="O1016" s="13"/>
      <c r="P1016" s="13" t="s">
        <v>6023</v>
      </c>
      <c r="Q1016" s="13"/>
      <c r="R1016" s="13" t="s">
        <v>1649</v>
      </c>
      <c r="S1016" s="13" t="s">
        <v>6024</v>
      </c>
      <c r="T1016" s="12" t="s">
        <v>94</v>
      </c>
      <c r="U1016" s="12" t="s">
        <v>6022</v>
      </c>
    </row>
    <row r="1017" customFormat="false" ht="31.5" hidden="false" customHeight="true" outlineLevel="0" collapsed="false">
      <c r="A1017" s="12" t="n">
        <v>846</v>
      </c>
      <c r="B1017" s="12" t="s">
        <v>2054</v>
      </c>
      <c r="C1017" s="12" t="s">
        <v>2521</v>
      </c>
      <c r="D1017" s="12" t="s">
        <v>82</v>
      </c>
      <c r="E1017" s="12" t="s">
        <v>259</v>
      </c>
      <c r="F1017" s="12" t="n">
        <v>4.25</v>
      </c>
      <c r="G1017" s="12"/>
      <c r="H1017" s="12"/>
      <c r="I1017" s="12" t="n">
        <v>4.44</v>
      </c>
      <c r="J1017" s="12"/>
      <c r="K1017" s="12"/>
      <c r="L1017" s="12"/>
      <c r="M1017" s="12"/>
      <c r="N1017" s="12"/>
      <c r="O1017" s="13" t="s">
        <v>6025</v>
      </c>
      <c r="P1017" s="13" t="s">
        <v>6026</v>
      </c>
      <c r="Q1017" s="13"/>
      <c r="R1017" s="13"/>
      <c r="S1017" s="13" t="s">
        <v>6027</v>
      </c>
      <c r="T1017" s="12" t="s">
        <v>94</v>
      </c>
      <c r="U1017" s="12" t="s">
        <v>2063</v>
      </c>
    </row>
    <row r="1018" customFormat="false" ht="31.5" hidden="false" customHeight="true" outlineLevel="0" collapsed="false">
      <c r="A1018" s="12" t="n">
        <v>847</v>
      </c>
      <c r="B1018" s="12" t="s">
        <v>2048</v>
      </c>
      <c r="C1018" s="12" t="s">
        <v>2630</v>
      </c>
      <c r="D1018" s="12" t="s">
        <v>2045</v>
      </c>
      <c r="E1018" s="12" t="s">
        <v>83</v>
      </c>
      <c r="F1018" s="12" t="n">
        <v>0.096</v>
      </c>
      <c r="G1018" s="12"/>
      <c r="H1018" s="12"/>
      <c r="I1018" s="12"/>
      <c r="J1018" s="12" t="n">
        <v>100</v>
      </c>
      <c r="K1018" s="12" t="n">
        <v>50</v>
      </c>
      <c r="L1018" s="12" t="n">
        <v>0.5</v>
      </c>
      <c r="M1018" s="12" t="n">
        <v>67.07</v>
      </c>
      <c r="N1018" s="12"/>
      <c r="O1018" s="13"/>
      <c r="P1018" s="13" t="s">
        <v>6028</v>
      </c>
      <c r="Q1018" s="13"/>
      <c r="R1018" s="13"/>
      <c r="S1018" s="13" t="s">
        <v>6029</v>
      </c>
      <c r="T1018" s="12" t="s">
        <v>94</v>
      </c>
      <c r="U1018" s="12" t="s">
        <v>6030</v>
      </c>
    </row>
    <row r="1019" customFormat="false" ht="31.5" hidden="false" customHeight="true" outlineLevel="0" collapsed="false">
      <c r="A1019" s="12" t="n">
        <v>847</v>
      </c>
      <c r="B1019" s="12" t="s">
        <v>2048</v>
      </c>
      <c r="C1019" s="12" t="s">
        <v>2588</v>
      </c>
      <c r="D1019" s="12" t="s">
        <v>2045</v>
      </c>
      <c r="E1019" s="12" t="s">
        <v>83</v>
      </c>
      <c r="F1019" s="12" t="n">
        <v>0.096</v>
      </c>
      <c r="G1019" s="12"/>
      <c r="H1019" s="12"/>
      <c r="I1019" s="12" t="n">
        <v>0.096</v>
      </c>
      <c r="J1019" s="12"/>
      <c r="K1019" s="12"/>
      <c r="L1019" s="12"/>
      <c r="M1019" s="12"/>
      <c r="N1019" s="12"/>
      <c r="O1019" s="13"/>
      <c r="P1019" s="13" t="s">
        <v>6031</v>
      </c>
      <c r="Q1019" s="13"/>
      <c r="R1019" s="13"/>
      <c r="S1019" s="13" t="s">
        <v>6032</v>
      </c>
      <c r="T1019" s="12" t="s">
        <v>94</v>
      </c>
      <c r="U1019" s="12" t="s">
        <v>6030</v>
      </c>
    </row>
    <row r="1020" customFormat="false" ht="31.5" hidden="false" customHeight="true" outlineLevel="0" collapsed="false">
      <c r="A1020" s="12" t="n">
        <v>847</v>
      </c>
      <c r="B1020" s="12" t="s">
        <v>2048</v>
      </c>
      <c r="C1020" s="12" t="s">
        <v>2670</v>
      </c>
      <c r="D1020" s="12" t="s">
        <v>2045</v>
      </c>
      <c r="E1020" s="12" t="s">
        <v>83</v>
      </c>
      <c r="F1020" s="12"/>
      <c r="G1020" s="12"/>
      <c r="H1020" s="12" t="s">
        <v>6033</v>
      </c>
      <c r="I1020" s="12"/>
      <c r="J1020" s="12"/>
      <c r="K1020" s="12"/>
      <c r="L1020" s="12"/>
      <c r="M1020" s="12"/>
      <c r="N1020" s="12"/>
      <c r="O1020" s="13"/>
      <c r="P1020" s="13" t="s">
        <v>6034</v>
      </c>
      <c r="Q1020" s="13"/>
      <c r="R1020" s="13"/>
      <c r="S1020" s="13" t="s">
        <v>6035</v>
      </c>
      <c r="T1020" s="12" t="s">
        <v>94</v>
      </c>
      <c r="U1020" s="12" t="s">
        <v>6030</v>
      </c>
    </row>
    <row r="1021" customFormat="false" ht="31.5" hidden="false" customHeight="true" outlineLevel="0" collapsed="false">
      <c r="A1021" s="12" t="n">
        <v>848</v>
      </c>
      <c r="B1021" s="12" t="s">
        <v>6036</v>
      </c>
      <c r="C1021" s="12" t="s">
        <v>2511</v>
      </c>
      <c r="D1021" s="12"/>
      <c r="E1021" s="12"/>
      <c r="F1021" s="12"/>
      <c r="G1021" s="12"/>
      <c r="H1021" s="12"/>
      <c r="I1021" s="12"/>
      <c r="J1021" s="12"/>
      <c r="K1021" s="12"/>
      <c r="L1021" s="12" t="n">
        <v>23.5</v>
      </c>
      <c r="M1021" s="12"/>
      <c r="N1021" s="12"/>
      <c r="O1021" s="13"/>
      <c r="P1021" s="13" t="s">
        <v>6037</v>
      </c>
      <c r="Q1021" s="13"/>
      <c r="R1021" s="13" t="s">
        <v>6038</v>
      </c>
      <c r="S1021" s="13" t="s">
        <v>6039</v>
      </c>
      <c r="T1021" s="12" t="s">
        <v>94</v>
      </c>
      <c r="U1021" s="12" t="s">
        <v>6040</v>
      </c>
    </row>
    <row r="1022" customFormat="false" ht="31.5" hidden="false" customHeight="true" outlineLevel="0" collapsed="false">
      <c r="A1022" s="12" t="n">
        <v>849</v>
      </c>
      <c r="B1022" s="12" t="s">
        <v>6041</v>
      </c>
      <c r="C1022" s="12" t="s">
        <v>2502</v>
      </c>
      <c r="D1022" s="12"/>
      <c r="E1022" s="12"/>
      <c r="F1022" s="12"/>
      <c r="G1022" s="12"/>
      <c r="H1022" s="12"/>
      <c r="I1022" s="12"/>
      <c r="J1022" s="12"/>
      <c r="K1022" s="12"/>
      <c r="L1022" s="12"/>
      <c r="M1022" s="12"/>
      <c r="N1022" s="12"/>
      <c r="O1022" s="13"/>
      <c r="P1022" s="13" t="s">
        <v>6042</v>
      </c>
      <c r="Q1022" s="13"/>
      <c r="R1022" s="13"/>
      <c r="S1022" s="13" t="s">
        <v>6043</v>
      </c>
      <c r="T1022" s="12" t="s">
        <v>94</v>
      </c>
      <c r="U1022" s="12" t="s">
        <v>6044</v>
      </c>
    </row>
    <row r="1023" customFormat="false" ht="31.5" hidden="false" customHeight="true" outlineLevel="0" collapsed="false">
      <c r="A1023" s="12" t="n">
        <v>850</v>
      </c>
      <c r="B1023" s="12" t="s">
        <v>2057</v>
      </c>
      <c r="C1023" s="12" t="s">
        <v>2557</v>
      </c>
      <c r="D1023" s="12" t="s">
        <v>792</v>
      </c>
      <c r="E1023" s="12" t="s">
        <v>83</v>
      </c>
      <c r="F1023" s="12"/>
      <c r="G1023" s="12"/>
      <c r="H1023" s="12"/>
      <c r="I1023" s="12"/>
      <c r="J1023" s="12"/>
      <c r="K1023" s="12"/>
      <c r="L1023" s="12"/>
      <c r="M1023" s="12"/>
      <c r="N1023" s="12"/>
      <c r="O1023" s="13"/>
      <c r="P1023" s="13" t="s">
        <v>6045</v>
      </c>
      <c r="Q1023" s="13"/>
      <c r="R1023" s="13"/>
      <c r="S1023" s="13" t="s">
        <v>6046</v>
      </c>
      <c r="T1023" s="12" t="s">
        <v>108</v>
      </c>
      <c r="U1023" s="12" t="s">
        <v>6047</v>
      </c>
    </row>
    <row r="1024" customFormat="false" ht="31.5" hidden="false" customHeight="true" outlineLevel="0" collapsed="false">
      <c r="A1024" s="12" t="n">
        <v>850</v>
      </c>
      <c r="B1024" s="12" t="s">
        <v>2057</v>
      </c>
      <c r="C1024" s="12" t="s">
        <v>2630</v>
      </c>
      <c r="D1024" s="12" t="s">
        <v>82</v>
      </c>
      <c r="E1024" s="12" t="s">
        <v>259</v>
      </c>
      <c r="F1024" s="12" t="n">
        <v>4.24</v>
      </c>
      <c r="G1024" s="12"/>
      <c r="H1024" s="12"/>
      <c r="I1024" s="12"/>
      <c r="J1024" s="12" t="n">
        <v>100</v>
      </c>
      <c r="K1024" s="12" t="n">
        <v>75</v>
      </c>
      <c r="L1024" s="12"/>
      <c r="M1024" s="12" t="n">
        <v>267.66</v>
      </c>
      <c r="N1024" s="12" t="n">
        <v>4.088</v>
      </c>
      <c r="O1024" s="13"/>
      <c r="P1024" s="13" t="s">
        <v>6048</v>
      </c>
      <c r="Q1024" s="13"/>
      <c r="R1024" s="13"/>
      <c r="S1024" s="13" t="s">
        <v>6049</v>
      </c>
      <c r="T1024" s="12" t="s">
        <v>108</v>
      </c>
      <c r="U1024" s="12" t="s">
        <v>6047</v>
      </c>
    </row>
    <row r="1025" customFormat="false" ht="31.5" hidden="false" customHeight="true" outlineLevel="0" collapsed="false">
      <c r="A1025" s="12" t="n">
        <v>850</v>
      </c>
      <c r="B1025" s="12" t="s">
        <v>2057</v>
      </c>
      <c r="C1025" s="12" t="s">
        <v>2670</v>
      </c>
      <c r="D1025" s="12" t="s">
        <v>82</v>
      </c>
      <c r="E1025" s="12" t="s">
        <v>259</v>
      </c>
      <c r="F1025" s="12"/>
      <c r="G1025" s="12"/>
      <c r="H1025" s="12" t="s">
        <v>6050</v>
      </c>
      <c r="I1025" s="12"/>
      <c r="J1025" s="12" t="n">
        <v>50</v>
      </c>
      <c r="K1025" s="12"/>
      <c r="L1025" s="12"/>
      <c r="M1025" s="12"/>
      <c r="N1025" s="12"/>
      <c r="O1025" s="13"/>
      <c r="P1025" s="13" t="s">
        <v>6051</v>
      </c>
      <c r="Q1025" s="13"/>
      <c r="R1025" s="13"/>
      <c r="S1025" s="13" t="s">
        <v>6052</v>
      </c>
      <c r="T1025" s="12" t="s">
        <v>94</v>
      </c>
      <c r="U1025" s="12" t="s">
        <v>6047</v>
      </c>
    </row>
    <row r="1026" customFormat="false" ht="31.5" hidden="false" customHeight="true" outlineLevel="0" collapsed="false">
      <c r="A1026" s="12" t="n">
        <v>851</v>
      </c>
      <c r="B1026" s="12" t="s">
        <v>2064</v>
      </c>
      <c r="C1026" s="12" t="s">
        <v>2521</v>
      </c>
      <c r="D1026" s="12" t="s">
        <v>113</v>
      </c>
      <c r="E1026" s="12" t="s">
        <v>83</v>
      </c>
      <c r="F1026" s="12" t="n">
        <v>63000</v>
      </c>
      <c r="G1026" s="12"/>
      <c r="H1026" s="12"/>
      <c r="I1026" s="12" t="n">
        <v>61400</v>
      </c>
      <c r="J1026" s="12"/>
      <c r="K1026" s="12"/>
      <c r="L1026" s="12"/>
      <c r="M1026" s="12"/>
      <c r="N1026" s="12"/>
      <c r="O1026" s="13"/>
      <c r="P1026" s="13" t="s">
        <v>6053</v>
      </c>
      <c r="Q1026" s="13"/>
      <c r="R1026" s="13"/>
      <c r="S1026" s="13" t="s">
        <v>6054</v>
      </c>
      <c r="T1026" s="12" t="s">
        <v>94</v>
      </c>
      <c r="U1026" s="12" t="s">
        <v>2076</v>
      </c>
    </row>
    <row r="1027" customFormat="false" ht="31.5" hidden="false" customHeight="true" outlineLevel="0" collapsed="false">
      <c r="A1027" s="12" t="n">
        <v>851</v>
      </c>
      <c r="B1027" s="12" t="s">
        <v>2064</v>
      </c>
      <c r="C1027" s="12" t="s">
        <v>2516</v>
      </c>
      <c r="D1027" s="12" t="s">
        <v>596</v>
      </c>
      <c r="E1027" s="12" t="s">
        <v>83</v>
      </c>
      <c r="F1027" s="12"/>
      <c r="G1027" s="12"/>
      <c r="H1027" s="12"/>
      <c r="I1027" s="12"/>
      <c r="J1027" s="12"/>
      <c r="K1027" s="12"/>
      <c r="L1027" s="12"/>
      <c r="M1027" s="12"/>
      <c r="N1027" s="12"/>
      <c r="O1027" s="13"/>
      <c r="P1027" s="13" t="s">
        <v>6055</v>
      </c>
      <c r="Q1027" s="13"/>
      <c r="R1027" s="13"/>
      <c r="S1027" s="13" t="s">
        <v>6056</v>
      </c>
      <c r="T1027" s="12" t="s">
        <v>94</v>
      </c>
      <c r="U1027" s="12" t="s">
        <v>2076</v>
      </c>
    </row>
    <row r="1028" customFormat="false" ht="31.5" hidden="false" customHeight="true" outlineLevel="0" collapsed="false">
      <c r="A1028" s="12" t="n">
        <v>852</v>
      </c>
      <c r="B1028" s="12" t="s">
        <v>2070</v>
      </c>
      <c r="C1028" s="12" t="s">
        <v>2521</v>
      </c>
      <c r="D1028" s="12" t="s">
        <v>596</v>
      </c>
      <c r="E1028" s="12" t="s">
        <v>83</v>
      </c>
      <c r="F1028" s="12" t="n">
        <v>52.4</v>
      </c>
      <c r="G1028" s="12" t="n">
        <v>50</v>
      </c>
      <c r="H1028" s="12"/>
      <c r="I1028" s="12" t="n">
        <v>48.6</v>
      </c>
      <c r="J1028" s="12"/>
      <c r="K1028" s="12"/>
      <c r="L1028" s="12"/>
      <c r="M1028" s="12"/>
      <c r="N1028" s="12"/>
      <c r="O1028" s="13" t="s">
        <v>6057</v>
      </c>
      <c r="P1028" s="13" t="s">
        <v>6058</v>
      </c>
      <c r="Q1028" s="13"/>
      <c r="R1028" s="13"/>
      <c r="S1028" s="13" t="s">
        <v>6059</v>
      </c>
      <c r="T1028" s="12" t="s">
        <v>94</v>
      </c>
      <c r="U1028" s="12" t="s">
        <v>6060</v>
      </c>
    </row>
    <row r="1029" customFormat="false" ht="31.5" hidden="false" customHeight="true" outlineLevel="0" collapsed="false">
      <c r="A1029" s="12" t="n">
        <v>853</v>
      </c>
      <c r="B1029" s="12" t="s">
        <v>2087</v>
      </c>
      <c r="C1029" s="12" t="s">
        <v>2549</v>
      </c>
      <c r="D1029" s="12" t="s">
        <v>99</v>
      </c>
      <c r="E1029" s="12" t="s">
        <v>259</v>
      </c>
      <c r="F1029" s="12" t="n">
        <v>1840</v>
      </c>
      <c r="G1029" s="12"/>
      <c r="H1029" s="12"/>
      <c r="I1029" s="12"/>
      <c r="J1029" s="12"/>
      <c r="K1029" s="12"/>
      <c r="L1029" s="12"/>
      <c r="M1029" s="12"/>
      <c r="N1029" s="12"/>
      <c r="O1029" s="13" t="s">
        <v>6061</v>
      </c>
      <c r="P1029" s="13" t="s">
        <v>6062</v>
      </c>
      <c r="Q1029" s="13" t="s">
        <v>336</v>
      </c>
      <c r="R1029" s="13" t="s">
        <v>2094</v>
      </c>
      <c r="S1029" s="13" t="s">
        <v>6063</v>
      </c>
      <c r="T1029" s="12" t="s">
        <v>94</v>
      </c>
      <c r="U1029" s="12" t="s">
        <v>2097</v>
      </c>
    </row>
    <row r="1030" customFormat="false" ht="31.5" hidden="false" customHeight="true" outlineLevel="0" collapsed="false">
      <c r="A1030" s="12" t="n">
        <v>854</v>
      </c>
      <c r="B1030" s="12" t="s">
        <v>6064</v>
      </c>
      <c r="C1030" s="12" t="s">
        <v>2537</v>
      </c>
      <c r="D1030" s="12" t="s">
        <v>99</v>
      </c>
      <c r="E1030" s="12" t="s">
        <v>259</v>
      </c>
      <c r="F1030" s="12"/>
      <c r="G1030" s="12" t="n">
        <v>2000</v>
      </c>
      <c r="H1030" s="12"/>
      <c r="I1030" s="12"/>
      <c r="J1030" s="12"/>
      <c r="K1030" s="12"/>
      <c r="L1030" s="12"/>
      <c r="M1030" s="12"/>
      <c r="N1030" s="12"/>
      <c r="O1030" s="13" t="s">
        <v>6065</v>
      </c>
      <c r="P1030" s="13" t="s">
        <v>6066</v>
      </c>
      <c r="Q1030" s="13"/>
      <c r="R1030" s="13"/>
      <c r="S1030" s="13" t="s">
        <v>6065</v>
      </c>
      <c r="T1030" s="12" t="s">
        <v>108</v>
      </c>
      <c r="U1030" s="12" t="s">
        <v>6067</v>
      </c>
    </row>
    <row r="1031" customFormat="false" ht="31.5" hidden="false" customHeight="true" outlineLevel="0" collapsed="false">
      <c r="A1031" s="12" t="n">
        <v>855</v>
      </c>
      <c r="B1031" s="12" t="s">
        <v>6068</v>
      </c>
      <c r="C1031" s="12" t="s">
        <v>2516</v>
      </c>
      <c r="D1031" s="12" t="s">
        <v>113</v>
      </c>
      <c r="E1031" s="12" t="s">
        <v>83</v>
      </c>
      <c r="F1031" s="12"/>
      <c r="G1031" s="12"/>
      <c r="H1031" s="12"/>
      <c r="I1031" s="12" t="n">
        <v>61400</v>
      </c>
      <c r="J1031" s="12"/>
      <c r="K1031" s="12"/>
      <c r="L1031" s="12"/>
      <c r="M1031" s="12"/>
      <c r="N1031" s="12"/>
      <c r="O1031" s="13" t="s">
        <v>6069</v>
      </c>
      <c r="P1031" s="13" t="s">
        <v>6070</v>
      </c>
      <c r="Q1031" s="13"/>
      <c r="R1031" s="13"/>
      <c r="S1031" s="13" t="s">
        <v>6071</v>
      </c>
      <c r="T1031" s="12" t="s">
        <v>94</v>
      </c>
      <c r="U1031" s="12" t="s">
        <v>6072</v>
      </c>
    </row>
    <row r="1032" customFormat="false" ht="31.5" hidden="false" customHeight="true" outlineLevel="0" collapsed="false">
      <c r="A1032" s="12" t="n">
        <v>856</v>
      </c>
      <c r="B1032" s="12" t="s">
        <v>6073</v>
      </c>
      <c r="C1032" s="12" t="s">
        <v>2581</v>
      </c>
      <c r="D1032" s="12" t="s">
        <v>113</v>
      </c>
      <c r="E1032" s="12" t="s">
        <v>83</v>
      </c>
      <c r="F1032" s="12" t="n">
        <v>62500</v>
      </c>
      <c r="G1032" s="12"/>
      <c r="H1032" s="12"/>
      <c r="I1032" s="12"/>
      <c r="J1032" s="12" t="n">
        <v>50</v>
      </c>
      <c r="K1032" s="12"/>
      <c r="L1032" s="12" t="n">
        <v>2</v>
      </c>
      <c r="M1032" s="12" t="n">
        <v>219.96</v>
      </c>
      <c r="N1032" s="12" t="n">
        <v>63500</v>
      </c>
      <c r="O1032" s="13"/>
      <c r="P1032" s="13" t="s">
        <v>6074</v>
      </c>
      <c r="Q1032" s="13"/>
      <c r="R1032" s="13"/>
      <c r="S1032" s="13" t="s">
        <v>6075</v>
      </c>
      <c r="T1032" s="12" t="s">
        <v>94</v>
      </c>
      <c r="U1032" s="12" t="s">
        <v>6076</v>
      </c>
    </row>
    <row r="1033" customFormat="false" ht="31.5" hidden="false" customHeight="true" outlineLevel="0" collapsed="false">
      <c r="A1033" s="12" t="n">
        <v>856</v>
      </c>
      <c r="B1033" s="12" t="s">
        <v>6073</v>
      </c>
      <c r="C1033" s="12" t="s">
        <v>2670</v>
      </c>
      <c r="D1033" s="12" t="s">
        <v>113</v>
      </c>
      <c r="E1033" s="12" t="s">
        <v>83</v>
      </c>
      <c r="F1033" s="12"/>
      <c r="G1033" s="12"/>
      <c r="H1033" s="12" t="s">
        <v>1358</v>
      </c>
      <c r="I1033" s="12"/>
      <c r="J1033" s="12"/>
      <c r="K1033" s="12"/>
      <c r="L1033" s="12"/>
      <c r="M1033" s="12"/>
      <c r="N1033" s="12"/>
      <c r="O1033" s="13"/>
      <c r="P1033" s="13" t="s">
        <v>6077</v>
      </c>
      <c r="Q1033" s="13"/>
      <c r="R1033" s="13"/>
      <c r="S1033" s="13" t="s">
        <v>6078</v>
      </c>
      <c r="T1033" s="12" t="s">
        <v>94</v>
      </c>
      <c r="U1033" s="12" t="s">
        <v>6076</v>
      </c>
    </row>
    <row r="1034" customFormat="false" ht="31.5" hidden="false" customHeight="true" outlineLevel="0" collapsed="false">
      <c r="A1034" s="12" t="n">
        <v>857</v>
      </c>
      <c r="B1034" s="12" t="s">
        <v>6079</v>
      </c>
      <c r="C1034" s="12" t="s">
        <v>2557</v>
      </c>
      <c r="D1034" s="12" t="s">
        <v>792</v>
      </c>
      <c r="E1034" s="12" t="s">
        <v>83</v>
      </c>
      <c r="F1034" s="12"/>
      <c r="G1034" s="12"/>
      <c r="H1034" s="12"/>
      <c r="I1034" s="12"/>
      <c r="J1034" s="12"/>
      <c r="K1034" s="12"/>
      <c r="L1034" s="12"/>
      <c r="M1034" s="12"/>
      <c r="N1034" s="12"/>
      <c r="O1034" s="13"/>
      <c r="P1034" s="13" t="s">
        <v>6080</v>
      </c>
      <c r="Q1034" s="13"/>
      <c r="R1034" s="13"/>
      <c r="S1034" s="13" t="s">
        <v>6081</v>
      </c>
      <c r="T1034" s="12" t="s">
        <v>94</v>
      </c>
      <c r="U1034" s="12" t="s">
        <v>6082</v>
      </c>
    </row>
    <row r="1035" customFormat="false" ht="31.5" hidden="false" customHeight="true" outlineLevel="0" collapsed="false">
      <c r="A1035" s="12" t="n">
        <v>858</v>
      </c>
      <c r="B1035" s="12" t="s">
        <v>2098</v>
      </c>
      <c r="C1035" s="12" t="s">
        <v>2521</v>
      </c>
      <c r="D1035" s="12" t="s">
        <v>476</v>
      </c>
      <c r="E1035" s="12" t="s">
        <v>83</v>
      </c>
      <c r="F1035" s="12" t="n">
        <v>473.5</v>
      </c>
      <c r="G1035" s="12" t="n">
        <v>460</v>
      </c>
      <c r="H1035" s="12" t="s">
        <v>2101</v>
      </c>
      <c r="I1035" s="12" t="n">
        <v>450</v>
      </c>
      <c r="J1035" s="12"/>
      <c r="K1035" s="12"/>
      <c r="L1035" s="12"/>
      <c r="M1035" s="12"/>
      <c r="N1035" s="12"/>
      <c r="O1035" s="13" t="s">
        <v>6083</v>
      </c>
      <c r="P1035" s="13" t="s">
        <v>6084</v>
      </c>
      <c r="Q1035" s="13"/>
      <c r="R1035" s="13" t="s">
        <v>6085</v>
      </c>
      <c r="S1035" s="13" t="s">
        <v>6086</v>
      </c>
      <c r="T1035" s="12" t="s">
        <v>94</v>
      </c>
      <c r="U1035" s="12" t="s">
        <v>2110</v>
      </c>
    </row>
    <row r="1036" customFormat="false" ht="31.5" hidden="false" customHeight="true" outlineLevel="0" collapsed="false">
      <c r="A1036" s="12" t="n">
        <v>859</v>
      </c>
      <c r="B1036" s="12" t="s">
        <v>2037</v>
      </c>
      <c r="C1036" s="12" t="s">
        <v>2630</v>
      </c>
      <c r="D1036" s="12" t="s">
        <v>792</v>
      </c>
      <c r="E1036" s="12" t="s">
        <v>83</v>
      </c>
      <c r="F1036" s="12"/>
      <c r="G1036" s="12"/>
      <c r="H1036" s="12"/>
      <c r="I1036" s="12"/>
      <c r="J1036" s="12" t="n">
        <v>100</v>
      </c>
      <c r="K1036" s="12"/>
      <c r="L1036" s="12"/>
      <c r="M1036" s="12"/>
      <c r="N1036" s="12" t="n">
        <v>587</v>
      </c>
      <c r="O1036" s="13"/>
      <c r="P1036" s="13" t="s">
        <v>6087</v>
      </c>
      <c r="Q1036" s="13"/>
      <c r="R1036" s="13"/>
      <c r="S1036" s="13" t="s">
        <v>6088</v>
      </c>
      <c r="T1036" s="12" t="s">
        <v>94</v>
      </c>
      <c r="U1036" s="12" t="s">
        <v>6089</v>
      </c>
    </row>
    <row r="1037" customFormat="false" ht="31.5" hidden="false" customHeight="true" outlineLevel="0" collapsed="false">
      <c r="A1037" s="12" t="n">
        <v>859</v>
      </c>
      <c r="B1037" s="12" t="s">
        <v>2037</v>
      </c>
      <c r="C1037" s="12" t="s">
        <v>2557</v>
      </c>
      <c r="D1037" s="12" t="s">
        <v>99</v>
      </c>
      <c r="E1037" s="12" t="s">
        <v>259</v>
      </c>
      <c r="F1037" s="12"/>
      <c r="G1037" s="12"/>
      <c r="H1037" s="12"/>
      <c r="I1037" s="12"/>
      <c r="J1037" s="12"/>
      <c r="K1037" s="12"/>
      <c r="L1037" s="12"/>
      <c r="M1037" s="12"/>
      <c r="N1037" s="12"/>
      <c r="O1037" s="13" t="s">
        <v>6090</v>
      </c>
      <c r="P1037" s="13" t="s">
        <v>6091</v>
      </c>
      <c r="Q1037" s="13"/>
      <c r="R1037" s="13"/>
      <c r="S1037" s="13" t="s">
        <v>6092</v>
      </c>
      <c r="T1037" s="12" t="s">
        <v>94</v>
      </c>
      <c r="U1037" s="12" t="s">
        <v>6089</v>
      </c>
    </row>
    <row r="1038" customFormat="false" ht="31.5" hidden="false" customHeight="true" outlineLevel="0" collapsed="false">
      <c r="A1038" s="12" t="n">
        <v>859</v>
      </c>
      <c r="B1038" s="12" t="s">
        <v>2037</v>
      </c>
      <c r="C1038" s="12" t="s">
        <v>2557</v>
      </c>
      <c r="D1038" s="12" t="s">
        <v>596</v>
      </c>
      <c r="E1038" s="12" t="s">
        <v>83</v>
      </c>
      <c r="F1038" s="12"/>
      <c r="G1038" s="12"/>
      <c r="H1038" s="12"/>
      <c r="I1038" s="12"/>
      <c r="J1038" s="12"/>
      <c r="K1038" s="12"/>
      <c r="L1038" s="12"/>
      <c r="M1038" s="12"/>
      <c r="N1038" s="12"/>
      <c r="O1038" s="13"/>
      <c r="P1038" s="13" t="s">
        <v>6093</v>
      </c>
      <c r="Q1038" s="13"/>
      <c r="R1038" s="13"/>
      <c r="S1038" s="13" t="s">
        <v>6094</v>
      </c>
      <c r="T1038" s="12" t="s">
        <v>94</v>
      </c>
      <c r="U1038" s="12" t="s">
        <v>6089</v>
      </c>
    </row>
    <row r="1039" customFormat="false" ht="31.5" hidden="false" customHeight="true" outlineLevel="0" collapsed="false">
      <c r="A1039" s="12" t="n">
        <v>859</v>
      </c>
      <c r="B1039" s="12" t="s">
        <v>2037</v>
      </c>
      <c r="C1039" s="12" t="s">
        <v>2557</v>
      </c>
      <c r="D1039" s="12" t="s">
        <v>476</v>
      </c>
      <c r="E1039" s="12" t="s">
        <v>83</v>
      </c>
      <c r="F1039" s="12"/>
      <c r="G1039" s="12"/>
      <c r="H1039" s="12"/>
      <c r="I1039" s="12"/>
      <c r="J1039" s="12"/>
      <c r="K1039" s="12"/>
      <c r="L1039" s="12"/>
      <c r="M1039" s="12"/>
      <c r="N1039" s="12"/>
      <c r="O1039" s="13"/>
      <c r="P1039" s="13" t="s">
        <v>6095</v>
      </c>
      <c r="Q1039" s="13"/>
      <c r="R1039" s="13"/>
      <c r="S1039" s="13" t="s">
        <v>6094</v>
      </c>
      <c r="T1039" s="12" t="s">
        <v>94</v>
      </c>
      <c r="U1039" s="12" t="s">
        <v>6089</v>
      </c>
    </row>
    <row r="1040" customFormat="false" ht="31.5" hidden="false" customHeight="true" outlineLevel="0" collapsed="false">
      <c r="A1040" s="12" t="n">
        <v>860</v>
      </c>
      <c r="B1040" s="12" t="s">
        <v>6096</v>
      </c>
      <c r="C1040" s="12" t="s">
        <v>2670</v>
      </c>
      <c r="D1040" s="12" t="s">
        <v>99</v>
      </c>
      <c r="E1040" s="12" t="s">
        <v>259</v>
      </c>
      <c r="F1040" s="12" t="n">
        <v>1840</v>
      </c>
      <c r="G1040" s="12"/>
      <c r="H1040" s="12" t="s">
        <v>2090</v>
      </c>
      <c r="I1040" s="12"/>
      <c r="J1040" s="12"/>
      <c r="K1040" s="12" t="n">
        <v>100</v>
      </c>
      <c r="L1040" s="12"/>
      <c r="M1040" s="12"/>
      <c r="N1040" s="12"/>
      <c r="O1040" s="13" t="s">
        <v>6097</v>
      </c>
      <c r="P1040" s="13" t="s">
        <v>6098</v>
      </c>
      <c r="Q1040" s="13"/>
      <c r="R1040" s="13"/>
      <c r="S1040" s="13" t="s">
        <v>6099</v>
      </c>
      <c r="T1040" s="12" t="s">
        <v>94</v>
      </c>
      <c r="U1040" s="12" t="s">
        <v>6100</v>
      </c>
    </row>
    <row r="1041" customFormat="false" ht="31.5" hidden="false" customHeight="true" outlineLevel="0" collapsed="false">
      <c r="A1041" s="12" t="n">
        <v>861</v>
      </c>
      <c r="B1041" s="12" t="s">
        <v>2111</v>
      </c>
      <c r="C1041" s="12" t="s">
        <v>2521</v>
      </c>
      <c r="D1041" s="12" t="s">
        <v>99</v>
      </c>
      <c r="E1041" s="12" t="s">
        <v>83</v>
      </c>
      <c r="F1041" s="12" t="n">
        <v>1862</v>
      </c>
      <c r="G1041" s="12"/>
      <c r="H1041" s="12" t="s">
        <v>2113</v>
      </c>
      <c r="I1041" s="12" t="n">
        <v>1832</v>
      </c>
      <c r="J1041" s="12"/>
      <c r="K1041" s="12"/>
      <c r="L1041" s="12"/>
      <c r="M1041" s="12"/>
      <c r="N1041" s="12"/>
      <c r="O1041" s="13" t="s">
        <v>2114</v>
      </c>
      <c r="P1041" s="13" t="s">
        <v>6101</v>
      </c>
      <c r="Q1041" s="13"/>
      <c r="R1041" s="13" t="s">
        <v>6102</v>
      </c>
      <c r="S1041" s="13" t="s">
        <v>6103</v>
      </c>
      <c r="T1041" s="12" t="s">
        <v>94</v>
      </c>
      <c r="U1041" s="12" t="s">
        <v>2122</v>
      </c>
    </row>
    <row r="1042" customFormat="false" ht="31.5" hidden="false" customHeight="true" outlineLevel="0" collapsed="false">
      <c r="A1042" s="12" t="n">
        <v>862</v>
      </c>
      <c r="B1042" s="12" t="s">
        <v>2104</v>
      </c>
      <c r="C1042" s="12" t="s">
        <v>2666</v>
      </c>
      <c r="D1042" s="12" t="s">
        <v>476</v>
      </c>
      <c r="E1042" s="12" t="s">
        <v>83</v>
      </c>
      <c r="F1042" s="12"/>
      <c r="G1042" s="12"/>
      <c r="H1042" s="12"/>
      <c r="I1042" s="12"/>
      <c r="J1042" s="12"/>
      <c r="K1042" s="12"/>
      <c r="L1042" s="12"/>
      <c r="M1042" s="12" t="n">
        <v>168.99</v>
      </c>
      <c r="N1042" s="12" t="n">
        <v>490</v>
      </c>
      <c r="O1042" s="13"/>
      <c r="P1042" s="13" t="s">
        <v>6104</v>
      </c>
      <c r="Q1042" s="13"/>
      <c r="R1042" s="13"/>
      <c r="S1042" s="13" t="s">
        <v>6105</v>
      </c>
      <c r="T1042" s="12" t="s">
        <v>94</v>
      </c>
      <c r="U1042" s="12" t="s">
        <v>6106</v>
      </c>
    </row>
    <row r="1043" customFormat="false" ht="31.5" hidden="false" customHeight="true" outlineLevel="0" collapsed="false">
      <c r="A1043" s="12" t="n">
        <v>863</v>
      </c>
      <c r="B1043" s="12" t="s">
        <v>6107</v>
      </c>
      <c r="C1043" s="12" t="s">
        <v>2670</v>
      </c>
      <c r="D1043" s="12" t="s">
        <v>476</v>
      </c>
      <c r="E1043" s="12" t="s">
        <v>83</v>
      </c>
      <c r="F1043" s="12"/>
      <c r="G1043" s="12"/>
      <c r="H1043" s="12" t="s">
        <v>2103</v>
      </c>
      <c r="I1043" s="12"/>
      <c r="J1043" s="12" t="n">
        <v>100</v>
      </c>
      <c r="K1043" s="12"/>
      <c r="L1043" s="12"/>
      <c r="M1043" s="12"/>
      <c r="N1043" s="12"/>
      <c r="O1043" s="13"/>
      <c r="P1043" s="13" t="s">
        <v>6108</v>
      </c>
      <c r="Q1043" s="13"/>
      <c r="R1043" s="13"/>
      <c r="S1043" s="13" t="s">
        <v>6109</v>
      </c>
      <c r="T1043" s="12" t="s">
        <v>108</v>
      </c>
      <c r="U1043" s="12" t="s">
        <v>6110</v>
      </c>
    </row>
    <row r="1044" customFormat="false" ht="31.5" hidden="false" customHeight="true" outlineLevel="0" collapsed="false">
      <c r="A1044" s="12" t="n">
        <v>864</v>
      </c>
      <c r="B1044" s="12" t="s">
        <v>2115</v>
      </c>
      <c r="C1044" s="12" t="s">
        <v>2666</v>
      </c>
      <c r="D1044" s="12" t="s">
        <v>99</v>
      </c>
      <c r="E1044" s="12" t="s">
        <v>83</v>
      </c>
      <c r="F1044" s="12"/>
      <c r="G1044" s="12"/>
      <c r="H1044" s="12"/>
      <c r="I1044" s="12"/>
      <c r="J1044" s="12"/>
      <c r="K1044" s="12"/>
      <c r="L1044" s="12"/>
      <c r="M1044" s="12" t="n">
        <v>329.17</v>
      </c>
      <c r="N1044" s="12"/>
      <c r="O1044" s="13"/>
      <c r="P1044" s="13" t="s">
        <v>6111</v>
      </c>
      <c r="Q1044" s="13"/>
      <c r="R1044" s="13"/>
      <c r="S1044" s="13" t="s">
        <v>6112</v>
      </c>
      <c r="T1044" s="12" t="s">
        <v>94</v>
      </c>
      <c r="U1044" s="12" t="s">
        <v>6113</v>
      </c>
    </row>
    <row r="1045" customFormat="false" ht="31.5" hidden="false" customHeight="true" outlineLevel="0" collapsed="false">
      <c r="A1045" s="12" t="n">
        <v>865</v>
      </c>
      <c r="B1045" s="12" t="s">
        <v>6114</v>
      </c>
      <c r="C1045" s="12" t="s">
        <v>2511</v>
      </c>
      <c r="D1045" s="12"/>
      <c r="E1045" s="12"/>
      <c r="F1045" s="12"/>
      <c r="G1045" s="12"/>
      <c r="H1045" s="12"/>
      <c r="I1045" s="12"/>
      <c r="J1045" s="12"/>
      <c r="K1045" s="12"/>
      <c r="L1045" s="12"/>
      <c r="M1045" s="12"/>
      <c r="N1045" s="12"/>
      <c r="O1045" s="13"/>
      <c r="P1045" s="13" t="s">
        <v>6115</v>
      </c>
      <c r="Q1045" s="13"/>
      <c r="R1045" s="13"/>
      <c r="S1045" s="13" t="s">
        <v>6116</v>
      </c>
      <c r="T1045" s="12" t="s">
        <v>94</v>
      </c>
      <c r="U1045" s="12" t="s">
        <v>6117</v>
      </c>
    </row>
    <row r="1046" customFormat="false" ht="31.5" hidden="false" customHeight="true" outlineLevel="0" collapsed="false">
      <c r="A1046" s="12" t="n">
        <v>865</v>
      </c>
      <c r="B1046" s="12" t="s">
        <v>6114</v>
      </c>
      <c r="C1046" s="12" t="s">
        <v>2557</v>
      </c>
      <c r="D1046" s="12" t="s">
        <v>596</v>
      </c>
      <c r="E1046" s="12" t="s">
        <v>83</v>
      </c>
      <c r="F1046" s="12"/>
      <c r="G1046" s="12"/>
      <c r="H1046" s="12"/>
      <c r="I1046" s="12"/>
      <c r="J1046" s="12"/>
      <c r="K1046" s="12"/>
      <c r="L1046" s="12"/>
      <c r="M1046" s="12"/>
      <c r="N1046" s="12"/>
      <c r="O1046" s="13"/>
      <c r="P1046" s="13" t="s">
        <v>6118</v>
      </c>
      <c r="Q1046" s="13"/>
      <c r="R1046" s="13"/>
      <c r="S1046" s="13" t="s">
        <v>6119</v>
      </c>
      <c r="T1046" s="12" t="s">
        <v>94</v>
      </c>
      <c r="U1046" s="12" t="s">
        <v>6117</v>
      </c>
    </row>
    <row r="1047" customFormat="false" ht="31.5" hidden="false" customHeight="true" outlineLevel="0" collapsed="false">
      <c r="A1047" s="12" t="n">
        <v>866</v>
      </c>
      <c r="B1047" s="12" t="s">
        <v>6120</v>
      </c>
      <c r="C1047" s="12" t="s">
        <v>2527</v>
      </c>
      <c r="D1047" s="12" t="s">
        <v>462</v>
      </c>
      <c r="E1047" s="12" t="s">
        <v>259</v>
      </c>
      <c r="F1047" s="12"/>
      <c r="G1047" s="12"/>
      <c r="H1047" s="12"/>
      <c r="I1047" s="12"/>
      <c r="J1047" s="12"/>
      <c r="K1047" s="12"/>
      <c r="L1047" s="12"/>
      <c r="M1047" s="12"/>
      <c r="N1047" s="12"/>
      <c r="O1047" s="13"/>
      <c r="P1047" s="13" t="s">
        <v>6121</v>
      </c>
      <c r="Q1047" s="13"/>
      <c r="R1047" s="13"/>
      <c r="S1047" s="13" t="s">
        <v>6122</v>
      </c>
      <c r="T1047" s="12" t="s">
        <v>94</v>
      </c>
      <c r="U1047" s="12" t="s">
        <v>6123</v>
      </c>
    </row>
    <row r="1048" customFormat="false" ht="31.5" hidden="false" customHeight="true" outlineLevel="0" collapsed="false">
      <c r="A1048" s="12" t="n">
        <v>866</v>
      </c>
      <c r="B1048" s="12" t="s">
        <v>6120</v>
      </c>
      <c r="C1048" s="12" t="s">
        <v>2516</v>
      </c>
      <c r="D1048" s="12" t="s">
        <v>113</v>
      </c>
      <c r="E1048" s="12" t="s">
        <v>259</v>
      </c>
      <c r="F1048" s="12"/>
      <c r="G1048" s="12"/>
      <c r="H1048" s="12"/>
      <c r="I1048" s="12"/>
      <c r="J1048" s="12"/>
      <c r="K1048" s="12"/>
      <c r="L1048" s="12"/>
      <c r="M1048" s="12"/>
      <c r="N1048" s="12" t="n">
        <v>64000</v>
      </c>
      <c r="O1048" s="13"/>
      <c r="P1048" s="13" t="s">
        <v>6124</v>
      </c>
      <c r="Q1048" s="13"/>
      <c r="R1048" s="13" t="s">
        <v>6125</v>
      </c>
      <c r="S1048" s="13" t="s">
        <v>6126</v>
      </c>
      <c r="T1048" s="12" t="s">
        <v>94</v>
      </c>
      <c r="U1048" s="12" t="s">
        <v>6123</v>
      </c>
    </row>
    <row r="1049" customFormat="false" ht="31.5" hidden="false" customHeight="true" outlineLevel="0" collapsed="false">
      <c r="A1049" s="12" t="n">
        <v>866</v>
      </c>
      <c r="B1049" s="12" t="s">
        <v>6120</v>
      </c>
      <c r="C1049" s="12" t="s">
        <v>2670</v>
      </c>
      <c r="D1049" s="12" t="s">
        <v>596</v>
      </c>
      <c r="E1049" s="12" t="s">
        <v>83</v>
      </c>
      <c r="F1049" s="12"/>
      <c r="G1049" s="12"/>
      <c r="H1049" s="12" t="s">
        <v>6127</v>
      </c>
      <c r="I1049" s="12"/>
      <c r="J1049" s="12"/>
      <c r="K1049" s="12"/>
      <c r="L1049" s="12"/>
      <c r="M1049" s="12"/>
      <c r="N1049" s="12"/>
      <c r="O1049" s="13"/>
      <c r="P1049" s="13" t="s">
        <v>6128</v>
      </c>
      <c r="Q1049" s="13"/>
      <c r="R1049" s="13"/>
      <c r="S1049" s="13" t="s">
        <v>6129</v>
      </c>
      <c r="T1049" s="12" t="s">
        <v>94</v>
      </c>
      <c r="U1049" s="12" t="s">
        <v>6123</v>
      </c>
    </row>
    <row r="1050" customFormat="false" ht="31.5" hidden="false" customHeight="true" outlineLevel="0" collapsed="false">
      <c r="A1050" s="12" t="n">
        <v>867</v>
      </c>
      <c r="B1050" s="12" t="s">
        <v>6130</v>
      </c>
      <c r="C1050" s="12" t="s">
        <v>2516</v>
      </c>
      <c r="D1050" s="12" t="s">
        <v>113</v>
      </c>
      <c r="E1050" s="12" t="s">
        <v>83</v>
      </c>
      <c r="F1050" s="12" t="n">
        <v>61800</v>
      </c>
      <c r="G1050" s="12"/>
      <c r="H1050" s="12"/>
      <c r="I1050" s="12"/>
      <c r="J1050" s="12"/>
      <c r="K1050" s="12"/>
      <c r="L1050" s="12"/>
      <c r="M1050" s="12"/>
      <c r="N1050" s="12"/>
      <c r="O1050" s="13"/>
      <c r="P1050" s="13" t="s">
        <v>6131</v>
      </c>
      <c r="Q1050" s="13"/>
      <c r="R1050" s="13"/>
      <c r="S1050" s="13" t="s">
        <v>6132</v>
      </c>
      <c r="T1050" s="12" t="s">
        <v>94</v>
      </c>
      <c r="U1050" s="12" t="s">
        <v>6133</v>
      </c>
    </row>
    <row r="1051" customFormat="false" ht="31.5" hidden="false" customHeight="true" outlineLevel="0" collapsed="false">
      <c r="A1051" s="12" t="n">
        <v>867</v>
      </c>
      <c r="B1051" s="12" t="s">
        <v>6130</v>
      </c>
      <c r="C1051" s="12" t="s">
        <v>2557</v>
      </c>
      <c r="D1051" s="12" t="s">
        <v>99</v>
      </c>
      <c r="E1051" s="12" t="s">
        <v>259</v>
      </c>
      <c r="F1051" s="12"/>
      <c r="G1051" s="12"/>
      <c r="H1051" s="12"/>
      <c r="I1051" s="12"/>
      <c r="J1051" s="12"/>
      <c r="K1051" s="12"/>
      <c r="L1051" s="12"/>
      <c r="M1051" s="12"/>
      <c r="N1051" s="12"/>
      <c r="O1051" s="13"/>
      <c r="P1051" s="13" t="s">
        <v>6134</v>
      </c>
      <c r="Q1051" s="13"/>
      <c r="R1051" s="13" t="s">
        <v>6135</v>
      </c>
      <c r="S1051" s="13" t="s">
        <v>6136</v>
      </c>
      <c r="T1051" s="12" t="s">
        <v>94</v>
      </c>
      <c r="U1051" s="12" t="s">
        <v>6133</v>
      </c>
    </row>
    <row r="1052" customFormat="false" ht="31.5" hidden="false" customHeight="true" outlineLevel="0" collapsed="false">
      <c r="A1052" s="12" t="n">
        <v>867</v>
      </c>
      <c r="B1052" s="12" t="s">
        <v>6130</v>
      </c>
      <c r="C1052" s="12" t="s">
        <v>2557</v>
      </c>
      <c r="D1052" s="12" t="s">
        <v>596</v>
      </c>
      <c r="E1052" s="12" t="s">
        <v>83</v>
      </c>
      <c r="F1052" s="12"/>
      <c r="G1052" s="12"/>
      <c r="H1052" s="12"/>
      <c r="I1052" s="12"/>
      <c r="J1052" s="12"/>
      <c r="K1052" s="12"/>
      <c r="L1052" s="12"/>
      <c r="M1052" s="12"/>
      <c r="N1052" s="12"/>
      <c r="O1052" s="13"/>
      <c r="P1052" s="13" t="s">
        <v>6137</v>
      </c>
      <c r="Q1052" s="13"/>
      <c r="R1052" s="13"/>
      <c r="S1052" s="13" t="s">
        <v>6138</v>
      </c>
      <c r="T1052" s="12" t="s">
        <v>94</v>
      </c>
      <c r="U1052" s="12" t="s">
        <v>6133</v>
      </c>
    </row>
    <row r="1053" customFormat="false" ht="31.5" hidden="false" customHeight="true" outlineLevel="0" collapsed="false">
      <c r="A1053" s="12" t="n">
        <v>868</v>
      </c>
      <c r="B1053" s="12" t="s">
        <v>2123</v>
      </c>
      <c r="C1053" s="12" t="s">
        <v>2516</v>
      </c>
      <c r="D1053" s="12" t="s">
        <v>476</v>
      </c>
      <c r="E1053" s="12" t="s">
        <v>83</v>
      </c>
      <c r="F1053" s="12" t="n">
        <v>480</v>
      </c>
      <c r="G1053" s="12"/>
      <c r="H1053" s="12"/>
      <c r="I1053" s="12"/>
      <c r="J1053" s="12"/>
      <c r="K1053" s="12"/>
      <c r="L1053" s="12"/>
      <c r="M1053" s="12"/>
      <c r="N1053" s="12"/>
      <c r="O1053" s="13"/>
      <c r="P1053" s="13" t="s">
        <v>6139</v>
      </c>
      <c r="Q1053" s="13"/>
      <c r="R1053" s="13"/>
      <c r="S1053" s="13" t="s">
        <v>6140</v>
      </c>
      <c r="T1053" s="12" t="s">
        <v>94</v>
      </c>
      <c r="U1053" s="12" t="s">
        <v>2135</v>
      </c>
    </row>
    <row r="1054" customFormat="false" ht="31.5" hidden="false" customHeight="true" outlineLevel="0" collapsed="false">
      <c r="A1054" s="12" t="n">
        <v>869</v>
      </c>
      <c r="B1054" s="12" t="s">
        <v>2128</v>
      </c>
      <c r="C1054" s="12" t="s">
        <v>2521</v>
      </c>
      <c r="D1054" s="12" t="s">
        <v>476</v>
      </c>
      <c r="E1054" s="12" t="s">
        <v>83</v>
      </c>
      <c r="F1054" s="12" t="n">
        <v>482</v>
      </c>
      <c r="G1054" s="12"/>
      <c r="H1054" s="12" t="s">
        <v>2125</v>
      </c>
      <c r="I1054" s="12" t="n">
        <v>460</v>
      </c>
      <c r="J1054" s="12"/>
      <c r="K1054" s="12"/>
      <c r="L1054" s="12"/>
      <c r="M1054" s="12"/>
      <c r="N1054" s="12"/>
      <c r="O1054" s="13" t="s">
        <v>6141</v>
      </c>
      <c r="P1054" s="13" t="s">
        <v>6142</v>
      </c>
      <c r="Q1054" s="13"/>
      <c r="R1054" s="13"/>
      <c r="S1054" s="13" t="s">
        <v>6143</v>
      </c>
      <c r="T1054" s="12" t="s">
        <v>94</v>
      </c>
      <c r="U1054" s="12" t="s">
        <v>6144</v>
      </c>
    </row>
    <row r="1055" customFormat="false" ht="31.5" hidden="false" customHeight="true" outlineLevel="0" collapsed="false">
      <c r="A1055" s="12" t="n">
        <v>870</v>
      </c>
      <c r="B1055" s="12" t="s">
        <v>6145</v>
      </c>
      <c r="C1055" s="12" t="s">
        <v>2557</v>
      </c>
      <c r="D1055" s="12" t="s">
        <v>113</v>
      </c>
      <c r="E1055" s="12" t="s">
        <v>83</v>
      </c>
      <c r="F1055" s="12" t="n">
        <v>62512.3</v>
      </c>
      <c r="G1055" s="12"/>
      <c r="H1055" s="12"/>
      <c r="I1055" s="12"/>
      <c r="J1055" s="12"/>
      <c r="K1055" s="12" t="n">
        <v>500</v>
      </c>
      <c r="L1055" s="12"/>
      <c r="M1055" s="12" t="n">
        <v>516.91</v>
      </c>
      <c r="N1055" s="12" t="n">
        <v>63220</v>
      </c>
      <c r="O1055" s="13"/>
      <c r="P1055" s="13" t="s">
        <v>6146</v>
      </c>
      <c r="Q1055" s="13"/>
      <c r="R1055" s="13"/>
      <c r="S1055" s="13" t="s">
        <v>6147</v>
      </c>
      <c r="T1055" s="12" t="s">
        <v>108</v>
      </c>
      <c r="U1055" s="12" t="s">
        <v>6148</v>
      </c>
    </row>
    <row r="1056" customFormat="false" ht="31.5" hidden="false" customHeight="true" outlineLevel="0" collapsed="false">
      <c r="A1056" s="12" t="n">
        <v>871</v>
      </c>
      <c r="B1056" s="12" t="s">
        <v>6149</v>
      </c>
      <c r="C1056" s="12" t="s">
        <v>2630</v>
      </c>
      <c r="D1056" s="12" t="s">
        <v>596</v>
      </c>
      <c r="E1056" s="12" t="s">
        <v>83</v>
      </c>
      <c r="F1056" s="12"/>
      <c r="G1056" s="12"/>
      <c r="H1056" s="12"/>
      <c r="I1056" s="12"/>
      <c r="J1056" s="12" t="n">
        <v>100</v>
      </c>
      <c r="K1056" s="12"/>
      <c r="L1056" s="12"/>
      <c r="M1056" s="12" t="n">
        <v>109.69</v>
      </c>
      <c r="N1056" s="12" t="n">
        <v>53.5</v>
      </c>
      <c r="O1056" s="13"/>
      <c r="P1056" s="13" t="s">
        <v>6150</v>
      </c>
      <c r="Q1056" s="13"/>
      <c r="R1056" s="13"/>
      <c r="S1056" s="13" t="s">
        <v>6151</v>
      </c>
      <c r="T1056" s="12" t="s">
        <v>108</v>
      </c>
      <c r="U1056" s="12" t="s">
        <v>6152</v>
      </c>
    </row>
    <row r="1057" customFormat="false" ht="31.5" hidden="false" customHeight="true" outlineLevel="0" collapsed="false">
      <c r="A1057" s="12" t="n">
        <v>871</v>
      </c>
      <c r="B1057" s="12" t="s">
        <v>6149</v>
      </c>
      <c r="C1057" s="12" t="s">
        <v>2670</v>
      </c>
      <c r="D1057" s="12" t="s">
        <v>596</v>
      </c>
      <c r="E1057" s="12" t="s">
        <v>83</v>
      </c>
      <c r="F1057" s="12"/>
      <c r="G1057" s="12"/>
      <c r="H1057" s="12" t="s">
        <v>6153</v>
      </c>
      <c r="I1057" s="12"/>
      <c r="J1057" s="12"/>
      <c r="K1057" s="12"/>
      <c r="L1057" s="12"/>
      <c r="M1057" s="12"/>
      <c r="N1057" s="12"/>
      <c r="O1057" s="13"/>
      <c r="P1057" s="13" t="s">
        <v>6154</v>
      </c>
      <c r="Q1057" s="13"/>
      <c r="R1057" s="13"/>
      <c r="S1057" s="13" t="s">
        <v>6155</v>
      </c>
      <c r="T1057" s="12" t="s">
        <v>94</v>
      </c>
      <c r="U1057" s="12" t="s">
        <v>6152</v>
      </c>
    </row>
    <row r="1058" customFormat="false" ht="31.5" hidden="false" customHeight="true" outlineLevel="0" collapsed="false">
      <c r="A1058" s="12" t="n">
        <v>872</v>
      </c>
      <c r="B1058" s="12" t="s">
        <v>6156</v>
      </c>
      <c r="C1058" s="12" t="s">
        <v>2588</v>
      </c>
      <c r="D1058" s="12" t="s">
        <v>476</v>
      </c>
      <c r="E1058" s="12" t="s">
        <v>83</v>
      </c>
      <c r="F1058" s="12" t="n">
        <v>482</v>
      </c>
      <c r="G1058" s="12"/>
      <c r="H1058" s="12"/>
      <c r="I1058" s="12" t="n">
        <v>482</v>
      </c>
      <c r="J1058" s="12"/>
      <c r="K1058" s="12"/>
      <c r="L1058" s="12"/>
      <c r="M1058" s="12" t="n">
        <v>91.49</v>
      </c>
      <c r="N1058" s="12"/>
      <c r="O1058" s="13"/>
      <c r="P1058" s="13" t="s">
        <v>6157</v>
      </c>
      <c r="Q1058" s="13"/>
      <c r="R1058" s="13"/>
      <c r="S1058" s="13" t="s">
        <v>6158</v>
      </c>
      <c r="T1058" s="12" t="s">
        <v>94</v>
      </c>
      <c r="U1058" s="12" t="s">
        <v>6159</v>
      </c>
    </row>
    <row r="1059" customFormat="false" ht="31.5" hidden="false" customHeight="true" outlineLevel="0" collapsed="false">
      <c r="A1059" s="12" t="n">
        <v>873</v>
      </c>
      <c r="B1059" s="12" t="s">
        <v>2071</v>
      </c>
      <c r="C1059" s="12" t="s">
        <v>2666</v>
      </c>
      <c r="D1059" s="12" t="s">
        <v>596</v>
      </c>
      <c r="E1059" s="12" t="s">
        <v>83</v>
      </c>
      <c r="F1059" s="12"/>
      <c r="G1059" s="12"/>
      <c r="H1059" s="12" t="s">
        <v>6127</v>
      </c>
      <c r="I1059" s="12"/>
      <c r="J1059" s="12" t="n">
        <v>100</v>
      </c>
      <c r="K1059" s="12"/>
      <c r="L1059" s="12"/>
      <c r="M1059" s="12"/>
      <c r="N1059" s="12" t="n">
        <v>54</v>
      </c>
      <c r="O1059" s="13"/>
      <c r="P1059" s="13" t="s">
        <v>6160</v>
      </c>
      <c r="Q1059" s="13"/>
      <c r="R1059" s="13"/>
      <c r="S1059" s="13" t="s">
        <v>6161</v>
      </c>
      <c r="T1059" s="12" t="s">
        <v>94</v>
      </c>
      <c r="U1059" s="12" t="s">
        <v>6162</v>
      </c>
    </row>
    <row r="1060" customFormat="false" ht="31.5" hidden="false" customHeight="true" outlineLevel="0" collapsed="false">
      <c r="A1060" s="12" t="n">
        <v>873</v>
      </c>
      <c r="B1060" s="12" t="s">
        <v>2071</v>
      </c>
      <c r="C1060" s="12" t="s">
        <v>2670</v>
      </c>
      <c r="D1060" s="12" t="s">
        <v>596</v>
      </c>
      <c r="E1060" s="12" t="s">
        <v>83</v>
      </c>
      <c r="F1060" s="12"/>
      <c r="G1060" s="12"/>
      <c r="H1060" s="12" t="s">
        <v>6163</v>
      </c>
      <c r="I1060" s="12"/>
      <c r="J1060" s="12" t="n">
        <v>50</v>
      </c>
      <c r="K1060" s="12"/>
      <c r="L1060" s="12"/>
      <c r="M1060" s="12"/>
      <c r="N1060" s="12"/>
      <c r="O1060" s="13"/>
      <c r="P1060" s="13" t="s">
        <v>6164</v>
      </c>
      <c r="Q1060" s="13"/>
      <c r="R1060" s="13"/>
      <c r="S1060" s="13" t="s">
        <v>6165</v>
      </c>
      <c r="T1060" s="12" t="s">
        <v>94</v>
      </c>
      <c r="U1060" s="12" t="s">
        <v>6162</v>
      </c>
    </row>
    <row r="1061" customFormat="false" ht="31.5" hidden="false" customHeight="true" outlineLevel="0" collapsed="false">
      <c r="A1061" s="12" t="n">
        <v>874</v>
      </c>
      <c r="B1061" s="12" t="s">
        <v>2136</v>
      </c>
      <c r="C1061" s="12" t="s">
        <v>2511</v>
      </c>
      <c r="D1061" s="12"/>
      <c r="E1061" s="12"/>
      <c r="F1061" s="12"/>
      <c r="G1061" s="12"/>
      <c r="H1061" s="12"/>
      <c r="I1061" s="12"/>
      <c r="J1061" s="12"/>
      <c r="K1061" s="12"/>
      <c r="L1061" s="12"/>
      <c r="M1061" s="12"/>
      <c r="N1061" s="12"/>
      <c r="O1061" s="13"/>
      <c r="P1061" s="13" t="s">
        <v>6166</v>
      </c>
      <c r="Q1061" s="13"/>
      <c r="R1061" s="13" t="s">
        <v>6167</v>
      </c>
      <c r="S1061" s="13" t="s">
        <v>6168</v>
      </c>
      <c r="T1061" s="12" t="s">
        <v>94</v>
      </c>
      <c r="U1061" s="12" t="s">
        <v>2145</v>
      </c>
    </row>
    <row r="1062" customFormat="false" ht="31.5" hidden="false" customHeight="true" outlineLevel="0" collapsed="false">
      <c r="A1062" s="12" t="n">
        <v>874</v>
      </c>
      <c r="B1062" s="12" t="s">
        <v>2136</v>
      </c>
      <c r="C1062" s="12" t="s">
        <v>2557</v>
      </c>
      <c r="D1062" s="12" t="s">
        <v>1395</v>
      </c>
      <c r="E1062" s="12" t="s">
        <v>83</v>
      </c>
      <c r="F1062" s="12" t="n">
        <v>107.82</v>
      </c>
      <c r="G1062" s="12"/>
      <c r="H1062" s="12"/>
      <c r="I1062" s="12"/>
      <c r="J1062" s="12"/>
      <c r="K1062" s="12"/>
      <c r="L1062" s="12"/>
      <c r="M1062" s="12" t="n">
        <v>89.38</v>
      </c>
      <c r="N1062" s="12" t="n">
        <v>112.01</v>
      </c>
      <c r="O1062" s="13"/>
      <c r="P1062" s="13" t="s">
        <v>6169</v>
      </c>
      <c r="Q1062" s="13"/>
      <c r="R1062" s="13"/>
      <c r="S1062" s="13" t="s">
        <v>6170</v>
      </c>
      <c r="T1062" s="12" t="s">
        <v>108</v>
      </c>
      <c r="U1062" s="12" t="s">
        <v>2145</v>
      </c>
    </row>
    <row r="1063" customFormat="false" ht="31.5" hidden="false" customHeight="true" outlineLevel="0" collapsed="false">
      <c r="A1063" s="12" t="n">
        <v>875</v>
      </c>
      <c r="B1063" s="12" t="s">
        <v>6171</v>
      </c>
      <c r="C1063" s="12" t="s">
        <v>2516</v>
      </c>
      <c r="D1063" s="12" t="s">
        <v>113</v>
      </c>
      <c r="E1063" s="12" t="s">
        <v>259</v>
      </c>
      <c r="F1063" s="12"/>
      <c r="G1063" s="12"/>
      <c r="H1063" s="12"/>
      <c r="I1063" s="12"/>
      <c r="J1063" s="12"/>
      <c r="K1063" s="12"/>
      <c r="L1063" s="12"/>
      <c r="M1063" s="12"/>
      <c r="N1063" s="12" t="n">
        <v>64000</v>
      </c>
      <c r="O1063" s="13"/>
      <c r="P1063" s="13" t="s">
        <v>6172</v>
      </c>
      <c r="Q1063" s="13"/>
      <c r="R1063" s="13"/>
      <c r="S1063" s="13" t="s">
        <v>6173</v>
      </c>
      <c r="T1063" s="12" t="s">
        <v>94</v>
      </c>
      <c r="U1063" s="12" t="s">
        <v>6174</v>
      </c>
    </row>
    <row r="1064" customFormat="false" ht="31.5" hidden="false" customHeight="true" outlineLevel="0" collapsed="false">
      <c r="A1064" s="12" t="n">
        <v>876</v>
      </c>
      <c r="B1064" s="12" t="s">
        <v>6175</v>
      </c>
      <c r="C1064" s="12" t="s">
        <v>2581</v>
      </c>
      <c r="D1064" s="12" t="s">
        <v>1395</v>
      </c>
      <c r="E1064" s="12" t="s">
        <v>83</v>
      </c>
      <c r="F1064" s="12" t="n">
        <v>107.83</v>
      </c>
      <c r="G1064" s="12"/>
      <c r="H1064" s="12"/>
      <c r="I1064" s="12"/>
      <c r="J1064" s="12"/>
      <c r="K1064" s="12"/>
      <c r="L1064" s="12"/>
      <c r="M1064" s="12" t="n">
        <v>153.02</v>
      </c>
      <c r="N1064" s="12" t="n">
        <v>115</v>
      </c>
      <c r="O1064" s="13"/>
      <c r="P1064" s="13" t="s">
        <v>6176</v>
      </c>
      <c r="Q1064" s="13"/>
      <c r="R1064" s="13"/>
      <c r="S1064" s="13" t="s">
        <v>6177</v>
      </c>
      <c r="T1064" s="12" t="s">
        <v>108</v>
      </c>
      <c r="U1064" s="12" t="s">
        <v>6178</v>
      </c>
    </row>
    <row r="1065" customFormat="false" ht="31.5" hidden="false" customHeight="true" outlineLevel="0" collapsed="false">
      <c r="A1065" s="12" t="n">
        <v>877</v>
      </c>
      <c r="B1065" s="12" t="s">
        <v>6179</v>
      </c>
      <c r="C1065" s="12" t="s">
        <v>2502</v>
      </c>
      <c r="D1065" s="12"/>
      <c r="E1065" s="12"/>
      <c r="F1065" s="12"/>
      <c r="G1065" s="12"/>
      <c r="H1065" s="12"/>
      <c r="I1065" s="12"/>
      <c r="J1065" s="12"/>
      <c r="K1065" s="12"/>
      <c r="L1065" s="12"/>
      <c r="M1065" s="12"/>
      <c r="N1065" s="12"/>
      <c r="O1065" s="13"/>
      <c r="P1065" s="13" t="s">
        <v>6180</v>
      </c>
      <c r="Q1065" s="13"/>
      <c r="R1065" s="13"/>
      <c r="S1065" s="13" t="s">
        <v>6181</v>
      </c>
      <c r="T1065" s="12" t="s">
        <v>94</v>
      </c>
      <c r="U1065" s="12" t="s">
        <v>6182</v>
      </c>
    </row>
    <row r="1066" customFormat="false" ht="31.5" hidden="false" customHeight="true" outlineLevel="0" collapsed="false">
      <c r="A1066" s="12" t="n">
        <v>878</v>
      </c>
      <c r="B1066" s="12" t="s">
        <v>6183</v>
      </c>
      <c r="C1066" s="12" t="s">
        <v>2516</v>
      </c>
      <c r="D1066" s="12" t="s">
        <v>113</v>
      </c>
      <c r="E1066" s="12" t="s">
        <v>83</v>
      </c>
      <c r="F1066" s="12"/>
      <c r="G1066" s="12"/>
      <c r="H1066" s="12"/>
      <c r="I1066" s="12"/>
      <c r="J1066" s="12"/>
      <c r="K1066" s="12"/>
      <c r="L1066" s="12"/>
      <c r="M1066" s="12"/>
      <c r="N1066" s="12" t="n">
        <v>64500</v>
      </c>
      <c r="O1066" s="13"/>
      <c r="P1066" s="13" t="s">
        <v>6184</v>
      </c>
      <c r="Q1066" s="13"/>
      <c r="R1066" s="13" t="s">
        <v>6185</v>
      </c>
      <c r="S1066" s="13" t="s">
        <v>6186</v>
      </c>
      <c r="T1066" s="12" t="s">
        <v>94</v>
      </c>
      <c r="U1066" s="12" t="s">
        <v>6187</v>
      </c>
    </row>
    <row r="1067" customFormat="false" ht="31.5" hidden="false" customHeight="true" outlineLevel="0" collapsed="false">
      <c r="A1067" s="12" t="n">
        <v>879</v>
      </c>
      <c r="B1067" s="12" t="s">
        <v>2146</v>
      </c>
      <c r="C1067" s="12" t="s">
        <v>2521</v>
      </c>
      <c r="D1067" s="12" t="s">
        <v>99</v>
      </c>
      <c r="E1067" s="12" t="s">
        <v>83</v>
      </c>
      <c r="F1067" s="12" t="n">
        <v>1867</v>
      </c>
      <c r="G1067" s="12" t="n">
        <v>1846</v>
      </c>
      <c r="H1067" s="12" t="s">
        <v>2149</v>
      </c>
      <c r="I1067" s="12" t="n">
        <v>1806</v>
      </c>
      <c r="J1067" s="12"/>
      <c r="K1067" s="12"/>
      <c r="L1067" s="12"/>
      <c r="M1067" s="12"/>
      <c r="N1067" s="12"/>
      <c r="O1067" s="13" t="s">
        <v>2150</v>
      </c>
      <c r="P1067" s="13" t="s">
        <v>6188</v>
      </c>
      <c r="Q1067" s="13"/>
      <c r="R1067" s="13"/>
      <c r="S1067" s="13" t="s">
        <v>6189</v>
      </c>
      <c r="T1067" s="12" t="s">
        <v>94</v>
      </c>
      <c r="U1067" s="12" t="s">
        <v>2158</v>
      </c>
    </row>
    <row r="1068" customFormat="false" ht="31.5" hidden="false" customHeight="true" outlineLevel="0" collapsed="false">
      <c r="A1068" s="12" t="n">
        <v>880</v>
      </c>
      <c r="B1068" s="12" t="s">
        <v>6190</v>
      </c>
      <c r="C1068" s="12" t="s">
        <v>2527</v>
      </c>
      <c r="D1068" s="12" t="s">
        <v>113</v>
      </c>
      <c r="E1068" s="12" t="s">
        <v>83</v>
      </c>
      <c r="F1068" s="12"/>
      <c r="G1068" s="12"/>
      <c r="H1068" s="12"/>
      <c r="I1068" s="12"/>
      <c r="J1068" s="12"/>
      <c r="K1068" s="12"/>
      <c r="L1068" s="12"/>
      <c r="M1068" s="12"/>
      <c r="N1068" s="12" t="n">
        <v>64400</v>
      </c>
      <c r="O1068" s="13"/>
      <c r="P1068" s="13" t="s">
        <v>6191</v>
      </c>
      <c r="Q1068" s="13"/>
      <c r="R1068" s="13"/>
      <c r="S1068" s="13" t="s">
        <v>6192</v>
      </c>
      <c r="T1068" s="12" t="s">
        <v>94</v>
      </c>
      <c r="U1068" s="12" t="s">
        <v>6193</v>
      </c>
    </row>
    <row r="1069" customFormat="false" ht="31.5" hidden="false" customHeight="true" outlineLevel="0" collapsed="false">
      <c r="A1069" s="12" t="n">
        <v>880</v>
      </c>
      <c r="B1069" s="12" t="s">
        <v>6190</v>
      </c>
      <c r="C1069" s="12" t="s">
        <v>2557</v>
      </c>
      <c r="D1069" s="12" t="s">
        <v>99</v>
      </c>
      <c r="E1069" s="12" t="s">
        <v>83</v>
      </c>
      <c r="F1069" s="12"/>
      <c r="G1069" s="12"/>
      <c r="H1069" s="12" t="s">
        <v>2149</v>
      </c>
      <c r="I1069" s="12"/>
      <c r="J1069" s="12"/>
      <c r="K1069" s="12"/>
      <c r="L1069" s="12"/>
      <c r="M1069" s="12"/>
      <c r="N1069" s="12"/>
      <c r="O1069" s="13"/>
      <c r="P1069" s="13" t="s">
        <v>6194</v>
      </c>
      <c r="Q1069" s="13"/>
      <c r="R1069" s="13"/>
      <c r="S1069" s="13" t="s">
        <v>6195</v>
      </c>
      <c r="T1069" s="12" t="s">
        <v>108</v>
      </c>
      <c r="U1069" s="12" t="s">
        <v>6193</v>
      </c>
    </row>
    <row r="1070" customFormat="false" ht="31.5" hidden="false" customHeight="true" outlineLevel="0" collapsed="false">
      <c r="A1070" s="12" t="n">
        <v>881</v>
      </c>
      <c r="B1070" s="12" t="s">
        <v>6196</v>
      </c>
      <c r="C1070" s="12" t="s">
        <v>2557</v>
      </c>
      <c r="D1070" s="12" t="s">
        <v>1395</v>
      </c>
      <c r="E1070" s="12" t="s">
        <v>83</v>
      </c>
      <c r="F1070" s="12" t="n">
        <v>107.82</v>
      </c>
      <c r="G1070" s="12"/>
      <c r="H1070" s="12"/>
      <c r="I1070" s="12"/>
      <c r="J1070" s="12"/>
      <c r="K1070" s="12"/>
      <c r="L1070" s="12"/>
      <c r="M1070" s="12" t="n">
        <v>300.55</v>
      </c>
      <c r="N1070" s="12" t="n">
        <v>121.91</v>
      </c>
      <c r="O1070" s="13"/>
      <c r="P1070" s="13" t="s">
        <v>6197</v>
      </c>
      <c r="Q1070" s="13" t="s">
        <v>2141</v>
      </c>
      <c r="R1070" s="13" t="s">
        <v>2142</v>
      </c>
      <c r="S1070" s="13" t="s">
        <v>6198</v>
      </c>
      <c r="T1070" s="12" t="s">
        <v>94</v>
      </c>
      <c r="U1070" s="12" t="s">
        <v>6199</v>
      </c>
    </row>
    <row r="1071" customFormat="false" ht="31.5" hidden="false" customHeight="true" outlineLevel="0" collapsed="false">
      <c r="A1071" s="12" t="n">
        <v>882</v>
      </c>
      <c r="B1071" s="12" t="s">
        <v>6200</v>
      </c>
      <c r="C1071" s="12" t="s">
        <v>2581</v>
      </c>
      <c r="D1071" s="12" t="s">
        <v>1395</v>
      </c>
      <c r="E1071" s="12" t="s">
        <v>83</v>
      </c>
      <c r="F1071" s="12" t="n">
        <v>107.82</v>
      </c>
      <c r="G1071" s="12"/>
      <c r="H1071" s="12"/>
      <c r="I1071" s="12"/>
      <c r="J1071" s="12" t="n">
        <v>20</v>
      </c>
      <c r="K1071" s="12"/>
      <c r="L1071" s="12"/>
      <c r="M1071" s="12" t="n">
        <v>402.08</v>
      </c>
      <c r="N1071" s="12" t="n">
        <v>126.67</v>
      </c>
      <c r="O1071" s="13"/>
      <c r="P1071" s="13" t="s">
        <v>6201</v>
      </c>
      <c r="Q1071" s="13"/>
      <c r="R1071" s="13"/>
      <c r="S1071" s="13" t="s">
        <v>6202</v>
      </c>
      <c r="T1071" s="12" t="s">
        <v>94</v>
      </c>
      <c r="U1071" s="12" t="s">
        <v>6203</v>
      </c>
    </row>
    <row r="1072" customFormat="false" ht="31.5" hidden="false" customHeight="true" outlineLevel="0" collapsed="false">
      <c r="A1072" s="12" t="n">
        <v>883</v>
      </c>
      <c r="B1072" s="12" t="s">
        <v>6204</v>
      </c>
      <c r="C1072" s="12" t="s">
        <v>2557</v>
      </c>
      <c r="D1072" s="12" t="s">
        <v>113</v>
      </c>
      <c r="E1072" s="12"/>
      <c r="F1072" s="12"/>
      <c r="G1072" s="12"/>
      <c r="H1072" s="12"/>
      <c r="I1072" s="12"/>
      <c r="J1072" s="12"/>
      <c r="K1072" s="12"/>
      <c r="L1072" s="12"/>
      <c r="M1072" s="12"/>
      <c r="N1072" s="12" t="n">
        <v>64500</v>
      </c>
      <c r="O1072" s="13"/>
      <c r="P1072" s="13" t="s">
        <v>6205</v>
      </c>
      <c r="Q1072" s="13"/>
      <c r="R1072" s="13"/>
      <c r="S1072" s="13" t="s">
        <v>6206</v>
      </c>
      <c r="T1072" s="12" t="s">
        <v>94</v>
      </c>
      <c r="U1072" s="12" t="s">
        <v>6207</v>
      </c>
    </row>
    <row r="1073" customFormat="false" ht="31.5" hidden="false" customHeight="true" outlineLevel="0" collapsed="false">
      <c r="A1073" s="12" t="n">
        <v>883</v>
      </c>
      <c r="B1073" s="12" t="s">
        <v>6204</v>
      </c>
      <c r="C1073" s="12" t="s">
        <v>2537</v>
      </c>
      <c r="D1073" s="12" t="s">
        <v>99</v>
      </c>
      <c r="E1073" s="12" t="s">
        <v>83</v>
      </c>
      <c r="F1073" s="12"/>
      <c r="G1073" s="12" t="n">
        <v>1946</v>
      </c>
      <c r="H1073" s="12"/>
      <c r="I1073" s="12"/>
      <c r="J1073" s="12"/>
      <c r="K1073" s="12"/>
      <c r="L1073" s="12"/>
      <c r="M1073" s="12"/>
      <c r="N1073" s="12"/>
      <c r="O1073" s="13" t="s">
        <v>6208</v>
      </c>
      <c r="P1073" s="13" t="s">
        <v>6209</v>
      </c>
      <c r="Q1073" s="13" t="s">
        <v>2154</v>
      </c>
      <c r="R1073" s="13" t="s">
        <v>6210</v>
      </c>
      <c r="S1073" s="13" t="s">
        <v>6211</v>
      </c>
      <c r="T1073" s="12" t="s">
        <v>108</v>
      </c>
      <c r="U1073" s="12" t="s">
        <v>6207</v>
      </c>
    </row>
    <row r="1074" customFormat="false" ht="31.5" hidden="false" customHeight="true" outlineLevel="0" collapsed="false">
      <c r="A1074" s="12" t="n">
        <v>884</v>
      </c>
      <c r="B1074" s="12" t="s">
        <v>2159</v>
      </c>
      <c r="C1074" s="12" t="s">
        <v>2549</v>
      </c>
      <c r="D1074" s="12" t="s">
        <v>142</v>
      </c>
      <c r="E1074" s="12" t="s">
        <v>259</v>
      </c>
      <c r="F1074" s="12" t="n">
        <v>4162</v>
      </c>
      <c r="G1074" s="12"/>
      <c r="H1074" s="12"/>
      <c r="I1074" s="12" t="n">
        <v>4269</v>
      </c>
      <c r="J1074" s="12"/>
      <c r="K1074" s="12"/>
      <c r="L1074" s="12"/>
      <c r="M1074" s="12"/>
      <c r="N1074" s="12"/>
      <c r="O1074" s="13" t="s">
        <v>6212</v>
      </c>
      <c r="P1074" s="13" t="s">
        <v>6213</v>
      </c>
      <c r="Q1074" s="13"/>
      <c r="R1074" s="13"/>
      <c r="S1074" s="13" t="s">
        <v>6214</v>
      </c>
      <c r="T1074" s="12" t="s">
        <v>94</v>
      </c>
      <c r="U1074" s="12" t="s">
        <v>2170</v>
      </c>
    </row>
    <row r="1075" customFormat="false" ht="31.5" hidden="false" customHeight="true" outlineLevel="0" collapsed="false">
      <c r="A1075" s="12" t="n">
        <v>885</v>
      </c>
      <c r="B1075" s="12" t="s">
        <v>6215</v>
      </c>
      <c r="C1075" s="12" t="s">
        <v>2537</v>
      </c>
      <c r="D1075" s="12" t="s">
        <v>142</v>
      </c>
      <c r="E1075" s="12" t="s">
        <v>259</v>
      </c>
      <c r="F1075" s="12"/>
      <c r="G1075" s="12" t="n">
        <v>4209</v>
      </c>
      <c r="H1075" s="12"/>
      <c r="I1075" s="12"/>
      <c r="J1075" s="12" t="n">
        <v>30</v>
      </c>
      <c r="K1075" s="12"/>
      <c r="L1075" s="12"/>
      <c r="M1075" s="12"/>
      <c r="N1075" s="12"/>
      <c r="O1075" s="13"/>
      <c r="P1075" s="13" t="s">
        <v>6216</v>
      </c>
      <c r="Q1075" s="13"/>
      <c r="R1075" s="13"/>
      <c r="S1075" s="13" t="s">
        <v>6217</v>
      </c>
      <c r="T1075" s="12" t="s">
        <v>108</v>
      </c>
      <c r="U1075" s="12" t="s">
        <v>6218</v>
      </c>
    </row>
    <row r="1076" customFormat="false" ht="31.5" hidden="false" customHeight="true" outlineLevel="0" collapsed="false">
      <c r="A1076" s="12" t="n">
        <v>885</v>
      </c>
      <c r="B1076" s="12" t="s">
        <v>6215</v>
      </c>
      <c r="C1076" s="12" t="s">
        <v>2588</v>
      </c>
      <c r="D1076" s="12" t="s">
        <v>142</v>
      </c>
      <c r="E1076" s="12" t="s">
        <v>259</v>
      </c>
      <c r="F1076" s="12"/>
      <c r="G1076" s="12"/>
      <c r="H1076" s="12"/>
      <c r="I1076" s="12" t="n">
        <v>4280</v>
      </c>
      <c r="J1076" s="12"/>
      <c r="K1076" s="12"/>
      <c r="L1076" s="12"/>
      <c r="M1076" s="12"/>
      <c r="N1076" s="12"/>
      <c r="O1076" s="13"/>
      <c r="P1076" s="13" t="s">
        <v>6219</v>
      </c>
      <c r="Q1076" s="13"/>
      <c r="R1076" s="13"/>
      <c r="S1076" s="13" t="s">
        <v>6220</v>
      </c>
      <c r="T1076" s="12" t="s">
        <v>108</v>
      </c>
      <c r="U1076" s="12" t="s">
        <v>6218</v>
      </c>
    </row>
    <row r="1077" customFormat="false" ht="31.5" hidden="false" customHeight="true" outlineLevel="0" collapsed="false">
      <c r="A1077" s="12" t="n">
        <v>886</v>
      </c>
      <c r="B1077" s="12" t="s">
        <v>2151</v>
      </c>
      <c r="C1077" s="12" t="s">
        <v>2630</v>
      </c>
      <c r="D1077" s="12" t="s">
        <v>99</v>
      </c>
      <c r="E1077" s="12" t="s">
        <v>83</v>
      </c>
      <c r="F1077" s="12"/>
      <c r="G1077" s="12"/>
      <c r="H1077" s="12"/>
      <c r="I1077" s="12"/>
      <c r="J1077" s="12" t="n">
        <v>100</v>
      </c>
      <c r="K1077" s="12"/>
      <c r="L1077" s="12"/>
      <c r="M1077" s="12" t="n">
        <v>114.52</v>
      </c>
      <c r="N1077" s="12" t="n">
        <v>1882</v>
      </c>
      <c r="O1077" s="13"/>
      <c r="P1077" s="13" t="s">
        <v>6221</v>
      </c>
      <c r="Q1077" s="13"/>
      <c r="R1077" s="13"/>
      <c r="S1077" s="13" t="s">
        <v>6222</v>
      </c>
      <c r="T1077" s="12" t="s">
        <v>94</v>
      </c>
      <c r="U1077" s="12" t="s">
        <v>6223</v>
      </c>
    </row>
    <row r="1078" customFormat="false" ht="31.5" hidden="false" customHeight="true" outlineLevel="0" collapsed="false">
      <c r="A1078" s="12" t="n">
        <v>886</v>
      </c>
      <c r="B1078" s="12" t="s">
        <v>2151</v>
      </c>
      <c r="C1078" s="12" t="s">
        <v>2588</v>
      </c>
      <c r="D1078" s="12" t="s">
        <v>99</v>
      </c>
      <c r="E1078" s="12" t="s">
        <v>83</v>
      </c>
      <c r="F1078" s="12" t="n">
        <v>1867</v>
      </c>
      <c r="G1078" s="12"/>
      <c r="H1078" s="12"/>
      <c r="I1078" s="12" t="n">
        <v>1867</v>
      </c>
      <c r="J1078" s="12"/>
      <c r="K1078" s="12"/>
      <c r="L1078" s="12"/>
      <c r="M1078" s="12"/>
      <c r="N1078" s="12"/>
      <c r="O1078" s="13"/>
      <c r="P1078" s="13" t="s">
        <v>6224</v>
      </c>
      <c r="Q1078" s="13"/>
      <c r="R1078" s="13"/>
      <c r="S1078" s="13" t="s">
        <v>6225</v>
      </c>
      <c r="T1078" s="12" t="s">
        <v>94</v>
      </c>
      <c r="U1078" s="12" t="s">
        <v>6223</v>
      </c>
    </row>
    <row r="1079" customFormat="false" ht="31.5" hidden="false" customHeight="true" outlineLevel="0" collapsed="false">
      <c r="A1079" s="12" t="n">
        <v>886</v>
      </c>
      <c r="B1079" s="12" t="s">
        <v>2151</v>
      </c>
      <c r="C1079" s="12" t="s">
        <v>2670</v>
      </c>
      <c r="D1079" s="12" t="s">
        <v>99</v>
      </c>
      <c r="E1079" s="12" t="s">
        <v>83</v>
      </c>
      <c r="F1079" s="12"/>
      <c r="G1079" s="12"/>
      <c r="H1079" s="12" t="s">
        <v>6226</v>
      </c>
      <c r="I1079" s="12"/>
      <c r="J1079" s="12"/>
      <c r="K1079" s="12"/>
      <c r="L1079" s="12"/>
      <c r="M1079" s="12"/>
      <c r="N1079" s="12"/>
      <c r="O1079" s="13"/>
      <c r="P1079" s="13" t="s">
        <v>6227</v>
      </c>
      <c r="Q1079" s="13"/>
      <c r="R1079" s="13"/>
      <c r="S1079" s="13" t="s">
        <v>6228</v>
      </c>
      <c r="T1079" s="12" t="s">
        <v>94</v>
      </c>
      <c r="U1079" s="12" t="s">
        <v>6223</v>
      </c>
    </row>
    <row r="1080" customFormat="false" ht="31.5" hidden="false" customHeight="true" outlineLevel="0" collapsed="false">
      <c r="A1080" s="12" t="n">
        <v>887</v>
      </c>
      <c r="B1080" s="12" t="s">
        <v>2081</v>
      </c>
      <c r="C1080" s="12" t="s">
        <v>2666</v>
      </c>
      <c r="D1080" s="12" t="s">
        <v>113</v>
      </c>
      <c r="E1080" s="12" t="s">
        <v>83</v>
      </c>
      <c r="F1080" s="12"/>
      <c r="G1080" s="12"/>
      <c r="H1080" s="12"/>
      <c r="I1080" s="12"/>
      <c r="J1080" s="12"/>
      <c r="K1080" s="12" t="n">
        <v>500</v>
      </c>
      <c r="L1080" s="12"/>
      <c r="M1080" s="12" t="n">
        <v>501.92</v>
      </c>
      <c r="N1080" s="12" t="n">
        <v>64500</v>
      </c>
      <c r="O1080" s="13"/>
      <c r="P1080" s="13" t="s">
        <v>6229</v>
      </c>
      <c r="Q1080" s="13"/>
      <c r="R1080" s="13"/>
      <c r="S1080" s="13" t="s">
        <v>6230</v>
      </c>
      <c r="T1080" s="12" t="s">
        <v>94</v>
      </c>
      <c r="U1080" s="12" t="s">
        <v>6231</v>
      </c>
    </row>
    <row r="1081" customFormat="false" ht="31.5" hidden="false" customHeight="true" outlineLevel="0" collapsed="false">
      <c r="A1081" s="12" t="n">
        <v>888</v>
      </c>
      <c r="B1081" s="12" t="s">
        <v>2171</v>
      </c>
      <c r="C1081" s="12" t="s">
        <v>2557</v>
      </c>
      <c r="D1081" s="12" t="s">
        <v>142</v>
      </c>
      <c r="E1081" s="12" t="s">
        <v>259</v>
      </c>
      <c r="F1081" s="12" t="n">
        <v>4182</v>
      </c>
      <c r="G1081" s="12"/>
      <c r="H1081" s="12"/>
      <c r="I1081" s="12"/>
      <c r="J1081" s="12"/>
      <c r="K1081" s="12"/>
      <c r="L1081" s="12"/>
      <c r="M1081" s="12"/>
      <c r="N1081" s="12"/>
      <c r="O1081" s="13"/>
      <c r="P1081" s="13" t="s">
        <v>6232</v>
      </c>
      <c r="Q1081" s="13"/>
      <c r="R1081" s="13"/>
      <c r="S1081" s="13" t="s">
        <v>6233</v>
      </c>
      <c r="T1081" s="12" t="s">
        <v>94</v>
      </c>
      <c r="U1081" s="12" t="s">
        <v>2177</v>
      </c>
    </row>
    <row r="1082" customFormat="false" ht="31.5" hidden="false" customHeight="true" outlineLevel="0" collapsed="false">
      <c r="A1082" s="12" t="n">
        <v>888</v>
      </c>
      <c r="B1082" s="12" t="s">
        <v>2171</v>
      </c>
      <c r="C1082" s="12" t="s">
        <v>2516</v>
      </c>
      <c r="D1082" s="12" t="s">
        <v>596</v>
      </c>
      <c r="E1082" s="12" t="s">
        <v>259</v>
      </c>
      <c r="F1082" s="12" t="n">
        <v>58.5</v>
      </c>
      <c r="G1082" s="12"/>
      <c r="H1082" s="12"/>
      <c r="I1082" s="12"/>
      <c r="J1082" s="12"/>
      <c r="K1082" s="12"/>
      <c r="L1082" s="12"/>
      <c r="M1082" s="12"/>
      <c r="N1082" s="12" t="n">
        <v>57.3</v>
      </c>
      <c r="O1082" s="13"/>
      <c r="P1082" s="13" t="s">
        <v>6234</v>
      </c>
      <c r="Q1082" s="13"/>
      <c r="R1082" s="13"/>
      <c r="S1082" s="13" t="s">
        <v>6235</v>
      </c>
      <c r="T1082" s="12" t="s">
        <v>94</v>
      </c>
      <c r="U1082" s="12" t="s">
        <v>2177</v>
      </c>
    </row>
    <row r="1083" customFormat="false" ht="31.5" hidden="false" customHeight="true" outlineLevel="0" collapsed="false">
      <c r="A1083" s="12" t="n">
        <v>889</v>
      </c>
      <c r="B1083" s="12" t="s">
        <v>2129</v>
      </c>
      <c r="C1083" s="12" t="s">
        <v>128</v>
      </c>
      <c r="D1083" s="12" t="s">
        <v>476</v>
      </c>
      <c r="E1083" s="12" t="s">
        <v>83</v>
      </c>
      <c r="F1083" s="12" t="n">
        <v>482</v>
      </c>
      <c r="G1083" s="12"/>
      <c r="H1083" s="12" t="s">
        <v>2125</v>
      </c>
      <c r="I1083" s="12" t="n">
        <v>482</v>
      </c>
      <c r="J1083" s="12"/>
      <c r="K1083" s="12"/>
      <c r="L1083" s="12"/>
      <c r="M1083" s="12"/>
      <c r="N1083" s="12"/>
      <c r="O1083" s="13"/>
      <c r="P1083" s="13" t="s">
        <v>6236</v>
      </c>
      <c r="Q1083" s="13" t="s">
        <v>2132</v>
      </c>
      <c r="R1083" s="13"/>
      <c r="S1083" s="13" t="s">
        <v>6237</v>
      </c>
      <c r="T1083" s="12" t="s">
        <v>94</v>
      </c>
      <c r="U1083" s="12" t="s">
        <v>6238</v>
      </c>
    </row>
    <row r="1084" customFormat="false" ht="31.5" hidden="false" customHeight="true" outlineLevel="0" collapsed="false">
      <c r="A1084" s="12" t="n">
        <v>890</v>
      </c>
      <c r="B1084" s="12" t="s">
        <v>6239</v>
      </c>
      <c r="C1084" s="12" t="s">
        <v>2557</v>
      </c>
      <c r="D1084" s="12" t="s">
        <v>792</v>
      </c>
      <c r="E1084" s="12" t="s">
        <v>83</v>
      </c>
      <c r="F1084" s="12"/>
      <c r="G1084" s="12"/>
      <c r="H1084" s="12"/>
      <c r="I1084" s="12"/>
      <c r="J1084" s="12"/>
      <c r="K1084" s="12"/>
      <c r="L1084" s="12"/>
      <c r="M1084" s="12"/>
      <c r="N1084" s="12" t="n">
        <v>599.41</v>
      </c>
      <c r="O1084" s="13"/>
      <c r="P1084" s="13" t="s">
        <v>6240</v>
      </c>
      <c r="Q1084" s="13"/>
      <c r="R1084" s="13"/>
      <c r="S1084" s="13" t="s">
        <v>6241</v>
      </c>
      <c r="T1084" s="12" t="s">
        <v>94</v>
      </c>
      <c r="U1084" s="12" t="s">
        <v>6242</v>
      </c>
    </row>
    <row r="1085" customFormat="false" ht="31.5" hidden="false" customHeight="true" outlineLevel="0" collapsed="false">
      <c r="A1085" s="12" t="n">
        <v>891</v>
      </c>
      <c r="B1085" s="12" t="s">
        <v>2178</v>
      </c>
      <c r="C1085" s="12" t="s">
        <v>2521</v>
      </c>
      <c r="D1085" s="12" t="s">
        <v>99</v>
      </c>
      <c r="E1085" s="12" t="s">
        <v>83</v>
      </c>
      <c r="F1085" s="12" t="n">
        <v>1870</v>
      </c>
      <c r="G1085" s="12"/>
      <c r="H1085" s="12"/>
      <c r="I1085" s="12" t="n">
        <v>1830</v>
      </c>
      <c r="J1085" s="12"/>
      <c r="K1085" s="12"/>
      <c r="L1085" s="12"/>
      <c r="M1085" s="12"/>
      <c r="N1085" s="12"/>
      <c r="O1085" s="13" t="s">
        <v>2180</v>
      </c>
      <c r="P1085" s="13" t="s">
        <v>6243</v>
      </c>
      <c r="Q1085" s="13"/>
      <c r="R1085" s="13"/>
      <c r="S1085" s="13" t="s">
        <v>6244</v>
      </c>
      <c r="T1085" s="12" t="s">
        <v>94</v>
      </c>
      <c r="U1085" s="12" t="s">
        <v>2188</v>
      </c>
    </row>
    <row r="1086" customFormat="false" ht="31.5" hidden="false" customHeight="true" outlineLevel="0" collapsed="false">
      <c r="A1086" s="12" t="n">
        <v>892</v>
      </c>
      <c r="B1086" s="12" t="s">
        <v>6245</v>
      </c>
      <c r="C1086" s="12" t="s">
        <v>2537</v>
      </c>
      <c r="D1086" s="12" t="s">
        <v>99</v>
      </c>
      <c r="E1086" s="12" t="s">
        <v>83</v>
      </c>
      <c r="F1086" s="12"/>
      <c r="G1086" s="12" t="n">
        <v>1852</v>
      </c>
      <c r="H1086" s="12"/>
      <c r="I1086" s="12"/>
      <c r="J1086" s="12"/>
      <c r="K1086" s="12"/>
      <c r="L1086" s="12"/>
      <c r="M1086" s="12"/>
      <c r="N1086" s="12"/>
      <c r="O1086" s="13"/>
      <c r="P1086" s="13" t="s">
        <v>6246</v>
      </c>
      <c r="Q1086" s="13" t="s">
        <v>2184</v>
      </c>
      <c r="R1086" s="13"/>
      <c r="S1086" s="13" t="s">
        <v>6247</v>
      </c>
      <c r="T1086" s="12" t="s">
        <v>94</v>
      </c>
      <c r="U1086" s="12" t="s">
        <v>6248</v>
      </c>
    </row>
    <row r="1087" customFormat="false" ht="31.5" hidden="false" customHeight="true" outlineLevel="0" collapsed="false">
      <c r="A1087" s="12" t="n">
        <v>893</v>
      </c>
      <c r="B1087" s="12" t="s">
        <v>6249</v>
      </c>
      <c r="C1087" s="12" t="s">
        <v>2557</v>
      </c>
      <c r="D1087" s="12" t="s">
        <v>99</v>
      </c>
      <c r="E1087" s="12" t="s">
        <v>83</v>
      </c>
      <c r="F1087" s="12"/>
      <c r="G1087" s="12"/>
      <c r="H1087" s="12"/>
      <c r="I1087" s="12"/>
      <c r="J1087" s="12"/>
      <c r="K1087" s="12"/>
      <c r="L1087" s="12"/>
      <c r="M1087" s="12"/>
      <c r="N1087" s="12"/>
      <c r="O1087" s="13"/>
      <c r="P1087" s="13" t="s">
        <v>6250</v>
      </c>
      <c r="Q1087" s="13"/>
      <c r="R1087" s="13"/>
      <c r="S1087" s="13" t="s">
        <v>6251</v>
      </c>
      <c r="T1087" s="12" t="s">
        <v>108</v>
      </c>
      <c r="U1087" s="12" t="s">
        <v>6252</v>
      </c>
    </row>
    <row r="1088" customFormat="false" ht="31.5" hidden="false" customHeight="true" outlineLevel="0" collapsed="false">
      <c r="A1088" s="12" t="n">
        <v>894</v>
      </c>
      <c r="B1088" s="12" t="s">
        <v>2181</v>
      </c>
      <c r="C1088" s="12" t="s">
        <v>2630</v>
      </c>
      <c r="D1088" s="12" t="s">
        <v>99</v>
      </c>
      <c r="E1088" s="12" t="s">
        <v>83</v>
      </c>
      <c r="F1088" s="12" t="n">
        <v>1871.53</v>
      </c>
      <c r="G1088" s="12"/>
      <c r="H1088" s="12"/>
      <c r="I1088" s="12"/>
      <c r="J1088" s="12" t="n">
        <v>100</v>
      </c>
      <c r="K1088" s="12"/>
      <c r="L1088" s="12"/>
      <c r="M1088" s="12" t="n">
        <v>200.26</v>
      </c>
      <c r="N1088" s="12" t="n">
        <v>1890.27</v>
      </c>
      <c r="O1088" s="13"/>
      <c r="P1088" s="13" t="s">
        <v>6253</v>
      </c>
      <c r="Q1088" s="13"/>
      <c r="R1088" s="13"/>
      <c r="S1088" s="13" t="s">
        <v>6254</v>
      </c>
      <c r="T1088" s="12" t="s">
        <v>94</v>
      </c>
      <c r="U1088" s="12" t="s">
        <v>6255</v>
      </c>
    </row>
    <row r="1089" customFormat="false" ht="31.5" hidden="false" customHeight="true" outlineLevel="0" collapsed="false">
      <c r="A1089" s="12" t="n">
        <v>895</v>
      </c>
      <c r="B1089" s="12" t="s">
        <v>6256</v>
      </c>
      <c r="C1089" s="12" t="s">
        <v>2506</v>
      </c>
      <c r="D1089" s="12"/>
      <c r="E1089" s="12"/>
      <c r="F1089" s="12"/>
      <c r="G1089" s="12"/>
      <c r="H1089" s="12"/>
      <c r="I1089" s="12"/>
      <c r="J1089" s="12"/>
      <c r="K1089" s="12"/>
      <c r="L1089" s="12"/>
      <c r="M1089" s="12"/>
      <c r="N1089" s="12"/>
      <c r="O1089" s="13"/>
      <c r="P1089" s="13" t="s">
        <v>6257</v>
      </c>
      <c r="Q1089" s="13"/>
      <c r="R1089" s="13" t="s">
        <v>6258</v>
      </c>
      <c r="S1089" s="13" t="s">
        <v>6259</v>
      </c>
      <c r="T1089" s="12" t="s">
        <v>108</v>
      </c>
      <c r="U1089" s="12" t="s">
        <v>6260</v>
      </c>
    </row>
    <row r="1090" customFormat="false" ht="31.5" hidden="false" customHeight="true" outlineLevel="0" collapsed="false">
      <c r="A1090" s="12" t="n">
        <v>896</v>
      </c>
      <c r="B1090" s="12" t="s">
        <v>2189</v>
      </c>
      <c r="C1090" s="12" t="s">
        <v>2521</v>
      </c>
      <c r="D1090" s="12" t="s">
        <v>99</v>
      </c>
      <c r="E1090" s="12" t="s">
        <v>259</v>
      </c>
      <c r="F1090" s="12" t="n">
        <v>1920</v>
      </c>
      <c r="G1090" s="12"/>
      <c r="H1090" s="12"/>
      <c r="I1090" s="12" t="n">
        <v>1950</v>
      </c>
      <c r="J1090" s="12"/>
      <c r="K1090" s="12"/>
      <c r="L1090" s="12"/>
      <c r="M1090" s="12"/>
      <c r="N1090" s="12"/>
      <c r="O1090" s="13" t="s">
        <v>6261</v>
      </c>
      <c r="P1090" s="13" t="s">
        <v>6262</v>
      </c>
      <c r="Q1090" s="13"/>
      <c r="R1090" s="13"/>
      <c r="S1090" s="13" t="s">
        <v>6263</v>
      </c>
      <c r="T1090" s="12" t="s">
        <v>94</v>
      </c>
      <c r="U1090" s="12" t="s">
        <v>2197</v>
      </c>
    </row>
    <row r="1091" customFormat="false" ht="31.5" hidden="false" customHeight="true" outlineLevel="0" collapsed="false">
      <c r="A1091" s="12" t="n">
        <v>897</v>
      </c>
      <c r="B1091" s="12" t="s">
        <v>2164</v>
      </c>
      <c r="C1091" s="12" t="s">
        <v>2564</v>
      </c>
      <c r="D1091" s="12" t="s">
        <v>142</v>
      </c>
      <c r="E1091" s="12" t="s">
        <v>259</v>
      </c>
      <c r="F1091" s="12"/>
      <c r="G1091" s="12"/>
      <c r="H1091" s="12"/>
      <c r="I1091" s="12"/>
      <c r="J1091" s="12"/>
      <c r="K1091" s="12"/>
      <c r="L1091" s="12"/>
      <c r="M1091" s="12"/>
      <c r="N1091" s="12"/>
      <c r="O1091" s="13"/>
      <c r="P1091" s="13" t="s">
        <v>6264</v>
      </c>
      <c r="Q1091" s="13"/>
      <c r="R1091" s="13"/>
      <c r="S1091" s="13" t="s">
        <v>6265</v>
      </c>
      <c r="T1091" s="12" t="s">
        <v>94</v>
      </c>
      <c r="U1091" s="12" t="s">
        <v>6266</v>
      </c>
    </row>
    <row r="1092" customFormat="false" ht="31.5" hidden="false" customHeight="true" outlineLevel="0" collapsed="false">
      <c r="A1092" s="12" t="n">
        <v>897</v>
      </c>
      <c r="B1092" s="12" t="s">
        <v>2164</v>
      </c>
      <c r="C1092" s="12" t="s">
        <v>2527</v>
      </c>
      <c r="D1092" s="12" t="s">
        <v>142</v>
      </c>
      <c r="E1092" s="12" t="s">
        <v>259</v>
      </c>
      <c r="F1092" s="12"/>
      <c r="G1092" s="12"/>
      <c r="H1092" s="12"/>
      <c r="I1092" s="12"/>
      <c r="J1092" s="12"/>
      <c r="K1092" s="12"/>
      <c r="L1092" s="12"/>
      <c r="M1092" s="12"/>
      <c r="N1092" s="12" t="n">
        <v>4350</v>
      </c>
      <c r="O1092" s="13"/>
      <c r="P1092" s="13" t="s">
        <v>6267</v>
      </c>
      <c r="Q1092" s="13"/>
      <c r="R1092" s="13"/>
      <c r="S1092" s="13" t="s">
        <v>6268</v>
      </c>
      <c r="T1092" s="12" t="s">
        <v>94</v>
      </c>
      <c r="U1092" s="12" t="s">
        <v>6266</v>
      </c>
    </row>
    <row r="1093" customFormat="false" ht="31.5" hidden="false" customHeight="true" outlineLevel="0" collapsed="false">
      <c r="A1093" s="12" t="n">
        <v>898</v>
      </c>
      <c r="B1093" s="12" t="s">
        <v>2198</v>
      </c>
      <c r="C1093" s="12" t="s">
        <v>2549</v>
      </c>
      <c r="D1093" s="12" t="s">
        <v>113</v>
      </c>
      <c r="E1093" s="12" t="s">
        <v>259</v>
      </c>
      <c r="F1093" s="12" t="n">
        <v>64823</v>
      </c>
      <c r="G1093" s="12"/>
      <c r="H1093" s="12"/>
      <c r="I1093" s="12" t="n">
        <v>66000</v>
      </c>
      <c r="J1093" s="12"/>
      <c r="K1093" s="12"/>
      <c r="L1093" s="12"/>
      <c r="M1093" s="12" t="n">
        <v>14.93</v>
      </c>
      <c r="N1093" s="12" t="n">
        <v>64774.6</v>
      </c>
      <c r="O1093" s="13" t="s">
        <v>6269</v>
      </c>
      <c r="P1093" s="13" t="s">
        <v>6270</v>
      </c>
      <c r="Q1093" s="13"/>
      <c r="R1093" s="13"/>
      <c r="S1093" s="13" t="s">
        <v>6271</v>
      </c>
      <c r="T1093" s="12" t="s">
        <v>94</v>
      </c>
      <c r="U1093" s="12" t="s">
        <v>2214</v>
      </c>
    </row>
    <row r="1094" customFormat="false" ht="31.5" hidden="false" customHeight="true" outlineLevel="0" collapsed="false">
      <c r="A1094" s="12" t="n">
        <v>898</v>
      </c>
      <c r="B1094" s="12" t="s">
        <v>2198</v>
      </c>
      <c r="C1094" s="12" t="s">
        <v>2557</v>
      </c>
      <c r="D1094" s="12" t="s">
        <v>99</v>
      </c>
      <c r="E1094" s="12" t="s">
        <v>259</v>
      </c>
      <c r="F1094" s="12"/>
      <c r="G1094" s="12"/>
      <c r="H1094" s="12"/>
      <c r="I1094" s="12"/>
      <c r="J1094" s="12"/>
      <c r="K1094" s="12"/>
      <c r="L1094" s="12" t="n">
        <v>1</v>
      </c>
      <c r="M1094" s="12"/>
      <c r="N1094" s="12"/>
      <c r="O1094" s="13"/>
      <c r="P1094" s="13" t="s">
        <v>6272</v>
      </c>
      <c r="Q1094" s="13"/>
      <c r="R1094" s="13"/>
      <c r="S1094" s="13" t="s">
        <v>6273</v>
      </c>
      <c r="T1094" s="12" t="s">
        <v>94</v>
      </c>
      <c r="U1094" s="12" t="s">
        <v>2214</v>
      </c>
    </row>
    <row r="1095" customFormat="false" ht="31.5" hidden="false" customHeight="true" outlineLevel="0" collapsed="false">
      <c r="A1095" s="12" t="n">
        <v>899</v>
      </c>
      <c r="B1095" s="12" t="s">
        <v>2192</v>
      </c>
      <c r="C1095" s="12" t="s">
        <v>2630</v>
      </c>
      <c r="D1095" s="12" t="s">
        <v>99</v>
      </c>
      <c r="E1095" s="12" t="s">
        <v>259</v>
      </c>
      <c r="F1095" s="12"/>
      <c r="G1095" s="12"/>
      <c r="H1095" s="12"/>
      <c r="I1095" s="12"/>
      <c r="J1095" s="12" t="n">
        <v>100</v>
      </c>
      <c r="K1095" s="12" t="n">
        <v>300</v>
      </c>
      <c r="L1095" s="12" t="n">
        <v>1</v>
      </c>
      <c r="M1095" s="12" t="n">
        <v>235.1</v>
      </c>
      <c r="N1095" s="12" t="n">
        <v>1892</v>
      </c>
      <c r="O1095" s="13"/>
      <c r="P1095" s="13" t="s">
        <v>6274</v>
      </c>
      <c r="Q1095" s="13"/>
      <c r="R1095" s="13"/>
      <c r="S1095" s="13" t="s">
        <v>6275</v>
      </c>
      <c r="T1095" s="12" t="s">
        <v>94</v>
      </c>
      <c r="U1095" s="12" t="s">
        <v>6276</v>
      </c>
    </row>
    <row r="1096" customFormat="false" ht="31.5" hidden="false" customHeight="true" outlineLevel="0" collapsed="false">
      <c r="A1096" s="12" t="n">
        <v>899</v>
      </c>
      <c r="B1096" s="12" t="s">
        <v>2192</v>
      </c>
      <c r="C1096" s="12" t="s">
        <v>2670</v>
      </c>
      <c r="D1096" s="12" t="s">
        <v>99</v>
      </c>
      <c r="E1096" s="12" t="s">
        <v>259</v>
      </c>
      <c r="F1096" s="12"/>
      <c r="G1096" s="12"/>
      <c r="H1096" s="12" t="s">
        <v>6277</v>
      </c>
      <c r="I1096" s="12"/>
      <c r="J1096" s="12" t="n">
        <v>50</v>
      </c>
      <c r="K1096" s="12"/>
      <c r="L1096" s="12"/>
      <c r="M1096" s="12"/>
      <c r="N1096" s="12"/>
      <c r="O1096" s="13"/>
      <c r="P1096" s="13" t="s">
        <v>6278</v>
      </c>
      <c r="Q1096" s="13"/>
      <c r="R1096" s="13"/>
      <c r="S1096" s="13" t="s">
        <v>6279</v>
      </c>
      <c r="T1096" s="12" t="s">
        <v>94</v>
      </c>
      <c r="U1096" s="12" t="s">
        <v>6276</v>
      </c>
    </row>
    <row r="1097" customFormat="false" ht="31.5" hidden="false" customHeight="true" outlineLevel="0" collapsed="false">
      <c r="A1097" s="12" t="n">
        <v>900</v>
      </c>
      <c r="B1097" s="12" t="s">
        <v>6280</v>
      </c>
      <c r="C1097" s="12" t="s">
        <v>2670</v>
      </c>
      <c r="D1097" s="12" t="s">
        <v>113</v>
      </c>
      <c r="E1097" s="12" t="s">
        <v>259</v>
      </c>
      <c r="F1097" s="12"/>
      <c r="G1097" s="12"/>
      <c r="H1097" s="12" t="s">
        <v>6281</v>
      </c>
      <c r="I1097" s="12"/>
      <c r="J1097" s="12"/>
      <c r="K1097" s="12"/>
      <c r="L1097" s="12"/>
      <c r="M1097" s="12"/>
      <c r="N1097" s="12"/>
      <c r="O1097" s="13"/>
      <c r="P1097" s="13" t="s">
        <v>6282</v>
      </c>
      <c r="Q1097" s="13"/>
      <c r="R1097" s="13"/>
      <c r="S1097" s="13" t="s">
        <v>6283</v>
      </c>
      <c r="T1097" s="12" t="s">
        <v>94</v>
      </c>
      <c r="U1097" s="12" t="s">
        <v>6284</v>
      </c>
    </row>
    <row r="1098" customFormat="false" ht="31.5" hidden="false" customHeight="true" outlineLevel="0" collapsed="false">
      <c r="A1098" s="12" t="n">
        <v>901</v>
      </c>
      <c r="B1098" s="12" t="s">
        <v>2215</v>
      </c>
      <c r="C1098" s="12" t="s">
        <v>2557</v>
      </c>
      <c r="D1098" s="12" t="s">
        <v>142</v>
      </c>
      <c r="E1098" s="12" t="s">
        <v>259</v>
      </c>
      <c r="F1098" s="12" t="n">
        <v>4350</v>
      </c>
      <c r="G1098" s="12"/>
      <c r="H1098" s="12"/>
      <c r="I1098" s="12"/>
      <c r="J1098" s="12"/>
      <c r="K1098" s="12"/>
      <c r="L1098" s="12"/>
      <c r="M1098" s="12"/>
      <c r="N1098" s="12"/>
      <c r="O1098" s="13"/>
      <c r="P1098" s="13" t="s">
        <v>6285</v>
      </c>
      <c r="Q1098" s="13"/>
      <c r="R1098" s="13"/>
      <c r="S1098" s="13" t="s">
        <v>6286</v>
      </c>
      <c r="T1098" s="12" t="s">
        <v>94</v>
      </c>
      <c r="U1098" s="12" t="s">
        <v>2222</v>
      </c>
    </row>
    <row r="1099" customFormat="false" ht="31.5" hidden="false" customHeight="true" outlineLevel="0" collapsed="false">
      <c r="A1099" s="12" t="n">
        <v>901</v>
      </c>
      <c r="B1099" s="12" t="s">
        <v>2215</v>
      </c>
      <c r="C1099" s="12" t="s">
        <v>2557</v>
      </c>
      <c r="D1099" s="12" t="s">
        <v>596</v>
      </c>
      <c r="E1099" s="12" t="s">
        <v>259</v>
      </c>
      <c r="F1099" s="12" t="n">
        <v>58</v>
      </c>
      <c r="G1099" s="12"/>
      <c r="H1099" s="12"/>
      <c r="I1099" s="12"/>
      <c r="J1099" s="12"/>
      <c r="K1099" s="12"/>
      <c r="L1099" s="12"/>
      <c r="M1099" s="12"/>
      <c r="N1099" s="12" t="n">
        <v>53.999</v>
      </c>
      <c r="O1099" s="13"/>
      <c r="P1099" s="13" t="s">
        <v>6287</v>
      </c>
      <c r="Q1099" s="13"/>
      <c r="R1099" s="13"/>
      <c r="S1099" s="13" t="s">
        <v>6288</v>
      </c>
      <c r="T1099" s="12" t="s">
        <v>94</v>
      </c>
      <c r="U1099" s="12" t="s">
        <v>2222</v>
      </c>
    </row>
    <row r="1100" customFormat="false" ht="31.5" hidden="false" customHeight="true" outlineLevel="0" collapsed="false">
      <c r="A1100" s="12" t="n">
        <v>902</v>
      </c>
      <c r="B1100" s="12" t="s">
        <v>6289</v>
      </c>
      <c r="C1100" s="12" t="s">
        <v>2521</v>
      </c>
      <c r="D1100" s="12" t="s">
        <v>113</v>
      </c>
      <c r="E1100" s="12" t="s">
        <v>259</v>
      </c>
      <c r="F1100" s="12" t="n">
        <v>64800</v>
      </c>
      <c r="G1100" s="12" t="n">
        <v>65390</v>
      </c>
      <c r="H1100" s="12" t="s">
        <v>2201</v>
      </c>
      <c r="I1100" s="12" t="n">
        <v>66300</v>
      </c>
      <c r="J1100" s="12"/>
      <c r="K1100" s="12"/>
      <c r="L1100" s="12"/>
      <c r="M1100" s="12"/>
      <c r="N1100" s="12"/>
      <c r="O1100" s="13"/>
      <c r="P1100" s="13" t="s">
        <v>6290</v>
      </c>
      <c r="Q1100" s="13"/>
      <c r="R1100" s="13"/>
      <c r="S1100" s="13" t="s">
        <v>6291</v>
      </c>
      <c r="T1100" s="12" t="s">
        <v>94</v>
      </c>
      <c r="U1100" s="12" t="s">
        <v>6292</v>
      </c>
    </row>
    <row r="1101" customFormat="false" ht="31.5" hidden="false" customHeight="true" outlineLevel="0" collapsed="false">
      <c r="A1101" s="12" t="n">
        <v>903</v>
      </c>
      <c r="B1101" s="12" t="s">
        <v>6293</v>
      </c>
      <c r="C1101" s="12" t="s">
        <v>2670</v>
      </c>
      <c r="D1101" s="12" t="s">
        <v>113</v>
      </c>
      <c r="E1101" s="12" t="s">
        <v>259</v>
      </c>
      <c r="F1101" s="12"/>
      <c r="G1101" s="12"/>
      <c r="H1101" s="12" t="s">
        <v>6294</v>
      </c>
      <c r="I1101" s="12"/>
      <c r="J1101" s="12"/>
      <c r="K1101" s="12"/>
      <c r="L1101" s="12"/>
      <c r="M1101" s="12"/>
      <c r="N1101" s="12"/>
      <c r="O1101" s="13"/>
      <c r="P1101" s="13" t="s">
        <v>6295</v>
      </c>
      <c r="Q1101" s="13"/>
      <c r="R1101" s="13"/>
      <c r="S1101" s="13" t="s">
        <v>6296</v>
      </c>
      <c r="T1101" s="12" t="s">
        <v>108</v>
      </c>
      <c r="U1101" s="12" t="s">
        <v>6297</v>
      </c>
    </row>
    <row r="1102" customFormat="false" ht="31.5" hidden="false" customHeight="true" outlineLevel="0" collapsed="false">
      <c r="A1102" s="12" t="n">
        <v>904</v>
      </c>
      <c r="B1102" s="12" t="s">
        <v>2223</v>
      </c>
      <c r="C1102" s="12" t="s">
        <v>2521</v>
      </c>
      <c r="D1102" s="12" t="s">
        <v>2224</v>
      </c>
      <c r="E1102" s="12" t="s">
        <v>83</v>
      </c>
      <c r="F1102" s="12" t="n">
        <v>0.72</v>
      </c>
      <c r="G1102" s="12"/>
      <c r="H1102" s="12" t="s">
        <v>2227</v>
      </c>
      <c r="I1102" s="12" t="n">
        <v>0.605</v>
      </c>
      <c r="J1102" s="12"/>
      <c r="K1102" s="12"/>
      <c r="L1102" s="12"/>
      <c r="M1102" s="12"/>
      <c r="N1102" s="12"/>
      <c r="O1102" s="13" t="s">
        <v>6298</v>
      </c>
      <c r="P1102" s="13" t="s">
        <v>6299</v>
      </c>
      <c r="Q1102" s="13"/>
      <c r="R1102" s="13"/>
      <c r="S1102" s="13" t="s">
        <v>6300</v>
      </c>
      <c r="T1102" s="12" t="s">
        <v>94</v>
      </c>
      <c r="U1102" s="12" t="s">
        <v>2234</v>
      </c>
    </row>
    <row r="1103" customFormat="false" ht="31.5" hidden="false" customHeight="true" outlineLevel="0" collapsed="false">
      <c r="A1103" s="12" t="n">
        <v>905</v>
      </c>
      <c r="B1103" s="12" t="s">
        <v>6301</v>
      </c>
      <c r="C1103" s="12" t="s">
        <v>2537</v>
      </c>
      <c r="D1103" s="12" t="s">
        <v>2224</v>
      </c>
      <c r="E1103" s="12" t="s">
        <v>83</v>
      </c>
      <c r="F1103" s="12" t="n">
        <v>0.73</v>
      </c>
      <c r="G1103" s="12" t="n">
        <v>0.7</v>
      </c>
      <c r="H1103" s="12"/>
      <c r="I1103" s="12"/>
      <c r="J1103" s="12"/>
      <c r="K1103" s="12"/>
      <c r="L1103" s="12"/>
      <c r="M1103" s="12"/>
      <c r="N1103" s="12"/>
      <c r="O1103" s="13" t="s">
        <v>6302</v>
      </c>
      <c r="P1103" s="13" t="s">
        <v>6303</v>
      </c>
      <c r="Q1103" s="13"/>
      <c r="R1103" s="13"/>
      <c r="S1103" s="13" t="s">
        <v>6304</v>
      </c>
      <c r="T1103" s="12" t="s">
        <v>108</v>
      </c>
      <c r="U1103" s="12" t="s">
        <v>6305</v>
      </c>
    </row>
    <row r="1104" customFormat="false" ht="31.5" hidden="false" customHeight="true" outlineLevel="0" collapsed="false">
      <c r="A1104" s="12" t="n">
        <v>906</v>
      </c>
      <c r="B1104" s="12" t="s">
        <v>2229</v>
      </c>
      <c r="C1104" s="12" t="s">
        <v>2564</v>
      </c>
      <c r="D1104" s="12" t="s">
        <v>2224</v>
      </c>
      <c r="E1104" s="12" t="s">
        <v>83</v>
      </c>
      <c r="F1104" s="12"/>
      <c r="G1104" s="12"/>
      <c r="H1104" s="12"/>
      <c r="I1104" s="12"/>
      <c r="J1104" s="12"/>
      <c r="K1104" s="12"/>
      <c r="L1104" s="12"/>
      <c r="M1104" s="12"/>
      <c r="N1104" s="12"/>
      <c r="O1104" s="13"/>
      <c r="P1104" s="13" t="s">
        <v>6306</v>
      </c>
      <c r="Q1104" s="13"/>
      <c r="R1104" s="13"/>
      <c r="S1104" s="13" t="s">
        <v>6307</v>
      </c>
      <c r="T1104" s="12" t="s">
        <v>94</v>
      </c>
      <c r="U1104" s="12" t="s">
        <v>6308</v>
      </c>
    </row>
    <row r="1105" customFormat="false" ht="31.5" hidden="false" customHeight="true" outlineLevel="0" collapsed="false">
      <c r="A1105" s="12" t="n">
        <v>907</v>
      </c>
      <c r="B1105" s="12" t="s">
        <v>6309</v>
      </c>
      <c r="C1105" s="12" t="s">
        <v>2516</v>
      </c>
      <c r="D1105" s="12" t="s">
        <v>113</v>
      </c>
      <c r="E1105" s="12" t="s">
        <v>259</v>
      </c>
      <c r="F1105" s="12" t="n">
        <v>65300</v>
      </c>
      <c r="G1105" s="12"/>
      <c r="H1105" s="12"/>
      <c r="I1105" s="12"/>
      <c r="J1105" s="12"/>
      <c r="K1105" s="12"/>
      <c r="L1105" s="12"/>
      <c r="M1105" s="12"/>
      <c r="N1105" s="12"/>
      <c r="O1105" s="13"/>
      <c r="P1105" s="13" t="s">
        <v>6310</v>
      </c>
      <c r="Q1105" s="13"/>
      <c r="R1105" s="13"/>
      <c r="S1105" s="13" t="s">
        <v>6311</v>
      </c>
      <c r="T1105" s="12" t="s">
        <v>94</v>
      </c>
      <c r="U1105" s="12" t="s">
        <v>6312</v>
      </c>
    </row>
    <row r="1106" customFormat="false" ht="31.5" hidden="false" customHeight="true" outlineLevel="0" collapsed="false">
      <c r="A1106" s="12" t="n">
        <v>908</v>
      </c>
      <c r="B1106" s="12" t="s">
        <v>6313</v>
      </c>
      <c r="C1106" s="12" t="s">
        <v>2521</v>
      </c>
      <c r="D1106" s="12" t="s">
        <v>113</v>
      </c>
      <c r="E1106" s="12" t="s">
        <v>259</v>
      </c>
      <c r="F1106" s="12" t="n">
        <v>64800</v>
      </c>
      <c r="G1106" s="12" t="n">
        <v>65400</v>
      </c>
      <c r="H1106" s="12" t="s">
        <v>6314</v>
      </c>
      <c r="I1106" s="12" t="n">
        <v>67800</v>
      </c>
      <c r="J1106" s="12"/>
      <c r="K1106" s="12"/>
      <c r="L1106" s="12"/>
      <c r="M1106" s="12"/>
      <c r="N1106" s="12"/>
      <c r="O1106" s="13" t="s">
        <v>6315</v>
      </c>
      <c r="P1106" s="13" t="s">
        <v>6316</v>
      </c>
      <c r="Q1106" s="13"/>
      <c r="R1106" s="13" t="s">
        <v>6317</v>
      </c>
      <c r="S1106" s="13" t="s">
        <v>6318</v>
      </c>
      <c r="T1106" s="12" t="s">
        <v>94</v>
      </c>
      <c r="U1106" s="12" t="s">
        <v>6319</v>
      </c>
    </row>
    <row r="1107" customFormat="false" ht="31.5" hidden="false" customHeight="true" outlineLevel="0" collapsed="false">
      <c r="A1107" s="12" t="n">
        <v>908</v>
      </c>
      <c r="B1107" s="12" t="s">
        <v>6313</v>
      </c>
      <c r="C1107" s="12" t="s">
        <v>2557</v>
      </c>
      <c r="D1107" s="12" t="s">
        <v>113</v>
      </c>
      <c r="E1107" s="12" t="s">
        <v>259</v>
      </c>
      <c r="F1107" s="12"/>
      <c r="G1107" s="12"/>
      <c r="H1107" s="12"/>
      <c r="I1107" s="12" t="n">
        <v>66300</v>
      </c>
      <c r="J1107" s="12"/>
      <c r="K1107" s="12"/>
      <c r="L1107" s="12"/>
      <c r="M1107" s="12"/>
      <c r="N1107" s="12"/>
      <c r="O1107" s="13"/>
      <c r="P1107" s="13" t="s">
        <v>6320</v>
      </c>
      <c r="Q1107" s="13"/>
      <c r="R1107" s="13"/>
      <c r="S1107" s="13" t="s">
        <v>6321</v>
      </c>
      <c r="T1107" s="12" t="s">
        <v>94</v>
      </c>
      <c r="U1107" s="12" t="s">
        <v>6319</v>
      </c>
    </row>
    <row r="1108" customFormat="false" ht="31.5" hidden="false" customHeight="true" outlineLevel="0" collapsed="false">
      <c r="A1108" s="12" t="n">
        <v>909</v>
      </c>
      <c r="B1108" s="12" t="s">
        <v>2235</v>
      </c>
      <c r="C1108" s="12" t="s">
        <v>2521</v>
      </c>
      <c r="D1108" s="12" t="s">
        <v>2236</v>
      </c>
      <c r="E1108" s="12" t="s">
        <v>259</v>
      </c>
      <c r="F1108" s="12" t="n">
        <v>0.134</v>
      </c>
      <c r="G1108" s="12"/>
      <c r="H1108" s="12" t="s">
        <v>2237</v>
      </c>
      <c r="I1108" s="12" t="n">
        <v>0.1375</v>
      </c>
      <c r="J1108" s="12"/>
      <c r="K1108" s="12"/>
      <c r="L1108" s="12"/>
      <c r="M1108" s="12"/>
      <c r="N1108" s="12"/>
      <c r="O1108" s="13" t="s">
        <v>577</v>
      </c>
      <c r="P1108" s="13" t="s">
        <v>6322</v>
      </c>
      <c r="Q1108" s="13" t="s">
        <v>381</v>
      </c>
      <c r="R1108" s="13"/>
      <c r="S1108" s="13" t="s">
        <v>6323</v>
      </c>
      <c r="T1108" s="12" t="s">
        <v>94</v>
      </c>
      <c r="U1108" s="12" t="s">
        <v>2244</v>
      </c>
    </row>
    <row r="1109" customFormat="false" ht="31.5" hidden="false" customHeight="true" outlineLevel="0" collapsed="false">
      <c r="A1109" s="12" t="n">
        <v>910</v>
      </c>
      <c r="B1109" s="12" t="s">
        <v>6324</v>
      </c>
      <c r="C1109" s="12" t="s">
        <v>2588</v>
      </c>
      <c r="D1109" s="12" t="s">
        <v>113</v>
      </c>
      <c r="E1109" s="12" t="s">
        <v>259</v>
      </c>
      <c r="F1109" s="12" t="n">
        <v>65300</v>
      </c>
      <c r="G1109" s="12"/>
      <c r="H1109" s="12"/>
      <c r="I1109" s="12" t="n">
        <v>65300</v>
      </c>
      <c r="J1109" s="12"/>
      <c r="K1109" s="12"/>
      <c r="L1109" s="12"/>
      <c r="M1109" s="12"/>
      <c r="N1109" s="12"/>
      <c r="O1109" s="13"/>
      <c r="P1109" s="13" t="s">
        <v>6325</v>
      </c>
      <c r="Q1109" s="13"/>
      <c r="R1109" s="13"/>
      <c r="S1109" s="13" t="s">
        <v>6326</v>
      </c>
      <c r="T1109" s="12" t="s">
        <v>94</v>
      </c>
      <c r="U1109" s="12" t="s">
        <v>6327</v>
      </c>
    </row>
    <row r="1110" customFormat="false" ht="31.5" hidden="false" customHeight="true" outlineLevel="0" collapsed="false">
      <c r="A1110" s="12" t="n">
        <v>910</v>
      </c>
      <c r="B1110" s="12" t="s">
        <v>6324</v>
      </c>
      <c r="C1110" s="12" t="s">
        <v>2581</v>
      </c>
      <c r="D1110" s="12" t="s">
        <v>113</v>
      </c>
      <c r="E1110" s="12" t="s">
        <v>259</v>
      </c>
      <c r="F1110" s="12"/>
      <c r="G1110" s="12"/>
      <c r="H1110" s="12"/>
      <c r="I1110" s="12"/>
      <c r="J1110" s="12" t="n">
        <v>50</v>
      </c>
      <c r="K1110" s="12"/>
      <c r="L1110" s="12"/>
      <c r="M1110" s="12"/>
      <c r="N1110" s="12"/>
      <c r="O1110" s="13"/>
      <c r="P1110" s="13" t="s">
        <v>6328</v>
      </c>
      <c r="Q1110" s="13"/>
      <c r="R1110" s="13"/>
      <c r="S1110" s="13" t="s">
        <v>6329</v>
      </c>
      <c r="T1110" s="12" t="s">
        <v>94</v>
      </c>
      <c r="U1110" s="12" t="s">
        <v>6327</v>
      </c>
    </row>
    <row r="1111" customFormat="false" ht="31.5" hidden="false" customHeight="true" outlineLevel="0" collapsed="false">
      <c r="A1111" s="12" t="n">
        <v>911</v>
      </c>
      <c r="B1111" s="12" t="s">
        <v>2245</v>
      </c>
      <c r="C1111" s="12" t="s">
        <v>2521</v>
      </c>
      <c r="D1111" s="12" t="s">
        <v>99</v>
      </c>
      <c r="E1111" s="12" t="s">
        <v>259</v>
      </c>
      <c r="F1111" s="12" t="n">
        <v>1920</v>
      </c>
      <c r="G1111" s="12"/>
      <c r="H1111" s="12" t="s">
        <v>2248</v>
      </c>
      <c r="I1111" s="12" t="n">
        <v>1950</v>
      </c>
      <c r="J1111" s="12"/>
      <c r="K1111" s="12"/>
      <c r="L1111" s="12"/>
      <c r="M1111" s="12"/>
      <c r="N1111" s="12"/>
      <c r="O1111" s="13" t="s">
        <v>2333</v>
      </c>
      <c r="P1111" s="13" t="s">
        <v>6330</v>
      </c>
      <c r="Q1111" s="13"/>
      <c r="R1111" s="13"/>
      <c r="S1111" s="13" t="s">
        <v>6331</v>
      </c>
      <c r="T1111" s="12" t="s">
        <v>94</v>
      </c>
      <c r="U1111" s="12" t="s">
        <v>2258</v>
      </c>
    </row>
    <row r="1112" customFormat="false" ht="31.5" hidden="false" customHeight="true" outlineLevel="0" collapsed="false">
      <c r="A1112" s="12" t="n">
        <v>912</v>
      </c>
      <c r="B1112" s="12" t="s">
        <v>6332</v>
      </c>
      <c r="C1112" s="12" t="s">
        <v>2537</v>
      </c>
      <c r="D1112" s="12" t="s">
        <v>99</v>
      </c>
      <c r="E1112" s="12" t="s">
        <v>259</v>
      </c>
      <c r="F1112" s="12"/>
      <c r="G1112" s="12" t="n">
        <v>1930</v>
      </c>
      <c r="H1112" s="12"/>
      <c r="I1112" s="12"/>
      <c r="J1112" s="12" t="n">
        <v>50</v>
      </c>
      <c r="K1112" s="12"/>
      <c r="L1112" s="12"/>
      <c r="M1112" s="12"/>
      <c r="N1112" s="12" t="n">
        <v>1913</v>
      </c>
      <c r="O1112" s="13"/>
      <c r="P1112" s="13" t="s">
        <v>6333</v>
      </c>
      <c r="Q1112" s="13"/>
      <c r="R1112" s="13"/>
      <c r="S1112" s="13" t="s">
        <v>6334</v>
      </c>
      <c r="T1112" s="12" t="s">
        <v>94</v>
      </c>
      <c r="U1112" s="12" t="s">
        <v>6335</v>
      </c>
    </row>
    <row r="1113" customFormat="false" ht="31.5" hidden="false" customHeight="true" outlineLevel="0" collapsed="false">
      <c r="A1113" s="12" t="n">
        <v>913</v>
      </c>
      <c r="B1113" s="12" t="s">
        <v>6336</v>
      </c>
      <c r="C1113" s="12" t="s">
        <v>2557</v>
      </c>
      <c r="D1113" s="12" t="s">
        <v>113</v>
      </c>
      <c r="E1113" s="12" t="s">
        <v>259</v>
      </c>
      <c r="F1113" s="12"/>
      <c r="G1113" s="12"/>
      <c r="H1113" s="12"/>
      <c r="I1113" s="12"/>
      <c r="J1113" s="12"/>
      <c r="K1113" s="12"/>
      <c r="L1113" s="12"/>
      <c r="M1113" s="12"/>
      <c r="N1113" s="12"/>
      <c r="O1113" s="13"/>
      <c r="P1113" s="13" t="s">
        <v>6337</v>
      </c>
      <c r="Q1113" s="13" t="s">
        <v>2132</v>
      </c>
      <c r="R1113" s="13" t="s">
        <v>6338</v>
      </c>
      <c r="S1113" s="13" t="s">
        <v>6339</v>
      </c>
      <c r="T1113" s="12" t="s">
        <v>94</v>
      </c>
      <c r="U1113" s="12" t="s">
        <v>6340</v>
      </c>
    </row>
    <row r="1114" customFormat="false" ht="31.5" hidden="false" customHeight="true" outlineLevel="0" collapsed="false">
      <c r="A1114" s="12" t="n">
        <v>913</v>
      </c>
      <c r="B1114" s="12" t="s">
        <v>6336</v>
      </c>
      <c r="C1114" s="12" t="s">
        <v>2557</v>
      </c>
      <c r="D1114" s="12" t="s">
        <v>99</v>
      </c>
      <c r="E1114" s="12" t="s">
        <v>259</v>
      </c>
      <c r="F1114" s="12"/>
      <c r="G1114" s="12"/>
      <c r="H1114" s="12"/>
      <c r="I1114" s="12"/>
      <c r="J1114" s="12"/>
      <c r="K1114" s="12"/>
      <c r="L1114" s="12"/>
      <c r="M1114" s="12"/>
      <c r="N1114" s="12"/>
      <c r="O1114" s="13"/>
      <c r="P1114" s="13" t="s">
        <v>6341</v>
      </c>
      <c r="Q1114" s="13" t="s">
        <v>2132</v>
      </c>
      <c r="R1114" s="13" t="s">
        <v>6338</v>
      </c>
      <c r="S1114" s="13" t="s">
        <v>6342</v>
      </c>
      <c r="T1114" s="12" t="s">
        <v>94</v>
      </c>
      <c r="U1114" s="12" t="s">
        <v>6340</v>
      </c>
    </row>
    <row r="1115" customFormat="false" ht="31.5" hidden="false" customHeight="true" outlineLevel="0" collapsed="false">
      <c r="A1115" s="12" t="n">
        <v>914</v>
      </c>
      <c r="B1115" s="12" t="s">
        <v>6343</v>
      </c>
      <c r="C1115" s="12" t="s">
        <v>2670</v>
      </c>
      <c r="D1115" s="12" t="s">
        <v>113</v>
      </c>
      <c r="E1115" s="12" t="s">
        <v>259</v>
      </c>
      <c r="F1115" s="12" t="n">
        <v>65300</v>
      </c>
      <c r="G1115" s="12"/>
      <c r="H1115" s="12" t="s">
        <v>5962</v>
      </c>
      <c r="I1115" s="12"/>
      <c r="J1115" s="12"/>
      <c r="K1115" s="12"/>
      <c r="L1115" s="12"/>
      <c r="M1115" s="12"/>
      <c r="N1115" s="12"/>
      <c r="O1115" s="13"/>
      <c r="P1115" s="13" t="s">
        <v>6344</v>
      </c>
      <c r="Q1115" s="13"/>
      <c r="R1115" s="13"/>
      <c r="S1115" s="13" t="s">
        <v>6345</v>
      </c>
      <c r="T1115" s="12" t="s">
        <v>94</v>
      </c>
      <c r="U1115" s="12" t="s">
        <v>6346</v>
      </c>
    </row>
    <row r="1116" customFormat="false" ht="31.5" hidden="false" customHeight="true" outlineLevel="0" collapsed="false">
      <c r="A1116" s="12" t="n">
        <v>915</v>
      </c>
      <c r="B1116" s="12" t="s">
        <v>6347</v>
      </c>
      <c r="C1116" s="12" t="s">
        <v>2557</v>
      </c>
      <c r="D1116" s="12" t="s">
        <v>113</v>
      </c>
      <c r="E1116" s="12" t="s">
        <v>259</v>
      </c>
      <c r="F1116" s="12"/>
      <c r="G1116" s="12"/>
      <c r="H1116" s="12"/>
      <c r="I1116" s="12"/>
      <c r="J1116" s="12"/>
      <c r="K1116" s="12"/>
      <c r="L1116" s="12"/>
      <c r="M1116" s="12"/>
      <c r="N1116" s="12"/>
      <c r="O1116" s="13" t="s">
        <v>6348</v>
      </c>
      <c r="P1116" s="13" t="s">
        <v>6349</v>
      </c>
      <c r="Q1116" s="13"/>
      <c r="R1116" s="13" t="s">
        <v>2241</v>
      </c>
      <c r="S1116" s="13" t="s">
        <v>6350</v>
      </c>
      <c r="T1116" s="12" t="s">
        <v>94</v>
      </c>
      <c r="U1116" s="12" t="s">
        <v>6351</v>
      </c>
    </row>
    <row r="1117" customFormat="false" ht="31.5" hidden="false" customHeight="true" outlineLevel="0" collapsed="false">
      <c r="A1117" s="12" t="n">
        <v>915</v>
      </c>
      <c r="B1117" s="12" t="s">
        <v>6347</v>
      </c>
      <c r="C1117" s="12" t="s">
        <v>2557</v>
      </c>
      <c r="D1117" s="12" t="s">
        <v>99</v>
      </c>
      <c r="E1117" s="12" t="s">
        <v>259</v>
      </c>
      <c r="F1117" s="12"/>
      <c r="G1117" s="12"/>
      <c r="H1117" s="12"/>
      <c r="I1117" s="12"/>
      <c r="J1117" s="12"/>
      <c r="K1117" s="12"/>
      <c r="L1117" s="12"/>
      <c r="M1117" s="12"/>
      <c r="N1117" s="12"/>
      <c r="O1117" s="13" t="s">
        <v>6348</v>
      </c>
      <c r="P1117" s="13" t="s">
        <v>6352</v>
      </c>
      <c r="Q1117" s="13"/>
      <c r="R1117" s="13" t="s">
        <v>2241</v>
      </c>
      <c r="S1117" s="13" t="s">
        <v>6350</v>
      </c>
      <c r="T1117" s="12" t="s">
        <v>94</v>
      </c>
      <c r="U1117" s="12" t="s">
        <v>6351</v>
      </c>
    </row>
    <row r="1118" customFormat="false" ht="31.5" hidden="false" customHeight="true" outlineLevel="0" collapsed="false">
      <c r="A1118" s="12" t="n">
        <v>915</v>
      </c>
      <c r="B1118" s="12" t="s">
        <v>6347</v>
      </c>
      <c r="C1118" s="12" t="s">
        <v>2557</v>
      </c>
      <c r="D1118" s="12" t="s">
        <v>2236</v>
      </c>
      <c r="E1118" s="12" t="s">
        <v>259</v>
      </c>
      <c r="F1118" s="12"/>
      <c r="G1118" s="12"/>
      <c r="H1118" s="12"/>
      <c r="I1118" s="12"/>
      <c r="J1118" s="12"/>
      <c r="K1118" s="12"/>
      <c r="L1118" s="12"/>
      <c r="M1118" s="12"/>
      <c r="N1118" s="12"/>
      <c r="O1118" s="13" t="s">
        <v>6348</v>
      </c>
      <c r="P1118" s="13" t="s">
        <v>6353</v>
      </c>
      <c r="Q1118" s="13"/>
      <c r="R1118" s="13" t="s">
        <v>2241</v>
      </c>
      <c r="S1118" s="13" t="s">
        <v>6354</v>
      </c>
      <c r="T1118" s="12" t="s">
        <v>94</v>
      </c>
      <c r="U1118" s="12" t="s">
        <v>6351</v>
      </c>
    </row>
    <row r="1119" customFormat="false" ht="31.5" hidden="false" customHeight="true" outlineLevel="0" collapsed="false">
      <c r="A1119" s="12" t="n">
        <v>916</v>
      </c>
      <c r="B1119" s="12" t="s">
        <v>6355</v>
      </c>
      <c r="C1119" s="12" t="s">
        <v>2557</v>
      </c>
      <c r="D1119" s="12" t="s">
        <v>113</v>
      </c>
      <c r="E1119" s="12" t="s">
        <v>259</v>
      </c>
      <c r="F1119" s="12"/>
      <c r="G1119" s="12"/>
      <c r="H1119" s="12"/>
      <c r="I1119" s="12"/>
      <c r="J1119" s="12"/>
      <c r="K1119" s="12"/>
      <c r="L1119" s="12"/>
      <c r="M1119" s="12"/>
      <c r="N1119" s="12"/>
      <c r="O1119" s="13"/>
      <c r="P1119" s="13" t="s">
        <v>6356</v>
      </c>
      <c r="Q1119" s="13"/>
      <c r="R1119" s="13"/>
      <c r="S1119" s="13" t="s">
        <v>6357</v>
      </c>
      <c r="T1119" s="12" t="s">
        <v>94</v>
      </c>
      <c r="U1119" s="12" t="s">
        <v>6358</v>
      </c>
    </row>
    <row r="1120" customFormat="false" ht="31.5" hidden="false" customHeight="true" outlineLevel="0" collapsed="false">
      <c r="A1120" s="12" t="n">
        <v>916</v>
      </c>
      <c r="B1120" s="12" t="s">
        <v>6355</v>
      </c>
      <c r="C1120" s="12" t="s">
        <v>2557</v>
      </c>
      <c r="D1120" s="12" t="s">
        <v>99</v>
      </c>
      <c r="E1120" s="12" t="s">
        <v>259</v>
      </c>
      <c r="F1120" s="12"/>
      <c r="G1120" s="12"/>
      <c r="H1120" s="12"/>
      <c r="I1120" s="12"/>
      <c r="J1120" s="12"/>
      <c r="K1120" s="12"/>
      <c r="L1120" s="12"/>
      <c r="M1120" s="12"/>
      <c r="N1120" s="12"/>
      <c r="O1120" s="13"/>
      <c r="P1120" s="13" t="s">
        <v>6359</v>
      </c>
      <c r="Q1120" s="13"/>
      <c r="R1120" s="13"/>
      <c r="S1120" s="13" t="s">
        <v>6357</v>
      </c>
      <c r="T1120" s="12" t="s">
        <v>94</v>
      </c>
      <c r="U1120" s="12" t="s">
        <v>6358</v>
      </c>
    </row>
    <row r="1121" customFormat="false" ht="31.5" hidden="false" customHeight="true" outlineLevel="0" collapsed="false">
      <c r="A1121" s="12" t="n">
        <v>917</v>
      </c>
      <c r="B1121" s="12" t="s">
        <v>6360</v>
      </c>
      <c r="C1121" s="12" t="s">
        <v>2502</v>
      </c>
      <c r="D1121" s="12"/>
      <c r="E1121" s="12"/>
      <c r="F1121" s="12"/>
      <c r="G1121" s="12"/>
      <c r="H1121" s="12"/>
      <c r="I1121" s="12"/>
      <c r="J1121" s="12"/>
      <c r="K1121" s="12"/>
      <c r="L1121" s="12"/>
      <c r="M1121" s="12"/>
      <c r="N1121" s="12"/>
      <c r="O1121" s="13"/>
      <c r="P1121" s="13" t="s">
        <v>6361</v>
      </c>
      <c r="Q1121" s="13"/>
      <c r="R1121" s="13" t="s">
        <v>6362</v>
      </c>
      <c r="S1121" s="13" t="s">
        <v>6363</v>
      </c>
      <c r="T1121" s="12" t="s">
        <v>94</v>
      </c>
      <c r="U1121" s="12" t="s">
        <v>6364</v>
      </c>
    </row>
    <row r="1122" customFormat="false" ht="31.5" hidden="false" customHeight="true" outlineLevel="0" collapsed="false">
      <c r="A1122" s="12" t="n">
        <v>918</v>
      </c>
      <c r="B1122" s="12" t="s">
        <v>6365</v>
      </c>
      <c r="C1122" s="12" t="s">
        <v>2537</v>
      </c>
      <c r="D1122" s="12" t="s">
        <v>113</v>
      </c>
      <c r="E1122" s="12" t="s">
        <v>259</v>
      </c>
      <c r="F1122" s="12"/>
      <c r="G1122" s="12" t="n">
        <v>65390</v>
      </c>
      <c r="H1122" s="12"/>
      <c r="I1122" s="12"/>
      <c r="J1122" s="12"/>
      <c r="K1122" s="12"/>
      <c r="L1122" s="12"/>
      <c r="M1122" s="12"/>
      <c r="N1122" s="12"/>
      <c r="O1122" s="13"/>
      <c r="P1122" s="13" t="s">
        <v>6366</v>
      </c>
      <c r="Q1122" s="13"/>
      <c r="R1122" s="13"/>
      <c r="S1122" s="13" t="s">
        <v>6367</v>
      </c>
      <c r="T1122" s="12" t="s">
        <v>94</v>
      </c>
      <c r="U1122" s="12" t="s">
        <v>6368</v>
      </c>
    </row>
    <row r="1123" customFormat="false" ht="31.5" hidden="false" customHeight="true" outlineLevel="0" collapsed="false">
      <c r="A1123" s="12" t="n">
        <v>918</v>
      </c>
      <c r="B1123" s="12" t="s">
        <v>6365</v>
      </c>
      <c r="C1123" s="12" t="s">
        <v>2618</v>
      </c>
      <c r="D1123" s="12" t="s">
        <v>113</v>
      </c>
      <c r="E1123" s="12" t="s">
        <v>259</v>
      </c>
      <c r="F1123" s="12"/>
      <c r="G1123" s="12"/>
      <c r="H1123" s="12" t="s">
        <v>6369</v>
      </c>
      <c r="I1123" s="12"/>
      <c r="J1123" s="12"/>
      <c r="K1123" s="12"/>
      <c r="L1123" s="12"/>
      <c r="M1123" s="12"/>
      <c r="N1123" s="12"/>
      <c r="O1123" s="13"/>
      <c r="P1123" s="13" t="s">
        <v>6370</v>
      </c>
      <c r="Q1123" s="13"/>
      <c r="R1123" s="13"/>
      <c r="S1123" s="13" t="s">
        <v>6371</v>
      </c>
      <c r="T1123" s="12" t="s">
        <v>94</v>
      </c>
      <c r="U1123" s="12" t="s">
        <v>6368</v>
      </c>
    </row>
    <row r="1124" customFormat="false" ht="31.5" hidden="false" customHeight="true" outlineLevel="0" collapsed="false">
      <c r="A1124" s="12" t="n">
        <v>918</v>
      </c>
      <c r="B1124" s="12" t="s">
        <v>6365</v>
      </c>
      <c r="C1124" s="12" t="s">
        <v>2537</v>
      </c>
      <c r="D1124" s="12" t="s">
        <v>99</v>
      </c>
      <c r="E1124" s="12" t="s">
        <v>259</v>
      </c>
      <c r="F1124" s="12"/>
      <c r="G1124" s="12" t="n">
        <v>1930</v>
      </c>
      <c r="H1124" s="12"/>
      <c r="I1124" s="12"/>
      <c r="J1124" s="12"/>
      <c r="K1124" s="12"/>
      <c r="L1124" s="12"/>
      <c r="M1124" s="12"/>
      <c r="N1124" s="12"/>
      <c r="O1124" s="13"/>
      <c r="P1124" s="13" t="s">
        <v>6372</v>
      </c>
      <c r="Q1124" s="13"/>
      <c r="R1124" s="13"/>
      <c r="S1124" s="13" t="s">
        <v>6373</v>
      </c>
      <c r="T1124" s="12" t="s">
        <v>94</v>
      </c>
      <c r="U1124" s="12" t="s">
        <v>6368</v>
      </c>
    </row>
    <row r="1125" customFormat="false" ht="31.5" hidden="false" customHeight="true" outlineLevel="0" collapsed="false">
      <c r="A1125" s="12" t="n">
        <v>918</v>
      </c>
      <c r="B1125" s="12" t="s">
        <v>6365</v>
      </c>
      <c r="C1125" s="12" t="s">
        <v>2618</v>
      </c>
      <c r="D1125" s="12" t="s">
        <v>99</v>
      </c>
      <c r="E1125" s="12" t="s">
        <v>259</v>
      </c>
      <c r="F1125" s="12"/>
      <c r="G1125" s="12"/>
      <c r="H1125" s="12" t="s">
        <v>6374</v>
      </c>
      <c r="I1125" s="12"/>
      <c r="J1125" s="12"/>
      <c r="K1125" s="12"/>
      <c r="L1125" s="12"/>
      <c r="M1125" s="12"/>
      <c r="N1125" s="12"/>
      <c r="O1125" s="13"/>
      <c r="P1125" s="13" t="s">
        <v>6375</v>
      </c>
      <c r="Q1125" s="13"/>
      <c r="R1125" s="13"/>
      <c r="S1125" s="13" t="s">
        <v>6371</v>
      </c>
      <c r="T1125" s="12" t="s">
        <v>94</v>
      </c>
      <c r="U1125" s="12" t="s">
        <v>6368</v>
      </c>
    </row>
    <row r="1126" customFormat="false" ht="31.5" hidden="false" customHeight="true" outlineLevel="0" collapsed="false">
      <c r="A1126" s="12" t="n">
        <v>919</v>
      </c>
      <c r="B1126" s="12" t="s">
        <v>2252</v>
      </c>
      <c r="C1126" s="12" t="s">
        <v>2630</v>
      </c>
      <c r="D1126" s="12" t="s">
        <v>99</v>
      </c>
      <c r="E1126" s="12" t="s">
        <v>259</v>
      </c>
      <c r="F1126" s="12" t="n">
        <v>1922.78</v>
      </c>
      <c r="G1126" s="12"/>
      <c r="H1126" s="12"/>
      <c r="I1126" s="12"/>
      <c r="J1126" s="12" t="n">
        <v>100</v>
      </c>
      <c r="K1126" s="12" t="n">
        <v>300</v>
      </c>
      <c r="L1126" s="12"/>
      <c r="M1126" s="12" t="n">
        <v>241.45</v>
      </c>
      <c r="N1126" s="12" t="n">
        <v>1907.31</v>
      </c>
      <c r="O1126" s="13"/>
      <c r="P1126" s="13" t="s">
        <v>6376</v>
      </c>
      <c r="Q1126" s="13"/>
      <c r="R1126" s="13"/>
      <c r="S1126" s="13" t="s">
        <v>6377</v>
      </c>
      <c r="T1126" s="12" t="s">
        <v>94</v>
      </c>
      <c r="U1126" s="12" t="s">
        <v>6378</v>
      </c>
    </row>
    <row r="1127" customFormat="false" ht="31.5" hidden="false" customHeight="true" outlineLevel="0" collapsed="false">
      <c r="A1127" s="12" t="n">
        <v>920</v>
      </c>
      <c r="B1127" s="12" t="s">
        <v>2259</v>
      </c>
      <c r="C1127" s="12" t="s">
        <v>2521</v>
      </c>
      <c r="D1127" s="12" t="s">
        <v>2260</v>
      </c>
      <c r="E1127" s="12" t="s">
        <v>259</v>
      </c>
      <c r="F1127" s="12" t="n">
        <v>0.0146</v>
      </c>
      <c r="G1127" s="12"/>
      <c r="H1127" s="12"/>
      <c r="I1127" s="12" t="n">
        <v>0.0149</v>
      </c>
      <c r="J1127" s="12"/>
      <c r="K1127" s="12"/>
      <c r="L1127" s="12"/>
      <c r="M1127" s="12"/>
      <c r="N1127" s="12"/>
      <c r="O1127" s="13" t="s">
        <v>6379</v>
      </c>
      <c r="P1127" s="13" t="s">
        <v>6380</v>
      </c>
      <c r="Q1127" s="13"/>
      <c r="R1127" s="13"/>
      <c r="S1127" s="13" t="s">
        <v>6381</v>
      </c>
      <c r="T1127" s="12" t="s">
        <v>94</v>
      </c>
      <c r="U1127" s="12" t="s">
        <v>2268</v>
      </c>
    </row>
    <row r="1128" customFormat="false" ht="31.5" hidden="false" customHeight="true" outlineLevel="0" collapsed="false">
      <c r="A1128" s="12" t="n">
        <v>921</v>
      </c>
      <c r="B1128" s="12" t="s">
        <v>6382</v>
      </c>
      <c r="C1128" s="12" t="s">
        <v>2581</v>
      </c>
      <c r="D1128" s="12" t="s">
        <v>113</v>
      </c>
      <c r="E1128" s="12" t="s">
        <v>259</v>
      </c>
      <c r="F1128" s="12" t="n">
        <v>65024.1</v>
      </c>
      <c r="G1128" s="12"/>
      <c r="H1128" s="12" t="s">
        <v>1358</v>
      </c>
      <c r="I1128" s="12"/>
      <c r="J1128" s="12" t="n">
        <v>75</v>
      </c>
      <c r="K1128" s="12" t="n">
        <v>150</v>
      </c>
      <c r="L1128" s="12"/>
      <c r="M1128" s="12" t="n">
        <v>119.86</v>
      </c>
      <c r="N1128" s="12" t="n">
        <v>64504.5</v>
      </c>
      <c r="O1128" s="13"/>
      <c r="P1128" s="13" t="s">
        <v>6383</v>
      </c>
      <c r="Q1128" s="13"/>
      <c r="R1128" s="13"/>
      <c r="S1128" s="13" t="s">
        <v>6384</v>
      </c>
      <c r="T1128" s="12" t="s">
        <v>94</v>
      </c>
      <c r="U1128" s="12" t="s">
        <v>6385</v>
      </c>
    </row>
    <row r="1129" customFormat="false" ht="31.5" hidden="false" customHeight="true" outlineLevel="0" collapsed="false">
      <c r="A1129" s="12" t="n">
        <v>922</v>
      </c>
      <c r="B1129" s="12" t="s">
        <v>2263</v>
      </c>
      <c r="C1129" s="12" t="s">
        <v>2666</v>
      </c>
      <c r="D1129" s="12" t="s">
        <v>2260</v>
      </c>
      <c r="E1129" s="12" t="s">
        <v>259</v>
      </c>
      <c r="F1129" s="12" t="n">
        <v>0.01457</v>
      </c>
      <c r="G1129" s="12"/>
      <c r="H1129" s="12"/>
      <c r="I1129" s="12"/>
      <c r="J1129" s="12" t="n">
        <v>100</v>
      </c>
      <c r="K1129" s="12"/>
      <c r="L1129" s="12" t="n">
        <v>0.7</v>
      </c>
      <c r="M1129" s="12" t="n">
        <v>48.04</v>
      </c>
      <c r="N1129" s="12" t="n">
        <v>0.01443</v>
      </c>
      <c r="O1129" s="13"/>
      <c r="P1129" s="13" t="s">
        <v>6386</v>
      </c>
      <c r="Q1129" s="13"/>
      <c r="R1129" s="13"/>
      <c r="S1129" s="13" t="s">
        <v>6387</v>
      </c>
      <c r="T1129" s="12" t="s">
        <v>94</v>
      </c>
      <c r="U1129" s="12" t="s">
        <v>6388</v>
      </c>
    </row>
    <row r="1130" customFormat="false" ht="31.5" hidden="false" customHeight="true" outlineLevel="0" collapsed="false">
      <c r="A1130" s="12" t="n">
        <v>923</v>
      </c>
      <c r="B1130" s="12" t="s">
        <v>6389</v>
      </c>
      <c r="C1130" s="12" t="s">
        <v>2511</v>
      </c>
      <c r="D1130" s="12"/>
      <c r="E1130" s="12"/>
      <c r="F1130" s="12"/>
      <c r="G1130" s="12"/>
      <c r="H1130" s="12"/>
      <c r="I1130" s="12"/>
      <c r="J1130" s="12"/>
      <c r="K1130" s="12"/>
      <c r="L1130" s="12"/>
      <c r="M1130" s="12"/>
      <c r="N1130" s="12"/>
      <c r="O1130" s="13"/>
      <c r="P1130" s="13" t="s">
        <v>6390</v>
      </c>
      <c r="Q1130" s="13"/>
      <c r="R1130" s="13"/>
      <c r="S1130" s="13" t="s">
        <v>6391</v>
      </c>
      <c r="T1130" s="12" t="s">
        <v>94</v>
      </c>
      <c r="U1130" s="12" t="s">
        <v>6392</v>
      </c>
    </row>
    <row r="1131" customFormat="false" ht="31.5" hidden="false" customHeight="true" outlineLevel="0" collapsed="false">
      <c r="A1131" s="12" t="n">
        <v>924</v>
      </c>
      <c r="B1131" s="12" t="s">
        <v>6393</v>
      </c>
      <c r="C1131" s="12" t="s">
        <v>2618</v>
      </c>
      <c r="D1131" s="12" t="s">
        <v>113</v>
      </c>
      <c r="E1131" s="12" t="s">
        <v>259</v>
      </c>
      <c r="F1131" s="12"/>
      <c r="G1131" s="12"/>
      <c r="H1131" s="12" t="s">
        <v>6394</v>
      </c>
      <c r="I1131" s="12"/>
      <c r="J1131" s="12"/>
      <c r="K1131" s="12"/>
      <c r="L1131" s="12"/>
      <c r="M1131" s="12"/>
      <c r="N1131" s="12"/>
      <c r="O1131" s="13"/>
      <c r="P1131" s="13" t="s">
        <v>6395</v>
      </c>
      <c r="Q1131" s="13"/>
      <c r="R1131" s="13"/>
      <c r="S1131" s="13" t="s">
        <v>6396</v>
      </c>
      <c r="T1131" s="12" t="s">
        <v>94</v>
      </c>
      <c r="U1131" s="12" t="s">
        <v>6397</v>
      </c>
    </row>
    <row r="1132" customFormat="false" ht="31.5" hidden="false" customHeight="true" outlineLevel="0" collapsed="false">
      <c r="A1132" s="12" t="n">
        <v>925</v>
      </c>
      <c r="B1132" s="12" t="s">
        <v>6398</v>
      </c>
      <c r="C1132" s="12" t="s">
        <v>2666</v>
      </c>
      <c r="D1132" s="12" t="s">
        <v>99</v>
      </c>
      <c r="E1132" s="12" t="s">
        <v>259</v>
      </c>
      <c r="F1132" s="12"/>
      <c r="G1132" s="12"/>
      <c r="H1132" s="12"/>
      <c r="I1132" s="12"/>
      <c r="J1132" s="12"/>
      <c r="K1132" s="12"/>
      <c r="L1132" s="12"/>
      <c r="M1132" s="12"/>
      <c r="N1132" s="12" t="n">
        <v>1905</v>
      </c>
      <c r="O1132" s="13"/>
      <c r="P1132" s="13" t="s">
        <v>6399</v>
      </c>
      <c r="Q1132" s="13"/>
      <c r="R1132" s="13"/>
      <c r="S1132" s="13" t="s">
        <v>6400</v>
      </c>
      <c r="T1132" s="12" t="s">
        <v>94</v>
      </c>
      <c r="U1132" s="12" t="s">
        <v>6401</v>
      </c>
    </row>
    <row r="1133" customFormat="false" ht="31.5" hidden="false" customHeight="true" outlineLevel="0" collapsed="false">
      <c r="A1133" s="12" t="n">
        <v>926</v>
      </c>
      <c r="B1133" s="12" t="s">
        <v>2207</v>
      </c>
      <c r="C1133" s="12" t="s">
        <v>2666</v>
      </c>
      <c r="D1133" s="12" t="s">
        <v>113</v>
      </c>
      <c r="E1133" s="12" t="s">
        <v>259</v>
      </c>
      <c r="F1133" s="12"/>
      <c r="G1133" s="12"/>
      <c r="H1133" s="12"/>
      <c r="I1133" s="12"/>
      <c r="J1133" s="12"/>
      <c r="K1133" s="12"/>
      <c r="L1133" s="12"/>
      <c r="M1133" s="12"/>
      <c r="N1133" s="12" t="n">
        <v>64060</v>
      </c>
      <c r="O1133" s="13"/>
      <c r="P1133" s="13" t="s">
        <v>6402</v>
      </c>
      <c r="Q1133" s="13"/>
      <c r="R1133" s="13"/>
      <c r="S1133" s="13" t="s">
        <v>6403</v>
      </c>
      <c r="T1133" s="12" t="s">
        <v>94</v>
      </c>
      <c r="U1133" s="12" t="s">
        <v>6404</v>
      </c>
    </row>
    <row r="1134" customFormat="false" ht="31.5" hidden="false" customHeight="true" outlineLevel="0" collapsed="false">
      <c r="A1134" s="12" t="n">
        <v>927</v>
      </c>
      <c r="B1134" s="12" t="s">
        <v>2269</v>
      </c>
      <c r="C1134" s="12" t="s">
        <v>2521</v>
      </c>
      <c r="D1134" s="12" t="s">
        <v>113</v>
      </c>
      <c r="E1134" s="12" t="s">
        <v>83</v>
      </c>
      <c r="F1134" s="12" t="n">
        <v>63960</v>
      </c>
      <c r="G1134" s="12"/>
      <c r="H1134" s="12"/>
      <c r="I1134" s="12" t="n">
        <v>62500</v>
      </c>
      <c r="J1134" s="12"/>
      <c r="K1134" s="12"/>
      <c r="L1134" s="12"/>
      <c r="M1134" s="12"/>
      <c r="N1134" s="12"/>
      <c r="O1134" s="13"/>
      <c r="P1134" s="13" t="s">
        <v>6405</v>
      </c>
      <c r="Q1134" s="13"/>
      <c r="R1134" s="13"/>
      <c r="S1134" s="13" t="s">
        <v>6406</v>
      </c>
      <c r="T1134" s="12" t="s">
        <v>94</v>
      </c>
      <c r="U1134" s="12" t="s">
        <v>2283</v>
      </c>
    </row>
    <row r="1135" customFormat="false" ht="31.5" hidden="false" customHeight="true" outlineLevel="0" collapsed="false">
      <c r="A1135" s="12" t="n">
        <v>928</v>
      </c>
      <c r="B1135" s="12" t="s">
        <v>6407</v>
      </c>
      <c r="C1135" s="12" t="s">
        <v>2516</v>
      </c>
      <c r="D1135" s="12" t="s">
        <v>113</v>
      </c>
      <c r="E1135" s="12" t="s">
        <v>83</v>
      </c>
      <c r="F1135" s="12"/>
      <c r="G1135" s="12"/>
      <c r="H1135" s="12"/>
      <c r="I1135" s="12"/>
      <c r="J1135" s="12"/>
      <c r="K1135" s="12"/>
      <c r="L1135" s="12"/>
      <c r="M1135" s="12"/>
      <c r="N1135" s="12"/>
      <c r="O1135" s="13"/>
      <c r="P1135" s="13" t="s">
        <v>6408</v>
      </c>
      <c r="Q1135" s="13"/>
      <c r="R1135" s="13"/>
      <c r="S1135" s="13" t="s">
        <v>6409</v>
      </c>
      <c r="T1135" s="12" t="s">
        <v>108</v>
      </c>
      <c r="U1135" s="12" t="s">
        <v>6410</v>
      </c>
    </row>
    <row r="1136" customFormat="false" ht="31.5" hidden="false" customHeight="true" outlineLevel="0" collapsed="false">
      <c r="A1136" s="12" t="n">
        <v>929</v>
      </c>
      <c r="B1136" s="12" t="s">
        <v>6411</v>
      </c>
      <c r="C1136" s="12" t="s">
        <v>2527</v>
      </c>
      <c r="D1136" s="12" t="s">
        <v>113</v>
      </c>
      <c r="E1136" s="12" t="s">
        <v>83</v>
      </c>
      <c r="F1136" s="12"/>
      <c r="G1136" s="12"/>
      <c r="H1136" s="12"/>
      <c r="I1136" s="12" t="n">
        <v>62500</v>
      </c>
      <c r="J1136" s="12"/>
      <c r="K1136" s="12"/>
      <c r="L1136" s="12" t="n">
        <v>0.5</v>
      </c>
      <c r="M1136" s="12"/>
      <c r="N1136" s="12"/>
      <c r="O1136" s="13"/>
      <c r="P1136" s="13" t="s">
        <v>6412</v>
      </c>
      <c r="Q1136" s="13" t="s">
        <v>6413</v>
      </c>
      <c r="R1136" s="13"/>
      <c r="S1136" s="13" t="s">
        <v>6414</v>
      </c>
      <c r="T1136" s="12" t="s">
        <v>94</v>
      </c>
      <c r="U1136" s="12" t="s">
        <v>6415</v>
      </c>
    </row>
    <row r="1137" customFormat="false" ht="31.5" hidden="false" customHeight="true" outlineLevel="0" collapsed="false">
      <c r="A1137" s="12" t="n">
        <v>929</v>
      </c>
      <c r="B1137" s="12" t="s">
        <v>6411</v>
      </c>
      <c r="C1137" s="12" t="s">
        <v>2537</v>
      </c>
      <c r="D1137" s="12" t="s">
        <v>113</v>
      </c>
      <c r="E1137" s="12" t="s">
        <v>83</v>
      </c>
      <c r="F1137" s="12"/>
      <c r="G1137" s="12" t="n">
        <v>63523</v>
      </c>
      <c r="H1137" s="12"/>
      <c r="I1137" s="12"/>
      <c r="J1137" s="12" t="n">
        <v>25</v>
      </c>
      <c r="K1137" s="12"/>
      <c r="L1137" s="12"/>
      <c r="M1137" s="12"/>
      <c r="N1137" s="12"/>
      <c r="O1137" s="13"/>
      <c r="P1137" s="13" t="s">
        <v>6416</v>
      </c>
      <c r="Q1137" s="13"/>
      <c r="R1137" s="13"/>
      <c r="S1137" s="13" t="s">
        <v>6417</v>
      </c>
      <c r="T1137" s="12" t="s">
        <v>94</v>
      </c>
      <c r="U1137" s="12" t="s">
        <v>6415</v>
      </c>
    </row>
    <row r="1138" customFormat="false" ht="31.5" hidden="false" customHeight="true" outlineLevel="0" collapsed="false">
      <c r="A1138" s="12" t="n">
        <v>930</v>
      </c>
      <c r="B1138" s="12" t="s">
        <v>2284</v>
      </c>
      <c r="C1138" s="12" t="s">
        <v>2521</v>
      </c>
      <c r="D1138" s="12" t="s">
        <v>99</v>
      </c>
      <c r="E1138" s="12" t="s">
        <v>83</v>
      </c>
      <c r="F1138" s="12" t="n">
        <v>1871</v>
      </c>
      <c r="G1138" s="12" t="n">
        <v>1856</v>
      </c>
      <c r="H1138" s="12" t="s">
        <v>2287</v>
      </c>
      <c r="I1138" s="12" t="n">
        <v>1842</v>
      </c>
      <c r="J1138" s="12"/>
      <c r="K1138" s="12"/>
      <c r="L1138" s="12"/>
      <c r="M1138" s="12"/>
      <c r="N1138" s="12"/>
      <c r="O1138" s="13"/>
      <c r="P1138" s="13" t="s">
        <v>6418</v>
      </c>
      <c r="Q1138" s="13"/>
      <c r="R1138" s="13"/>
      <c r="S1138" s="13" t="s">
        <v>6419</v>
      </c>
      <c r="T1138" s="12" t="s">
        <v>94</v>
      </c>
      <c r="U1138" s="12" t="s">
        <v>2294</v>
      </c>
    </row>
    <row r="1139" customFormat="false" ht="31.5" hidden="false" customHeight="true" outlineLevel="0" collapsed="false">
      <c r="A1139" s="12" t="n">
        <v>931</v>
      </c>
      <c r="B1139" s="12" t="s">
        <v>6420</v>
      </c>
      <c r="C1139" s="12" t="s">
        <v>2557</v>
      </c>
      <c r="D1139" s="12" t="s">
        <v>113</v>
      </c>
      <c r="E1139" s="12" t="s">
        <v>83</v>
      </c>
      <c r="F1139" s="12"/>
      <c r="G1139" s="12"/>
      <c r="H1139" s="12"/>
      <c r="I1139" s="12"/>
      <c r="J1139" s="12"/>
      <c r="K1139" s="12"/>
      <c r="L1139" s="12"/>
      <c r="M1139" s="12"/>
      <c r="N1139" s="12"/>
      <c r="O1139" s="13" t="s">
        <v>6421</v>
      </c>
      <c r="P1139" s="13" t="s">
        <v>6422</v>
      </c>
      <c r="Q1139" s="13"/>
      <c r="R1139" s="13"/>
      <c r="S1139" s="13" t="s">
        <v>6421</v>
      </c>
      <c r="T1139" s="12" t="s">
        <v>108</v>
      </c>
      <c r="U1139" s="12" t="s">
        <v>6423</v>
      </c>
    </row>
    <row r="1140" customFormat="false" ht="31.5" hidden="false" customHeight="true" outlineLevel="0" collapsed="false">
      <c r="A1140" s="12" t="n">
        <v>931</v>
      </c>
      <c r="B1140" s="12" t="s">
        <v>6420</v>
      </c>
      <c r="C1140" s="12" t="s">
        <v>2557</v>
      </c>
      <c r="D1140" s="12" t="s">
        <v>99</v>
      </c>
      <c r="E1140" s="12" t="s">
        <v>83</v>
      </c>
      <c r="F1140" s="12"/>
      <c r="G1140" s="12"/>
      <c r="H1140" s="12"/>
      <c r="I1140" s="12"/>
      <c r="J1140" s="12"/>
      <c r="K1140" s="12"/>
      <c r="L1140" s="12"/>
      <c r="M1140" s="12"/>
      <c r="N1140" s="12"/>
      <c r="O1140" s="13" t="s">
        <v>6421</v>
      </c>
      <c r="P1140" s="13" t="s">
        <v>6422</v>
      </c>
      <c r="Q1140" s="13"/>
      <c r="R1140" s="13"/>
      <c r="S1140" s="13" t="s">
        <v>6421</v>
      </c>
      <c r="T1140" s="12" t="s">
        <v>108</v>
      </c>
      <c r="U1140" s="12" t="s">
        <v>6423</v>
      </c>
    </row>
    <row r="1141" customFormat="false" ht="31.5" hidden="false" customHeight="true" outlineLevel="0" collapsed="false">
      <c r="A1141" s="12" t="n">
        <v>932</v>
      </c>
      <c r="B1141" s="12" t="s">
        <v>2289</v>
      </c>
      <c r="C1141" s="12" t="s">
        <v>2666</v>
      </c>
      <c r="D1141" s="12" t="s">
        <v>99</v>
      </c>
      <c r="E1141" s="12" t="s">
        <v>83</v>
      </c>
      <c r="F1141" s="12" t="n">
        <v>1872.74</v>
      </c>
      <c r="G1141" s="12"/>
      <c r="H1141" s="12"/>
      <c r="I1141" s="12"/>
      <c r="J1141" s="12" t="n">
        <v>100</v>
      </c>
      <c r="K1141" s="12"/>
      <c r="L1141" s="12"/>
      <c r="M1141" s="12" t="n">
        <v>186.03</v>
      </c>
      <c r="N1141" s="12" t="n">
        <v>1890.16</v>
      </c>
      <c r="O1141" s="13"/>
      <c r="P1141" s="13" t="s">
        <v>6424</v>
      </c>
      <c r="Q1141" s="13"/>
      <c r="R1141" s="13"/>
      <c r="S1141" s="13" t="s">
        <v>6425</v>
      </c>
      <c r="T1141" s="12" t="s">
        <v>94</v>
      </c>
      <c r="U1141" s="12" t="s">
        <v>6426</v>
      </c>
    </row>
    <row r="1142" customFormat="false" ht="31.5" hidden="false" customHeight="true" outlineLevel="0" collapsed="false">
      <c r="A1142" s="12" t="n">
        <v>933</v>
      </c>
      <c r="B1142" s="12" t="s">
        <v>2295</v>
      </c>
      <c r="C1142" s="12" t="s">
        <v>2557</v>
      </c>
      <c r="D1142" s="12" t="s">
        <v>317</v>
      </c>
      <c r="E1142" s="12" t="s">
        <v>259</v>
      </c>
      <c r="F1142" s="12" t="n">
        <v>77.23</v>
      </c>
      <c r="G1142" s="12"/>
      <c r="H1142" s="12"/>
      <c r="I1142" s="12"/>
      <c r="J1142" s="12"/>
      <c r="K1142" s="12" t="n">
        <v>100</v>
      </c>
      <c r="L1142" s="12"/>
      <c r="M1142" s="12" t="n">
        <v>262.87</v>
      </c>
      <c r="N1142" s="12" t="n">
        <v>75.23</v>
      </c>
      <c r="O1142" s="13"/>
      <c r="P1142" s="13" t="s">
        <v>6427</v>
      </c>
      <c r="Q1142" s="13"/>
      <c r="R1142" s="13"/>
      <c r="S1142" s="13" t="s">
        <v>6428</v>
      </c>
      <c r="T1142" s="12" t="s">
        <v>108</v>
      </c>
      <c r="U1142" s="12" t="s">
        <v>2301</v>
      </c>
    </row>
    <row r="1143" customFormat="false" ht="31.5" hidden="false" customHeight="true" outlineLevel="0" collapsed="false">
      <c r="A1143" s="12" t="n">
        <v>934</v>
      </c>
      <c r="B1143" s="12" t="s">
        <v>2302</v>
      </c>
      <c r="C1143" s="12" t="s">
        <v>2527</v>
      </c>
      <c r="D1143" s="12" t="s">
        <v>113</v>
      </c>
      <c r="E1143" s="12"/>
      <c r="F1143" s="12"/>
      <c r="G1143" s="12"/>
      <c r="H1143" s="12"/>
      <c r="I1143" s="12"/>
      <c r="J1143" s="12"/>
      <c r="K1143" s="12"/>
      <c r="L1143" s="12"/>
      <c r="M1143" s="12"/>
      <c r="N1143" s="12"/>
      <c r="O1143" s="13"/>
      <c r="P1143" s="13" t="s">
        <v>6429</v>
      </c>
      <c r="Q1143" s="13"/>
      <c r="R1143" s="13" t="s">
        <v>6430</v>
      </c>
      <c r="S1143" s="13" t="s">
        <v>6431</v>
      </c>
      <c r="T1143" s="12" t="s">
        <v>94</v>
      </c>
      <c r="U1143" s="12" t="s">
        <v>2310</v>
      </c>
    </row>
    <row r="1144" customFormat="false" ht="31.5" hidden="false" customHeight="true" outlineLevel="0" collapsed="false">
      <c r="A1144" s="12" t="n">
        <v>934</v>
      </c>
      <c r="B1144" s="12" t="s">
        <v>2302</v>
      </c>
      <c r="C1144" s="12" t="s">
        <v>2549</v>
      </c>
      <c r="D1144" s="12" t="s">
        <v>113</v>
      </c>
      <c r="E1144" s="12" t="s">
        <v>83</v>
      </c>
      <c r="F1144" s="12" t="n">
        <v>63500</v>
      </c>
      <c r="G1144" s="12"/>
      <c r="H1144" s="12"/>
      <c r="I1144" s="12"/>
      <c r="J1144" s="12"/>
      <c r="K1144" s="12"/>
      <c r="L1144" s="12"/>
      <c r="M1144" s="12" t="n">
        <v>0</v>
      </c>
      <c r="N1144" s="12"/>
      <c r="O1144" s="13"/>
      <c r="P1144" s="13" t="s">
        <v>6432</v>
      </c>
      <c r="Q1144" s="13"/>
      <c r="R1144" s="13"/>
      <c r="S1144" s="13" t="s">
        <v>6433</v>
      </c>
      <c r="T1144" s="12" t="s">
        <v>108</v>
      </c>
      <c r="U1144" s="12" t="s">
        <v>2310</v>
      </c>
    </row>
    <row r="1145" customFormat="false" ht="31.5" hidden="false" customHeight="true" outlineLevel="0" collapsed="false">
      <c r="A1145" s="12" t="n">
        <v>935</v>
      </c>
      <c r="B1145" s="12" t="s">
        <v>2311</v>
      </c>
      <c r="C1145" s="12" t="s">
        <v>2549</v>
      </c>
      <c r="D1145" s="12" t="s">
        <v>2312</v>
      </c>
      <c r="E1145" s="12" t="s">
        <v>83</v>
      </c>
      <c r="F1145" s="12" t="n">
        <v>0.084</v>
      </c>
      <c r="G1145" s="12"/>
      <c r="H1145" s="12"/>
      <c r="I1145" s="12"/>
      <c r="J1145" s="12"/>
      <c r="K1145" s="12"/>
      <c r="L1145" s="12"/>
      <c r="M1145" s="12"/>
      <c r="N1145" s="12" t="n">
        <v>0.088</v>
      </c>
      <c r="O1145" s="13"/>
      <c r="P1145" s="13" t="s">
        <v>6434</v>
      </c>
      <c r="Q1145" s="13"/>
      <c r="R1145" s="13"/>
      <c r="S1145" s="13" t="s">
        <v>6435</v>
      </c>
      <c r="T1145" s="12" t="s">
        <v>94</v>
      </c>
      <c r="U1145" s="12" t="s">
        <v>2318</v>
      </c>
    </row>
    <row r="1146" customFormat="false" ht="31.5" hidden="false" customHeight="true" outlineLevel="0" collapsed="false">
      <c r="A1146" s="12" t="n">
        <v>936</v>
      </c>
      <c r="B1146" s="12" t="s">
        <v>6436</v>
      </c>
      <c r="C1146" s="12" t="s">
        <v>2557</v>
      </c>
      <c r="D1146" s="12" t="s">
        <v>2312</v>
      </c>
      <c r="E1146" s="12" t="s">
        <v>83</v>
      </c>
      <c r="F1146" s="12"/>
      <c r="G1146" s="12"/>
      <c r="H1146" s="12"/>
      <c r="I1146" s="12"/>
      <c r="J1146" s="12"/>
      <c r="K1146" s="12"/>
      <c r="L1146" s="12"/>
      <c r="M1146" s="12" t="n">
        <v>25</v>
      </c>
      <c r="N1146" s="12"/>
      <c r="O1146" s="13"/>
      <c r="P1146" s="13" t="s">
        <v>6437</v>
      </c>
      <c r="Q1146" s="13"/>
      <c r="R1146" s="13"/>
      <c r="S1146" s="13" t="s">
        <v>6438</v>
      </c>
      <c r="T1146" s="12" t="s">
        <v>94</v>
      </c>
      <c r="U1146" s="12" t="s">
        <v>6439</v>
      </c>
    </row>
    <row r="1147" customFormat="false" ht="31.5" hidden="false" customHeight="true" outlineLevel="0" collapsed="false">
      <c r="A1147" s="12" t="n">
        <v>937</v>
      </c>
      <c r="B1147" s="12" t="s">
        <v>6440</v>
      </c>
      <c r="C1147" s="12" t="s">
        <v>2537</v>
      </c>
      <c r="D1147" s="12" t="s">
        <v>113</v>
      </c>
      <c r="E1147" s="12" t="s">
        <v>83</v>
      </c>
      <c r="F1147" s="12" t="n">
        <v>63800</v>
      </c>
      <c r="G1147" s="12"/>
      <c r="H1147" s="12"/>
      <c r="I1147" s="12"/>
      <c r="J1147" s="12"/>
      <c r="K1147" s="12"/>
      <c r="L1147" s="12"/>
      <c r="M1147" s="12" t="n">
        <v>91.1</v>
      </c>
      <c r="N1147" s="12"/>
      <c r="O1147" s="13"/>
      <c r="P1147" s="13" t="s">
        <v>6441</v>
      </c>
      <c r="Q1147" s="13"/>
      <c r="R1147" s="13"/>
      <c r="S1147" s="13" t="s">
        <v>6442</v>
      </c>
      <c r="T1147" s="12" t="s">
        <v>94</v>
      </c>
      <c r="U1147" s="12" t="s">
        <v>6443</v>
      </c>
    </row>
    <row r="1148" customFormat="false" ht="31.5" hidden="false" customHeight="true" outlineLevel="0" collapsed="false">
      <c r="A1148" s="12" t="n">
        <v>937</v>
      </c>
      <c r="B1148" s="12" t="s">
        <v>6440</v>
      </c>
      <c r="C1148" s="12" t="s">
        <v>2670</v>
      </c>
      <c r="D1148" s="12" t="s">
        <v>113</v>
      </c>
      <c r="E1148" s="12" t="s">
        <v>83</v>
      </c>
      <c r="F1148" s="12"/>
      <c r="G1148" s="12"/>
      <c r="H1148" s="12" t="s">
        <v>6444</v>
      </c>
      <c r="I1148" s="12"/>
      <c r="J1148" s="12"/>
      <c r="K1148" s="12"/>
      <c r="L1148" s="12"/>
      <c r="M1148" s="12"/>
      <c r="N1148" s="12"/>
      <c r="O1148" s="13" t="s">
        <v>6445</v>
      </c>
      <c r="P1148" s="13" t="s">
        <v>6446</v>
      </c>
      <c r="Q1148" s="13" t="s">
        <v>4311</v>
      </c>
      <c r="R1148" s="13" t="s">
        <v>6447</v>
      </c>
      <c r="S1148" s="13" t="s">
        <v>6448</v>
      </c>
      <c r="T1148" s="12" t="s">
        <v>94</v>
      </c>
      <c r="U1148" s="12" t="s">
        <v>6443</v>
      </c>
    </row>
    <row r="1149" customFormat="false" ht="31.5" hidden="false" customHeight="true" outlineLevel="0" collapsed="false">
      <c r="A1149" s="12" t="n">
        <v>938</v>
      </c>
      <c r="B1149" s="12" t="s">
        <v>6449</v>
      </c>
      <c r="C1149" s="12" t="s">
        <v>2557</v>
      </c>
      <c r="D1149" s="12" t="s">
        <v>113</v>
      </c>
      <c r="E1149" s="12" t="s">
        <v>83</v>
      </c>
      <c r="F1149" s="12"/>
      <c r="G1149" s="12"/>
      <c r="H1149" s="12" t="s">
        <v>6450</v>
      </c>
      <c r="I1149" s="12"/>
      <c r="J1149" s="12"/>
      <c r="K1149" s="12"/>
      <c r="L1149" s="12"/>
      <c r="M1149" s="12"/>
      <c r="N1149" s="12"/>
      <c r="O1149" s="13"/>
      <c r="P1149" s="13" t="s">
        <v>6451</v>
      </c>
      <c r="Q1149" s="13" t="s">
        <v>4311</v>
      </c>
      <c r="R1149" s="13" t="s">
        <v>6452</v>
      </c>
      <c r="S1149" s="13" t="s">
        <v>6453</v>
      </c>
      <c r="T1149" s="12" t="s">
        <v>94</v>
      </c>
      <c r="U1149" s="12" t="s">
        <v>6454</v>
      </c>
    </row>
    <row r="1150" customFormat="false" ht="31.5" hidden="false" customHeight="true" outlineLevel="0" collapsed="false">
      <c r="A1150" s="12" t="n">
        <v>939</v>
      </c>
      <c r="B1150" s="12" t="s">
        <v>2319</v>
      </c>
      <c r="C1150" s="12" t="s">
        <v>2521</v>
      </c>
      <c r="D1150" s="12" t="s">
        <v>596</v>
      </c>
      <c r="E1150" s="12" t="s">
        <v>259</v>
      </c>
      <c r="F1150" s="12" t="n">
        <v>58.36</v>
      </c>
      <c r="G1150" s="12" t="n">
        <v>59.11</v>
      </c>
      <c r="H1150" s="12"/>
      <c r="I1150" s="12" t="n">
        <v>60.5</v>
      </c>
      <c r="J1150" s="12"/>
      <c r="K1150" s="12"/>
      <c r="L1150" s="12"/>
      <c r="M1150" s="12"/>
      <c r="N1150" s="12"/>
      <c r="O1150" s="13"/>
      <c r="P1150" s="13" t="s">
        <v>6455</v>
      </c>
      <c r="Q1150" s="13"/>
      <c r="R1150" s="13"/>
      <c r="S1150" s="13" t="s">
        <v>6456</v>
      </c>
      <c r="T1150" s="12" t="s">
        <v>94</v>
      </c>
      <c r="U1150" s="12" t="s">
        <v>2329</v>
      </c>
    </row>
    <row r="1151" customFormat="false" ht="31.5" hidden="false" customHeight="true" outlineLevel="0" collapsed="false">
      <c r="A1151" s="12" t="n">
        <v>940</v>
      </c>
      <c r="B1151" s="12" t="s">
        <v>6457</v>
      </c>
      <c r="C1151" s="12" t="s">
        <v>2557</v>
      </c>
      <c r="D1151" s="12" t="s">
        <v>596</v>
      </c>
      <c r="E1151" s="12" t="s">
        <v>259</v>
      </c>
      <c r="F1151" s="12"/>
      <c r="G1151" s="12"/>
      <c r="H1151" s="12"/>
      <c r="I1151" s="12"/>
      <c r="J1151" s="12"/>
      <c r="K1151" s="12"/>
      <c r="L1151" s="12"/>
      <c r="M1151" s="12"/>
      <c r="N1151" s="12"/>
      <c r="O1151" s="13"/>
      <c r="P1151" s="13" t="s">
        <v>6458</v>
      </c>
      <c r="Q1151" s="13"/>
      <c r="R1151" s="13"/>
      <c r="S1151" s="13" t="s">
        <v>6459</v>
      </c>
      <c r="T1151" s="12" t="s">
        <v>108</v>
      </c>
      <c r="U1151" s="12" t="s">
        <v>6460</v>
      </c>
    </row>
    <row r="1152" customFormat="false" ht="31.5" hidden="false" customHeight="true" outlineLevel="0" collapsed="false">
      <c r="A1152" s="12" t="n">
        <v>941</v>
      </c>
      <c r="B1152" s="12" t="s">
        <v>6461</v>
      </c>
      <c r="C1152" s="12" t="s">
        <v>2557</v>
      </c>
      <c r="D1152" s="12" t="s">
        <v>596</v>
      </c>
      <c r="E1152" s="12" t="s">
        <v>259</v>
      </c>
      <c r="F1152" s="12"/>
      <c r="G1152" s="12"/>
      <c r="H1152" s="12"/>
      <c r="I1152" s="12"/>
      <c r="J1152" s="12" t="n">
        <v>50</v>
      </c>
      <c r="K1152" s="12"/>
      <c r="L1152" s="12"/>
      <c r="M1152" s="12"/>
      <c r="N1152" s="12"/>
      <c r="O1152" s="13"/>
      <c r="P1152" s="13" t="s">
        <v>6462</v>
      </c>
      <c r="Q1152" s="13"/>
      <c r="R1152" s="13"/>
      <c r="S1152" s="13" t="s">
        <v>6463</v>
      </c>
      <c r="T1152" s="12" t="s">
        <v>108</v>
      </c>
      <c r="U1152" s="12" t="s">
        <v>6464</v>
      </c>
    </row>
    <row r="1153" customFormat="false" ht="31.5" hidden="false" customHeight="true" outlineLevel="0" collapsed="false">
      <c r="A1153" s="12" t="n">
        <v>942</v>
      </c>
      <c r="B1153" s="12" t="s">
        <v>6465</v>
      </c>
      <c r="C1153" s="12" t="s">
        <v>2670</v>
      </c>
      <c r="D1153" s="12" t="s">
        <v>596</v>
      </c>
      <c r="E1153" s="12" t="s">
        <v>259</v>
      </c>
      <c r="F1153" s="12"/>
      <c r="G1153" s="12"/>
      <c r="H1153" s="12" t="s">
        <v>2323</v>
      </c>
      <c r="I1153" s="12"/>
      <c r="J1153" s="12"/>
      <c r="K1153" s="12"/>
      <c r="L1153" s="12"/>
      <c r="M1153" s="12"/>
      <c r="N1153" s="12"/>
      <c r="O1153" s="13"/>
      <c r="P1153" s="13" t="s">
        <v>6466</v>
      </c>
      <c r="Q1153" s="13"/>
      <c r="R1153" s="13"/>
      <c r="S1153" s="13" t="s">
        <v>6467</v>
      </c>
      <c r="T1153" s="12" t="s">
        <v>94</v>
      </c>
      <c r="U1153" s="12" t="s">
        <v>6468</v>
      </c>
    </row>
    <row r="1154" customFormat="false" ht="31.5" hidden="false" customHeight="true" outlineLevel="0" collapsed="false">
      <c r="A1154" s="12" t="n">
        <v>943</v>
      </c>
      <c r="B1154" s="12" t="s">
        <v>2324</v>
      </c>
      <c r="C1154" s="12" t="s">
        <v>2666</v>
      </c>
      <c r="D1154" s="12" t="s">
        <v>596</v>
      </c>
      <c r="E1154" s="12" t="s">
        <v>259</v>
      </c>
      <c r="F1154" s="12" t="n">
        <v>58.35</v>
      </c>
      <c r="G1154" s="12"/>
      <c r="H1154" s="12"/>
      <c r="I1154" s="12"/>
      <c r="J1154" s="12" t="n">
        <v>100</v>
      </c>
      <c r="K1154" s="12"/>
      <c r="L1154" s="12"/>
      <c r="M1154" s="12" t="n">
        <v>158.26</v>
      </c>
      <c r="N1154" s="12" t="n">
        <v>56.503</v>
      </c>
      <c r="O1154" s="13"/>
      <c r="P1154" s="13" t="s">
        <v>6469</v>
      </c>
      <c r="Q1154" s="13"/>
      <c r="R1154" s="13"/>
      <c r="S1154" s="13" t="s">
        <v>6470</v>
      </c>
      <c r="T1154" s="12" t="s">
        <v>94</v>
      </c>
      <c r="U1154" s="12" t="s">
        <v>6471</v>
      </c>
    </row>
    <row r="1155" customFormat="false" ht="31.5" hidden="false" customHeight="true" outlineLevel="0" collapsed="false">
      <c r="A1155" s="12" t="n">
        <v>944</v>
      </c>
      <c r="B1155" s="12" t="s">
        <v>6472</v>
      </c>
      <c r="C1155" s="12" t="s">
        <v>2588</v>
      </c>
      <c r="D1155" s="12" t="s">
        <v>113</v>
      </c>
      <c r="E1155" s="12" t="s">
        <v>83</v>
      </c>
      <c r="F1155" s="12"/>
      <c r="G1155" s="12"/>
      <c r="H1155" s="12"/>
      <c r="I1155" s="12" t="n">
        <v>62500</v>
      </c>
      <c r="J1155" s="12"/>
      <c r="K1155" s="12"/>
      <c r="L1155" s="12"/>
      <c r="M1155" s="12"/>
      <c r="N1155" s="12"/>
      <c r="O1155" s="13"/>
      <c r="P1155" s="13" t="s">
        <v>6473</v>
      </c>
      <c r="Q1155" s="13" t="s">
        <v>692</v>
      </c>
      <c r="R1155" s="13" t="s">
        <v>6474</v>
      </c>
      <c r="S1155" s="13" t="s">
        <v>6475</v>
      </c>
      <c r="T1155" s="12" t="s">
        <v>94</v>
      </c>
      <c r="U1155" s="12" t="s">
        <v>6476</v>
      </c>
    </row>
    <row r="1156" customFormat="false" ht="31.5" hidden="false" customHeight="true" outlineLevel="0" collapsed="false">
      <c r="A1156" s="12" t="n">
        <v>945</v>
      </c>
      <c r="B1156" s="12" t="s">
        <v>2330</v>
      </c>
      <c r="C1156" s="12" t="s">
        <v>2521</v>
      </c>
      <c r="D1156" s="12" t="s">
        <v>476</v>
      </c>
      <c r="E1156" s="12" t="s">
        <v>83</v>
      </c>
      <c r="F1156" s="12" t="n">
        <v>486</v>
      </c>
      <c r="G1156" s="12"/>
      <c r="H1156" s="12" t="s">
        <v>2332</v>
      </c>
      <c r="I1156" s="12" t="n">
        <v>465</v>
      </c>
      <c r="J1156" s="12"/>
      <c r="K1156" s="12"/>
      <c r="L1156" s="12"/>
      <c r="M1156" s="12"/>
      <c r="N1156" s="12"/>
      <c r="O1156" s="13" t="s">
        <v>2333</v>
      </c>
      <c r="P1156" s="13" t="s">
        <v>6477</v>
      </c>
      <c r="Q1156" s="13"/>
      <c r="R1156" s="13"/>
      <c r="S1156" s="13" t="s">
        <v>6478</v>
      </c>
      <c r="T1156" s="12" t="s">
        <v>94</v>
      </c>
      <c r="U1156" s="12" t="s">
        <v>2339</v>
      </c>
    </row>
    <row r="1157" customFormat="false" ht="31.5" hidden="false" customHeight="true" outlineLevel="0" collapsed="false">
      <c r="A1157" s="12" t="n">
        <v>946</v>
      </c>
      <c r="B1157" s="12" t="s">
        <v>2340</v>
      </c>
      <c r="C1157" s="12" t="s">
        <v>2521</v>
      </c>
      <c r="D1157" s="12" t="s">
        <v>363</v>
      </c>
      <c r="E1157" s="12" t="s">
        <v>83</v>
      </c>
      <c r="F1157" s="12" t="n">
        <v>4.036</v>
      </c>
      <c r="G1157" s="12"/>
      <c r="H1157" s="12"/>
      <c r="I1157" s="12" t="n">
        <v>3.91</v>
      </c>
      <c r="J1157" s="12"/>
      <c r="K1157" s="12"/>
      <c r="L1157" s="12"/>
      <c r="M1157" s="12"/>
      <c r="N1157" s="12"/>
      <c r="O1157" s="13" t="s">
        <v>6479</v>
      </c>
      <c r="P1157" s="13" t="s">
        <v>6480</v>
      </c>
      <c r="Q1157" s="13"/>
      <c r="R1157" s="13"/>
      <c r="S1157" s="13" t="s">
        <v>6481</v>
      </c>
      <c r="T1157" s="12" t="s">
        <v>94</v>
      </c>
      <c r="U1157" s="12" t="s">
        <v>2347</v>
      </c>
    </row>
    <row r="1158" customFormat="false" ht="31.5" hidden="false" customHeight="true" outlineLevel="0" collapsed="false">
      <c r="A1158" s="12" t="n">
        <v>947</v>
      </c>
      <c r="B1158" s="12" t="s">
        <v>2334</v>
      </c>
      <c r="C1158" s="12" t="s">
        <v>2666</v>
      </c>
      <c r="D1158" s="12" t="s">
        <v>476</v>
      </c>
      <c r="E1158" s="12" t="s">
        <v>83</v>
      </c>
      <c r="F1158" s="12"/>
      <c r="G1158" s="12"/>
      <c r="H1158" s="12"/>
      <c r="I1158" s="12"/>
      <c r="J1158" s="12" t="n">
        <v>100</v>
      </c>
      <c r="K1158" s="12"/>
      <c r="L1158" s="12"/>
      <c r="M1158" s="12" t="n">
        <v>103.9</v>
      </c>
      <c r="N1158" s="12"/>
      <c r="O1158" s="13"/>
      <c r="P1158" s="13" t="s">
        <v>6482</v>
      </c>
      <c r="Q1158" s="13"/>
      <c r="R1158" s="13"/>
      <c r="S1158" s="13" t="s">
        <v>5334</v>
      </c>
      <c r="T1158" s="12" t="s">
        <v>94</v>
      </c>
      <c r="U1158" s="12" t="s">
        <v>6483</v>
      </c>
    </row>
    <row r="1159" customFormat="false" ht="31.5" hidden="false" customHeight="true" outlineLevel="0" collapsed="false">
      <c r="A1159" s="12" t="n">
        <v>948</v>
      </c>
      <c r="B1159" s="12" t="s">
        <v>6484</v>
      </c>
      <c r="C1159" s="12" t="s">
        <v>2630</v>
      </c>
      <c r="D1159" s="12" t="s">
        <v>476</v>
      </c>
      <c r="E1159" s="12" t="s">
        <v>83</v>
      </c>
      <c r="F1159" s="12"/>
      <c r="G1159" s="12"/>
      <c r="H1159" s="12"/>
      <c r="I1159" s="12"/>
      <c r="J1159" s="12" t="n">
        <v>100</v>
      </c>
      <c r="K1159" s="12"/>
      <c r="L1159" s="12"/>
      <c r="M1159" s="12"/>
      <c r="N1159" s="12" t="n">
        <v>498</v>
      </c>
      <c r="O1159" s="13"/>
      <c r="P1159" s="13" t="s">
        <v>6485</v>
      </c>
      <c r="Q1159" s="13"/>
      <c r="R1159" s="13"/>
      <c r="S1159" s="13" t="s">
        <v>6486</v>
      </c>
      <c r="T1159" s="12" t="s">
        <v>94</v>
      </c>
      <c r="U1159" s="12" t="s">
        <v>6487</v>
      </c>
    </row>
    <row r="1160" customFormat="false" ht="31.5" hidden="false" customHeight="true" outlineLevel="0" collapsed="false">
      <c r="A1160" s="12" t="n">
        <v>949</v>
      </c>
      <c r="B1160" s="12" t="s">
        <v>6488</v>
      </c>
      <c r="C1160" s="12" t="s">
        <v>2527</v>
      </c>
      <c r="D1160" s="12" t="s">
        <v>476</v>
      </c>
      <c r="E1160" s="12" t="s">
        <v>83</v>
      </c>
      <c r="F1160" s="12"/>
      <c r="G1160" s="12"/>
      <c r="H1160" s="12"/>
      <c r="I1160" s="12"/>
      <c r="J1160" s="12"/>
      <c r="K1160" s="12"/>
      <c r="L1160" s="12"/>
      <c r="M1160" s="12"/>
      <c r="N1160" s="12" t="n">
        <v>498.44</v>
      </c>
      <c r="O1160" s="13"/>
      <c r="P1160" s="13" t="s">
        <v>6489</v>
      </c>
      <c r="Q1160" s="13"/>
      <c r="R1160" s="13"/>
      <c r="S1160" s="13" t="s">
        <v>6490</v>
      </c>
      <c r="T1160" s="12" t="s">
        <v>94</v>
      </c>
      <c r="U1160" s="12" t="s">
        <v>6491</v>
      </c>
    </row>
    <row r="1161" customFormat="false" ht="31.5" hidden="false" customHeight="true" outlineLevel="0" collapsed="false">
      <c r="A1161" s="12" t="n">
        <v>950</v>
      </c>
      <c r="B1161" s="12" t="s">
        <v>6492</v>
      </c>
      <c r="C1161" s="12" t="s">
        <v>2527</v>
      </c>
      <c r="D1161" s="12" t="s">
        <v>113</v>
      </c>
      <c r="E1161" s="12"/>
      <c r="F1161" s="12"/>
      <c r="G1161" s="12"/>
      <c r="H1161" s="12"/>
      <c r="I1161" s="12"/>
      <c r="J1161" s="12"/>
      <c r="K1161" s="12"/>
      <c r="L1161" s="12"/>
      <c r="M1161" s="12"/>
      <c r="N1161" s="12"/>
      <c r="O1161" s="13"/>
      <c r="P1161" s="13" t="s">
        <v>6493</v>
      </c>
      <c r="Q1161" s="13"/>
      <c r="R1161" s="13" t="s">
        <v>6494</v>
      </c>
      <c r="S1161" s="13" t="s">
        <v>6495</v>
      </c>
      <c r="T1161" s="12" t="s">
        <v>94</v>
      </c>
      <c r="U1161" s="12" t="s">
        <v>6496</v>
      </c>
    </row>
    <row r="1162" customFormat="false" ht="31.5" hidden="false" customHeight="true" outlineLevel="0" collapsed="false">
      <c r="A1162" s="12" t="n">
        <v>951</v>
      </c>
      <c r="B1162" s="12" t="s">
        <v>6497</v>
      </c>
      <c r="C1162" s="12" t="s">
        <v>2527</v>
      </c>
      <c r="D1162" s="12" t="s">
        <v>113</v>
      </c>
      <c r="E1162" s="12"/>
      <c r="F1162" s="12"/>
      <c r="G1162" s="12"/>
      <c r="H1162" s="12"/>
      <c r="I1162" s="12"/>
      <c r="J1162" s="12"/>
      <c r="K1162" s="12"/>
      <c r="L1162" s="12"/>
      <c r="M1162" s="12"/>
      <c r="N1162" s="12"/>
      <c r="O1162" s="13"/>
      <c r="P1162" s="13" t="s">
        <v>6498</v>
      </c>
      <c r="Q1162" s="13"/>
      <c r="R1162" s="13" t="s">
        <v>6499</v>
      </c>
      <c r="S1162" s="13" t="s">
        <v>6500</v>
      </c>
      <c r="T1162" s="12" t="s">
        <v>108</v>
      </c>
      <c r="U1162" s="12" t="s">
        <v>6501</v>
      </c>
    </row>
    <row r="1163" customFormat="false" ht="31.5" hidden="false" customHeight="true" outlineLevel="0" collapsed="false">
      <c r="A1163" s="12" t="n">
        <v>952</v>
      </c>
      <c r="B1163" s="12" t="s">
        <v>2348</v>
      </c>
      <c r="C1163" s="12" t="s">
        <v>2521</v>
      </c>
      <c r="D1163" s="12" t="s">
        <v>317</v>
      </c>
      <c r="E1163" s="12" t="s">
        <v>83</v>
      </c>
      <c r="F1163" s="12" t="n">
        <v>75.3</v>
      </c>
      <c r="G1163" s="12" t="n">
        <v>74.7</v>
      </c>
      <c r="H1163" s="12"/>
      <c r="I1163" s="12" t="n">
        <v>73</v>
      </c>
      <c r="J1163" s="12"/>
      <c r="K1163" s="12"/>
      <c r="L1163" s="12"/>
      <c r="M1163" s="12"/>
      <c r="N1163" s="12"/>
      <c r="O1163" s="13" t="s">
        <v>6502</v>
      </c>
      <c r="P1163" s="13" t="s">
        <v>6503</v>
      </c>
      <c r="Q1163" s="13"/>
      <c r="R1163" s="13" t="s">
        <v>1649</v>
      </c>
      <c r="S1163" s="13" t="s">
        <v>6504</v>
      </c>
      <c r="T1163" s="12" t="s">
        <v>94</v>
      </c>
      <c r="U1163" s="12" t="s">
        <v>2359</v>
      </c>
    </row>
    <row r="1164" customFormat="false" ht="31.5" hidden="false" customHeight="true" outlineLevel="0" collapsed="false">
      <c r="A1164" s="12" t="n">
        <v>953</v>
      </c>
      <c r="B1164" s="12" t="s">
        <v>2353</v>
      </c>
      <c r="C1164" s="12" t="s">
        <v>2537</v>
      </c>
      <c r="D1164" s="12" t="s">
        <v>317</v>
      </c>
      <c r="E1164" s="12" t="s">
        <v>83</v>
      </c>
      <c r="F1164" s="12"/>
      <c r="G1164" s="12"/>
      <c r="H1164" s="12"/>
      <c r="I1164" s="12"/>
      <c r="J1164" s="12"/>
      <c r="K1164" s="12"/>
      <c r="L1164" s="12"/>
      <c r="M1164" s="12"/>
      <c r="N1164" s="12"/>
      <c r="O1164" s="13"/>
      <c r="P1164" s="13" t="s">
        <v>6505</v>
      </c>
      <c r="Q1164" s="13"/>
      <c r="R1164" s="13"/>
      <c r="S1164" s="13" t="s">
        <v>6506</v>
      </c>
      <c r="T1164" s="12" t="s">
        <v>94</v>
      </c>
      <c r="U1164" s="12" t="s">
        <v>6507</v>
      </c>
    </row>
    <row r="1165" customFormat="false" ht="31.5" hidden="false" customHeight="true" outlineLevel="0" collapsed="false">
      <c r="A1165" s="12" t="n">
        <v>953</v>
      </c>
      <c r="B1165" s="12" t="s">
        <v>2353</v>
      </c>
      <c r="C1165" s="12" t="s">
        <v>2630</v>
      </c>
      <c r="D1165" s="12" t="s">
        <v>317</v>
      </c>
      <c r="E1165" s="12" t="s">
        <v>83</v>
      </c>
      <c r="F1165" s="12"/>
      <c r="G1165" s="12"/>
      <c r="H1165" s="12"/>
      <c r="I1165" s="12"/>
      <c r="J1165" s="12" t="n">
        <v>100</v>
      </c>
      <c r="K1165" s="12"/>
      <c r="L1165" s="12"/>
      <c r="M1165" s="12" t="n">
        <v>123.88</v>
      </c>
      <c r="N1165" s="12" t="n">
        <v>75.6</v>
      </c>
      <c r="O1165" s="13"/>
      <c r="P1165" s="13" t="s">
        <v>6508</v>
      </c>
      <c r="Q1165" s="13"/>
      <c r="R1165" s="13"/>
      <c r="S1165" s="13" t="s">
        <v>6509</v>
      </c>
      <c r="T1165" s="12" t="s">
        <v>94</v>
      </c>
      <c r="U1165" s="12" t="s">
        <v>6507</v>
      </c>
    </row>
    <row r="1166" customFormat="false" ht="31.5" hidden="false" customHeight="true" outlineLevel="0" collapsed="false">
      <c r="A1166" s="12" t="n">
        <v>954</v>
      </c>
      <c r="B1166" s="12" t="s">
        <v>6510</v>
      </c>
      <c r="C1166" s="12" t="s">
        <v>2618</v>
      </c>
      <c r="D1166" s="12" t="s">
        <v>113</v>
      </c>
      <c r="E1166" s="12" t="s">
        <v>83</v>
      </c>
      <c r="F1166" s="12" t="n">
        <v>63800</v>
      </c>
      <c r="G1166" s="12"/>
      <c r="H1166" s="12" t="s">
        <v>1705</v>
      </c>
      <c r="I1166" s="12"/>
      <c r="J1166" s="12"/>
      <c r="K1166" s="12"/>
      <c r="L1166" s="12"/>
      <c r="M1166" s="12"/>
      <c r="N1166" s="12"/>
      <c r="O1166" s="13"/>
      <c r="P1166" s="13" t="s">
        <v>6511</v>
      </c>
      <c r="Q1166" s="13"/>
      <c r="R1166" s="13"/>
      <c r="S1166" s="13" t="s">
        <v>6512</v>
      </c>
      <c r="T1166" s="12" t="s">
        <v>94</v>
      </c>
      <c r="U1166" s="12" t="s">
        <v>6513</v>
      </c>
    </row>
    <row r="1167" customFormat="false" ht="31.5" hidden="false" customHeight="true" outlineLevel="0" collapsed="false">
      <c r="A1167" s="12" t="n">
        <v>954</v>
      </c>
      <c r="B1167" s="12" t="s">
        <v>6510</v>
      </c>
      <c r="C1167" s="12" t="s">
        <v>2557</v>
      </c>
      <c r="D1167" s="12" t="s">
        <v>476</v>
      </c>
      <c r="E1167" s="12" t="s">
        <v>83</v>
      </c>
      <c r="F1167" s="12"/>
      <c r="G1167" s="12"/>
      <c r="H1167" s="12"/>
      <c r="I1167" s="12"/>
      <c r="J1167" s="12"/>
      <c r="K1167" s="12"/>
      <c r="L1167" s="12"/>
      <c r="M1167" s="12"/>
      <c r="N1167" s="12"/>
      <c r="O1167" s="13"/>
      <c r="P1167" s="13" t="s">
        <v>6514</v>
      </c>
      <c r="Q1167" s="13"/>
      <c r="R1167" s="13"/>
      <c r="S1167" s="13" t="s">
        <v>6515</v>
      </c>
      <c r="T1167" s="12" t="s">
        <v>94</v>
      </c>
      <c r="U1167" s="12" t="s">
        <v>6513</v>
      </c>
    </row>
    <row r="1168" customFormat="false" ht="31.5" hidden="false" customHeight="true" outlineLevel="0" collapsed="false">
      <c r="A1168" s="12" t="n">
        <v>955</v>
      </c>
      <c r="B1168" s="12" t="s">
        <v>2360</v>
      </c>
      <c r="C1168" s="12" t="s">
        <v>2527</v>
      </c>
      <c r="D1168" s="12" t="s">
        <v>2361</v>
      </c>
      <c r="E1168" s="12"/>
      <c r="F1168" s="12"/>
      <c r="G1168" s="12"/>
      <c r="H1168" s="12"/>
      <c r="I1168" s="12"/>
      <c r="J1168" s="12"/>
      <c r="K1168" s="12"/>
      <c r="L1168" s="12"/>
      <c r="M1168" s="12"/>
      <c r="N1168" s="12" t="n">
        <v>0.155</v>
      </c>
      <c r="O1168" s="13"/>
      <c r="P1168" s="13" t="s">
        <v>6516</v>
      </c>
      <c r="Q1168" s="13"/>
      <c r="R1168" s="13"/>
      <c r="S1168" s="13" t="s">
        <v>6517</v>
      </c>
      <c r="T1168" s="12" t="s">
        <v>94</v>
      </c>
      <c r="U1168" s="12" t="s">
        <v>2368</v>
      </c>
    </row>
    <row r="1169" customFormat="false" ht="31.5" hidden="false" customHeight="true" outlineLevel="0" collapsed="false">
      <c r="A1169" s="12" t="n">
        <v>956</v>
      </c>
      <c r="B1169" s="12" t="s">
        <v>2369</v>
      </c>
      <c r="C1169" s="12" t="s">
        <v>2521</v>
      </c>
      <c r="D1169" s="12" t="s">
        <v>527</v>
      </c>
      <c r="E1169" s="12" t="s">
        <v>259</v>
      </c>
      <c r="F1169" s="12" t="n">
        <v>0.355</v>
      </c>
      <c r="G1169" s="12"/>
      <c r="H1169" s="12"/>
      <c r="I1169" s="12" t="n">
        <v>0.372</v>
      </c>
      <c r="J1169" s="12"/>
      <c r="K1169" s="12"/>
      <c r="L1169" s="12"/>
      <c r="M1169" s="12"/>
      <c r="N1169" s="12"/>
      <c r="O1169" s="13"/>
      <c r="P1169" s="13" t="s">
        <v>6518</v>
      </c>
      <c r="Q1169" s="13"/>
      <c r="R1169" s="13"/>
      <c r="S1169" s="13" t="s">
        <v>6519</v>
      </c>
      <c r="T1169" s="12" t="s">
        <v>94</v>
      </c>
      <c r="U1169" s="12" t="s">
        <v>2376</v>
      </c>
    </row>
    <row r="1170" customFormat="false" ht="31.5" hidden="false" customHeight="true" outlineLevel="0" collapsed="false">
      <c r="A1170" s="12" t="n">
        <v>957</v>
      </c>
      <c r="B1170" s="12" t="s">
        <v>2276</v>
      </c>
      <c r="C1170" s="12" t="s">
        <v>2630</v>
      </c>
      <c r="D1170" s="12" t="s">
        <v>113</v>
      </c>
      <c r="E1170" s="12" t="s">
        <v>83</v>
      </c>
      <c r="F1170" s="12"/>
      <c r="G1170" s="12"/>
      <c r="H1170" s="12"/>
      <c r="I1170" s="12"/>
      <c r="J1170" s="12" t="n">
        <v>100</v>
      </c>
      <c r="K1170" s="12"/>
      <c r="L1170" s="12"/>
      <c r="M1170" s="12"/>
      <c r="N1170" s="12"/>
      <c r="O1170" s="13"/>
      <c r="P1170" s="13" t="s">
        <v>6520</v>
      </c>
      <c r="Q1170" s="13"/>
      <c r="R1170" s="13"/>
      <c r="S1170" s="13" t="s">
        <v>6521</v>
      </c>
      <c r="T1170" s="12" t="s">
        <v>94</v>
      </c>
      <c r="U1170" s="12" t="s">
        <v>6522</v>
      </c>
    </row>
    <row r="1171" customFormat="false" ht="31.5" hidden="false" customHeight="true" outlineLevel="0" collapsed="false">
      <c r="A1171" s="12" t="n">
        <v>958</v>
      </c>
      <c r="B1171" s="12" t="s">
        <v>6523</v>
      </c>
      <c r="C1171" s="12" t="s">
        <v>2557</v>
      </c>
      <c r="D1171" s="12" t="s">
        <v>113</v>
      </c>
      <c r="E1171" s="12" t="s">
        <v>83</v>
      </c>
      <c r="F1171" s="12" t="n">
        <v>63797.1</v>
      </c>
      <c r="G1171" s="12"/>
      <c r="H1171" s="12"/>
      <c r="I1171" s="12"/>
      <c r="J1171" s="12"/>
      <c r="K1171" s="12"/>
      <c r="L1171" s="12"/>
      <c r="M1171" s="12" t="n">
        <v>109.01</v>
      </c>
      <c r="N1171" s="12" t="n">
        <v>64144.9</v>
      </c>
      <c r="O1171" s="13"/>
      <c r="P1171" s="13" t="s">
        <v>6524</v>
      </c>
      <c r="Q1171" s="13"/>
      <c r="R1171" s="13"/>
      <c r="S1171" s="13" t="s">
        <v>6525</v>
      </c>
      <c r="T1171" s="12" t="s">
        <v>94</v>
      </c>
      <c r="U1171" s="12" t="s">
        <v>6526</v>
      </c>
    </row>
    <row r="1172" customFormat="false" ht="31.5" hidden="false" customHeight="true" outlineLevel="0" collapsed="false">
      <c r="A1172" s="12" t="n">
        <v>959</v>
      </c>
      <c r="B1172" s="12" t="s">
        <v>6527</v>
      </c>
      <c r="C1172" s="12" t="s">
        <v>2557</v>
      </c>
      <c r="D1172" s="12" t="s">
        <v>113</v>
      </c>
      <c r="E1172" s="12" t="s">
        <v>83</v>
      </c>
      <c r="F1172" s="12"/>
      <c r="G1172" s="12"/>
      <c r="H1172" s="12"/>
      <c r="I1172" s="12"/>
      <c r="J1172" s="12"/>
      <c r="K1172" s="12"/>
      <c r="L1172" s="12"/>
      <c r="M1172" s="12"/>
      <c r="N1172" s="12"/>
      <c r="O1172" s="13"/>
      <c r="P1172" s="13" t="s">
        <v>6528</v>
      </c>
      <c r="Q1172" s="13"/>
      <c r="R1172" s="13"/>
      <c r="S1172" s="13" t="s">
        <v>6529</v>
      </c>
      <c r="T1172" s="12" t="s">
        <v>108</v>
      </c>
      <c r="U1172" s="12" t="s">
        <v>6530</v>
      </c>
    </row>
    <row r="1173" customFormat="false" ht="31.5" hidden="false" customHeight="true" outlineLevel="0" collapsed="false">
      <c r="A1173" s="12" t="n">
        <v>960</v>
      </c>
      <c r="B1173" s="12" t="s">
        <v>2377</v>
      </c>
      <c r="C1173" s="12" t="s">
        <v>2521</v>
      </c>
      <c r="D1173" s="12" t="s">
        <v>113</v>
      </c>
      <c r="E1173" s="12" t="s">
        <v>259</v>
      </c>
      <c r="F1173" s="12" t="n">
        <v>64200</v>
      </c>
      <c r="G1173" s="12"/>
      <c r="H1173" s="12"/>
      <c r="I1173" s="12" t="n">
        <v>65200</v>
      </c>
      <c r="J1173" s="12"/>
      <c r="K1173" s="12"/>
      <c r="L1173" s="12"/>
      <c r="M1173" s="12"/>
      <c r="N1173" s="12"/>
      <c r="O1173" s="13" t="s">
        <v>6531</v>
      </c>
      <c r="P1173" s="13" t="s">
        <v>6532</v>
      </c>
      <c r="Q1173" s="13"/>
      <c r="R1173" s="13" t="s">
        <v>6533</v>
      </c>
      <c r="S1173" s="13" t="s">
        <v>6534</v>
      </c>
      <c r="T1173" s="12" t="s">
        <v>94</v>
      </c>
      <c r="U1173" s="12" t="s">
        <v>2390</v>
      </c>
    </row>
    <row r="1174" customFormat="false" ht="31.5" hidden="false" customHeight="true" outlineLevel="0" collapsed="false">
      <c r="A1174" s="12" t="n">
        <v>961</v>
      </c>
      <c r="B1174" s="12" t="s">
        <v>6535</v>
      </c>
      <c r="C1174" s="12" t="s">
        <v>2537</v>
      </c>
      <c r="D1174" s="12" t="s">
        <v>113</v>
      </c>
      <c r="E1174" s="12" t="s">
        <v>259</v>
      </c>
      <c r="F1174" s="12"/>
      <c r="G1174" s="12" t="n">
        <v>64546</v>
      </c>
      <c r="H1174" s="12"/>
      <c r="I1174" s="12"/>
      <c r="J1174" s="12"/>
      <c r="K1174" s="12"/>
      <c r="L1174" s="12"/>
      <c r="M1174" s="12"/>
      <c r="N1174" s="12"/>
      <c r="O1174" s="13"/>
      <c r="P1174" s="13" t="s">
        <v>6536</v>
      </c>
      <c r="Q1174" s="13"/>
      <c r="R1174" s="13"/>
      <c r="S1174" s="13" t="s">
        <v>6537</v>
      </c>
      <c r="T1174" s="12" t="s">
        <v>94</v>
      </c>
      <c r="U1174" s="12" t="s">
        <v>6538</v>
      </c>
    </row>
    <row r="1175" customFormat="false" ht="31.5" hidden="false" customHeight="true" outlineLevel="0" collapsed="false">
      <c r="A1175" s="12" t="n">
        <v>962</v>
      </c>
      <c r="B1175" s="12" t="s">
        <v>6539</v>
      </c>
      <c r="C1175" s="12" t="s">
        <v>2557</v>
      </c>
      <c r="D1175" s="12" t="s">
        <v>113</v>
      </c>
      <c r="E1175" s="12" t="s">
        <v>259</v>
      </c>
      <c r="F1175" s="12"/>
      <c r="G1175" s="12"/>
      <c r="H1175" s="12"/>
      <c r="I1175" s="12"/>
      <c r="J1175" s="12"/>
      <c r="K1175" s="12"/>
      <c r="L1175" s="12"/>
      <c r="M1175" s="12"/>
      <c r="N1175" s="12"/>
      <c r="O1175" s="13" t="s">
        <v>6540</v>
      </c>
      <c r="P1175" s="13" t="s">
        <v>6541</v>
      </c>
      <c r="Q1175" s="13"/>
      <c r="R1175" s="13" t="s">
        <v>6533</v>
      </c>
      <c r="S1175" s="13" t="s">
        <v>6542</v>
      </c>
      <c r="T1175" s="12" t="s">
        <v>94</v>
      </c>
      <c r="U1175" s="12" t="s">
        <v>6543</v>
      </c>
    </row>
    <row r="1176" customFormat="false" ht="31.5" hidden="false" customHeight="true" outlineLevel="0" collapsed="false">
      <c r="A1176" s="12" t="n">
        <v>963</v>
      </c>
      <c r="B1176" s="12" t="s">
        <v>2371</v>
      </c>
      <c r="C1176" s="12" t="s">
        <v>2630</v>
      </c>
      <c r="D1176" s="12" t="s">
        <v>527</v>
      </c>
      <c r="E1176" s="12" t="s">
        <v>259</v>
      </c>
      <c r="F1176" s="12" t="n">
        <v>0.3552</v>
      </c>
      <c r="G1176" s="12"/>
      <c r="H1176" s="12"/>
      <c r="I1176" s="12"/>
      <c r="J1176" s="12" t="n">
        <v>100</v>
      </c>
      <c r="K1176" s="12"/>
      <c r="L1176" s="12"/>
      <c r="M1176" s="12" t="n">
        <v>83.05</v>
      </c>
      <c r="N1176" s="12" t="n">
        <v>0.3493</v>
      </c>
      <c r="O1176" s="13"/>
      <c r="P1176" s="13" t="s">
        <v>6544</v>
      </c>
      <c r="Q1176" s="13"/>
      <c r="R1176" s="13"/>
      <c r="S1176" s="13" t="s">
        <v>6545</v>
      </c>
      <c r="T1176" s="12" t="s">
        <v>94</v>
      </c>
      <c r="U1176" s="12" t="s">
        <v>6546</v>
      </c>
    </row>
    <row r="1177" customFormat="false" ht="31.5" hidden="false" customHeight="true" outlineLevel="0" collapsed="false">
      <c r="A1177" s="12" t="n">
        <v>964</v>
      </c>
      <c r="B1177" s="12" t="s">
        <v>2391</v>
      </c>
      <c r="C1177" s="12" t="s">
        <v>2521</v>
      </c>
      <c r="D1177" s="12" t="s">
        <v>476</v>
      </c>
      <c r="E1177" s="12" t="s">
        <v>259</v>
      </c>
      <c r="F1177" s="12" t="n">
        <v>505.2</v>
      </c>
      <c r="G1177" s="12"/>
      <c r="H1177" s="12" t="s">
        <v>2393</v>
      </c>
      <c r="I1177" s="12" t="n">
        <v>517.5</v>
      </c>
      <c r="J1177" s="12"/>
      <c r="K1177" s="12"/>
      <c r="L1177" s="12"/>
      <c r="M1177" s="12"/>
      <c r="N1177" s="12"/>
      <c r="O1177" s="13"/>
      <c r="P1177" s="13" t="s">
        <v>6547</v>
      </c>
      <c r="Q1177" s="13"/>
      <c r="R1177" s="13"/>
      <c r="S1177" s="13" t="s">
        <v>6548</v>
      </c>
      <c r="T1177" s="12" t="s">
        <v>94</v>
      </c>
      <c r="U1177" s="12" t="s">
        <v>2399</v>
      </c>
    </row>
    <row r="1178" customFormat="false" ht="31.5" hidden="false" customHeight="true" outlineLevel="0" collapsed="false">
      <c r="A1178" s="12" t="n">
        <v>965</v>
      </c>
      <c r="B1178" s="12" t="s">
        <v>6549</v>
      </c>
      <c r="C1178" s="12" t="s">
        <v>2537</v>
      </c>
      <c r="D1178" s="12" t="s">
        <v>113</v>
      </c>
      <c r="E1178" s="12" t="s">
        <v>259</v>
      </c>
      <c r="F1178" s="12" t="n">
        <v>64300</v>
      </c>
      <c r="G1178" s="12"/>
      <c r="H1178" s="12"/>
      <c r="I1178" s="12"/>
      <c r="J1178" s="12"/>
      <c r="K1178" s="12"/>
      <c r="L1178" s="12"/>
      <c r="M1178" s="12"/>
      <c r="N1178" s="12"/>
      <c r="O1178" s="13"/>
      <c r="P1178" s="13" t="s">
        <v>6550</v>
      </c>
      <c r="Q1178" s="13"/>
      <c r="R1178" s="13"/>
      <c r="S1178" s="13" t="s">
        <v>6551</v>
      </c>
      <c r="T1178" s="12" t="s">
        <v>94</v>
      </c>
      <c r="U1178" s="12" t="s">
        <v>6552</v>
      </c>
    </row>
    <row r="1179" customFormat="false" ht="31.5" hidden="false" customHeight="true" outlineLevel="0" collapsed="false">
      <c r="A1179" s="12" t="n">
        <v>965</v>
      </c>
      <c r="B1179" s="12" t="s">
        <v>6549</v>
      </c>
      <c r="C1179" s="12" t="s">
        <v>2670</v>
      </c>
      <c r="D1179" s="12" t="s">
        <v>113</v>
      </c>
      <c r="E1179" s="12" t="s">
        <v>259</v>
      </c>
      <c r="F1179" s="12"/>
      <c r="G1179" s="12"/>
      <c r="H1179" s="12" t="s">
        <v>6553</v>
      </c>
      <c r="I1179" s="12"/>
      <c r="J1179" s="12"/>
      <c r="K1179" s="12"/>
      <c r="L1179" s="12"/>
      <c r="M1179" s="12"/>
      <c r="N1179" s="12"/>
      <c r="O1179" s="13"/>
      <c r="P1179" s="13" t="s">
        <v>6554</v>
      </c>
      <c r="Q1179" s="13"/>
      <c r="R1179" s="13"/>
      <c r="S1179" s="13" t="s">
        <v>6555</v>
      </c>
      <c r="T1179" s="12" t="s">
        <v>94</v>
      </c>
      <c r="U1179" s="12" t="s">
        <v>6552</v>
      </c>
    </row>
    <row r="1180" customFormat="false" ht="31.5" hidden="false" customHeight="true" outlineLevel="0" collapsed="false">
      <c r="A1180" s="12" t="n">
        <v>966</v>
      </c>
      <c r="B1180" s="12" t="s">
        <v>6556</v>
      </c>
      <c r="C1180" s="12" t="s">
        <v>2618</v>
      </c>
      <c r="D1180" s="12" t="s">
        <v>113</v>
      </c>
      <c r="E1180" s="12" t="s">
        <v>259</v>
      </c>
      <c r="F1180" s="12"/>
      <c r="G1180" s="12"/>
      <c r="H1180" s="12" t="s">
        <v>6557</v>
      </c>
      <c r="I1180" s="12"/>
      <c r="J1180" s="12"/>
      <c r="K1180" s="12"/>
      <c r="L1180" s="12"/>
      <c r="M1180" s="12"/>
      <c r="N1180" s="12"/>
      <c r="O1180" s="13"/>
      <c r="P1180" s="13" t="s">
        <v>6558</v>
      </c>
      <c r="Q1180" s="13" t="s">
        <v>2132</v>
      </c>
      <c r="R1180" s="13" t="s">
        <v>6559</v>
      </c>
      <c r="S1180" s="13" t="s">
        <v>6560</v>
      </c>
      <c r="T1180" s="12" t="s">
        <v>94</v>
      </c>
      <c r="U1180" s="12" t="s">
        <v>6561</v>
      </c>
    </row>
    <row r="1181" customFormat="false" ht="31.5" hidden="false" customHeight="true" outlineLevel="0" collapsed="false">
      <c r="A1181" s="12" t="n">
        <v>967</v>
      </c>
      <c r="B1181" s="12" t="s">
        <v>6562</v>
      </c>
      <c r="C1181" s="12" t="s">
        <v>2557</v>
      </c>
      <c r="D1181" s="12" t="s">
        <v>113</v>
      </c>
      <c r="E1181" s="12" t="s">
        <v>259</v>
      </c>
      <c r="F1181" s="12"/>
      <c r="G1181" s="12"/>
      <c r="H1181" s="12" t="s">
        <v>6563</v>
      </c>
      <c r="I1181" s="12"/>
      <c r="J1181" s="12"/>
      <c r="K1181" s="12"/>
      <c r="L1181" s="12"/>
      <c r="M1181" s="12"/>
      <c r="N1181" s="12"/>
      <c r="O1181" s="13"/>
      <c r="P1181" s="13" t="s">
        <v>6564</v>
      </c>
      <c r="Q1181" s="13"/>
      <c r="R1181" s="13"/>
      <c r="S1181" s="13" t="s">
        <v>6565</v>
      </c>
      <c r="T1181" s="12" t="s">
        <v>94</v>
      </c>
      <c r="U1181" s="12" t="s">
        <v>6566</v>
      </c>
    </row>
    <row r="1182" customFormat="false" ht="31.5" hidden="false" customHeight="true" outlineLevel="0" collapsed="false">
      <c r="A1182" s="12" t="n">
        <v>968</v>
      </c>
      <c r="B1182" s="12" t="s">
        <v>6567</v>
      </c>
      <c r="C1182" s="12" t="s">
        <v>2506</v>
      </c>
      <c r="D1182" s="12" t="s">
        <v>113</v>
      </c>
      <c r="E1182" s="12"/>
      <c r="F1182" s="12"/>
      <c r="G1182" s="12"/>
      <c r="H1182" s="12"/>
      <c r="I1182" s="12"/>
      <c r="J1182" s="12"/>
      <c r="K1182" s="12"/>
      <c r="L1182" s="12"/>
      <c r="M1182" s="12"/>
      <c r="N1182" s="12"/>
      <c r="O1182" s="13"/>
      <c r="P1182" s="13" t="s">
        <v>6568</v>
      </c>
      <c r="Q1182" s="13" t="s">
        <v>2132</v>
      </c>
      <c r="R1182" s="13"/>
      <c r="S1182" s="13" t="s">
        <v>6569</v>
      </c>
      <c r="T1182" s="12" t="s">
        <v>108</v>
      </c>
      <c r="U1182" s="12" t="s">
        <v>6570</v>
      </c>
    </row>
    <row r="1183" customFormat="false" ht="31.5" hidden="false" customHeight="true" outlineLevel="0" collapsed="false">
      <c r="A1183" s="12" t="n">
        <v>969</v>
      </c>
      <c r="B1183" s="12" t="s">
        <v>6571</v>
      </c>
      <c r="C1183" s="12" t="s">
        <v>2588</v>
      </c>
      <c r="D1183" s="12" t="s">
        <v>113</v>
      </c>
      <c r="E1183" s="12" t="s">
        <v>259</v>
      </c>
      <c r="F1183" s="12"/>
      <c r="G1183" s="12"/>
      <c r="H1183" s="12"/>
      <c r="I1183" s="12" t="n">
        <v>65200</v>
      </c>
      <c r="J1183" s="12"/>
      <c r="K1183" s="12"/>
      <c r="L1183" s="12"/>
      <c r="M1183" s="12"/>
      <c r="N1183" s="12"/>
      <c r="O1183" s="13"/>
      <c r="P1183" s="13" t="s">
        <v>6572</v>
      </c>
      <c r="Q1183" s="13"/>
      <c r="R1183" s="13"/>
      <c r="S1183" s="13" t="s">
        <v>6573</v>
      </c>
      <c r="T1183" s="12" t="s">
        <v>94</v>
      </c>
      <c r="U1183" s="12" t="s">
        <v>6574</v>
      </c>
    </row>
    <row r="1184" customFormat="false" ht="31.5" hidden="false" customHeight="true" outlineLevel="0" collapsed="false">
      <c r="A1184" s="12" t="n">
        <v>970</v>
      </c>
      <c r="B1184" s="12" t="s">
        <v>6575</v>
      </c>
      <c r="C1184" s="12" t="s">
        <v>2557</v>
      </c>
      <c r="D1184" s="12" t="s">
        <v>113</v>
      </c>
      <c r="E1184" s="12" t="s">
        <v>259</v>
      </c>
      <c r="F1184" s="12"/>
      <c r="G1184" s="12"/>
      <c r="H1184" s="12"/>
      <c r="I1184" s="12"/>
      <c r="J1184" s="12"/>
      <c r="K1184" s="12"/>
      <c r="L1184" s="12"/>
      <c r="M1184" s="12"/>
      <c r="N1184" s="12"/>
      <c r="O1184" s="13"/>
      <c r="P1184" s="13" t="s">
        <v>6576</v>
      </c>
      <c r="Q1184" s="13"/>
      <c r="R1184" s="13"/>
      <c r="S1184" s="13" t="s">
        <v>6577</v>
      </c>
      <c r="T1184" s="12" t="s">
        <v>94</v>
      </c>
      <c r="U1184" s="12" t="s">
        <v>6578</v>
      </c>
    </row>
    <row r="1185" customFormat="false" ht="31.5" hidden="false" customHeight="true" outlineLevel="0" collapsed="false">
      <c r="A1185" s="12" t="n">
        <v>970</v>
      </c>
      <c r="B1185" s="12" t="s">
        <v>6575</v>
      </c>
      <c r="C1185" s="12" t="s">
        <v>2557</v>
      </c>
      <c r="D1185" s="12" t="s">
        <v>476</v>
      </c>
      <c r="E1185" s="12" t="s">
        <v>259</v>
      </c>
      <c r="F1185" s="12"/>
      <c r="G1185" s="12"/>
      <c r="H1185" s="12"/>
      <c r="I1185" s="12"/>
      <c r="J1185" s="12"/>
      <c r="K1185" s="12"/>
      <c r="L1185" s="12"/>
      <c r="M1185" s="12"/>
      <c r="N1185" s="12"/>
      <c r="O1185" s="13"/>
      <c r="P1185" s="13" t="s">
        <v>6579</v>
      </c>
      <c r="Q1185" s="13"/>
      <c r="R1185" s="13"/>
      <c r="S1185" s="13" t="s">
        <v>6577</v>
      </c>
      <c r="T1185" s="12" t="s">
        <v>94</v>
      </c>
      <c r="U1185" s="12" t="s">
        <v>6578</v>
      </c>
    </row>
    <row r="1186" customFormat="false" ht="31.5" hidden="false" customHeight="true" outlineLevel="0" collapsed="false">
      <c r="A1186" s="12" t="n">
        <v>971</v>
      </c>
      <c r="B1186" s="12" t="s">
        <v>6580</v>
      </c>
      <c r="C1186" s="12" t="s">
        <v>2557</v>
      </c>
      <c r="D1186" s="12" t="s">
        <v>113</v>
      </c>
      <c r="E1186" s="12" t="s">
        <v>259</v>
      </c>
      <c r="F1186" s="12"/>
      <c r="G1186" s="12"/>
      <c r="H1186" s="12"/>
      <c r="I1186" s="12"/>
      <c r="J1186" s="12"/>
      <c r="K1186" s="12"/>
      <c r="L1186" s="12"/>
      <c r="M1186" s="12"/>
      <c r="N1186" s="12"/>
      <c r="O1186" s="13"/>
      <c r="P1186" s="13" t="s">
        <v>6581</v>
      </c>
      <c r="Q1186" s="13"/>
      <c r="R1186" s="13" t="s">
        <v>6582</v>
      </c>
      <c r="S1186" s="13" t="s">
        <v>6583</v>
      </c>
      <c r="T1186" s="12" t="s">
        <v>94</v>
      </c>
      <c r="U1186" s="12" t="s">
        <v>6584</v>
      </c>
    </row>
    <row r="1187" customFormat="false" ht="31.5" hidden="false" customHeight="true" outlineLevel="0" collapsed="false">
      <c r="A1187" s="12" t="n">
        <v>971</v>
      </c>
      <c r="B1187" s="12" t="s">
        <v>6580</v>
      </c>
      <c r="C1187" s="12" t="s">
        <v>2557</v>
      </c>
      <c r="D1187" s="12" t="s">
        <v>476</v>
      </c>
      <c r="E1187" s="12" t="s">
        <v>259</v>
      </c>
      <c r="F1187" s="12"/>
      <c r="G1187" s="12"/>
      <c r="H1187" s="12"/>
      <c r="I1187" s="12"/>
      <c r="J1187" s="12"/>
      <c r="K1187" s="12"/>
      <c r="L1187" s="12"/>
      <c r="M1187" s="12"/>
      <c r="N1187" s="12"/>
      <c r="O1187" s="13"/>
      <c r="P1187" s="13" t="s">
        <v>6585</v>
      </c>
      <c r="Q1187" s="13"/>
      <c r="R1187" s="13" t="s">
        <v>6582</v>
      </c>
      <c r="S1187" s="13" t="s">
        <v>6586</v>
      </c>
      <c r="T1187" s="12" t="s">
        <v>94</v>
      </c>
      <c r="U1187" s="12" t="s">
        <v>6584</v>
      </c>
    </row>
    <row r="1188" customFormat="false" ht="31.5" hidden="false" customHeight="true" outlineLevel="0" collapsed="false">
      <c r="A1188" s="12" t="n">
        <v>972</v>
      </c>
      <c r="B1188" s="12" t="s">
        <v>6587</v>
      </c>
      <c r="C1188" s="12" t="s">
        <v>2588</v>
      </c>
      <c r="D1188" s="12" t="s">
        <v>113</v>
      </c>
      <c r="E1188" s="12" t="s">
        <v>259</v>
      </c>
      <c r="F1188" s="12"/>
      <c r="G1188" s="12"/>
      <c r="H1188" s="12"/>
      <c r="I1188" s="12" t="n">
        <v>65800</v>
      </c>
      <c r="J1188" s="12"/>
      <c r="K1188" s="12"/>
      <c r="L1188" s="12"/>
      <c r="M1188" s="12"/>
      <c r="N1188" s="12"/>
      <c r="O1188" s="13"/>
      <c r="P1188" s="13" t="s">
        <v>6588</v>
      </c>
      <c r="Q1188" s="13"/>
      <c r="R1188" s="13" t="s">
        <v>6589</v>
      </c>
      <c r="S1188" s="13" t="s">
        <v>6590</v>
      </c>
      <c r="T1188" s="12" t="s">
        <v>94</v>
      </c>
      <c r="U1188" s="12" t="s">
        <v>6591</v>
      </c>
    </row>
    <row r="1189" customFormat="false" ht="31.5" hidden="false" customHeight="true" outlineLevel="0" collapsed="false">
      <c r="A1189" s="12" t="n">
        <v>973</v>
      </c>
      <c r="B1189" s="12" t="s">
        <v>6592</v>
      </c>
      <c r="C1189" s="12" t="s">
        <v>2557</v>
      </c>
      <c r="D1189" s="12" t="s">
        <v>113</v>
      </c>
      <c r="E1189" s="12" t="s">
        <v>259</v>
      </c>
      <c r="F1189" s="12"/>
      <c r="G1189" s="12"/>
      <c r="H1189" s="12"/>
      <c r="I1189" s="12"/>
      <c r="J1189" s="12"/>
      <c r="K1189" s="12"/>
      <c r="L1189" s="12"/>
      <c r="M1189" s="12"/>
      <c r="N1189" s="12"/>
      <c r="O1189" s="13" t="s">
        <v>6593</v>
      </c>
      <c r="P1189" s="13" t="s">
        <v>6594</v>
      </c>
      <c r="Q1189" s="13"/>
      <c r="R1189" s="13" t="s">
        <v>6595</v>
      </c>
      <c r="S1189" s="13" t="s">
        <v>6596</v>
      </c>
      <c r="T1189" s="12" t="s">
        <v>94</v>
      </c>
      <c r="U1189" s="12" t="s">
        <v>6597</v>
      </c>
    </row>
    <row r="1190" customFormat="false" ht="31.5" hidden="false" customHeight="true" outlineLevel="0" collapsed="false">
      <c r="A1190" s="12" t="n">
        <v>973</v>
      </c>
      <c r="B1190" s="12" t="s">
        <v>6592</v>
      </c>
      <c r="C1190" s="12" t="s">
        <v>2557</v>
      </c>
      <c r="D1190" s="12" t="s">
        <v>113</v>
      </c>
      <c r="E1190" s="12" t="s">
        <v>83</v>
      </c>
      <c r="F1190" s="12"/>
      <c r="G1190" s="12"/>
      <c r="H1190" s="12"/>
      <c r="I1190" s="12"/>
      <c r="J1190" s="12"/>
      <c r="K1190" s="12"/>
      <c r="L1190" s="12"/>
      <c r="M1190" s="12" t="n">
        <v>5</v>
      </c>
      <c r="N1190" s="12"/>
      <c r="O1190" s="13"/>
      <c r="P1190" s="13" t="s">
        <v>6598</v>
      </c>
      <c r="Q1190" s="13"/>
      <c r="R1190" s="13"/>
      <c r="S1190" s="13" t="s">
        <v>6599</v>
      </c>
      <c r="T1190" s="12" t="s">
        <v>94</v>
      </c>
      <c r="U1190" s="12" t="s">
        <v>6597</v>
      </c>
    </row>
    <row r="1191" customFormat="false" ht="31.5" hidden="false" customHeight="true" outlineLevel="0" collapsed="false">
      <c r="A1191" s="12" t="n">
        <v>974</v>
      </c>
      <c r="B1191" s="12" t="s">
        <v>2400</v>
      </c>
      <c r="C1191" s="12" t="s">
        <v>2521</v>
      </c>
      <c r="D1191" s="12" t="s">
        <v>596</v>
      </c>
      <c r="E1191" s="12" t="s">
        <v>259</v>
      </c>
      <c r="F1191" s="12" t="n">
        <v>59.82</v>
      </c>
      <c r="G1191" s="12"/>
      <c r="H1191" s="12"/>
      <c r="I1191" s="12" t="n">
        <v>61.5</v>
      </c>
      <c r="J1191" s="12"/>
      <c r="K1191" s="12"/>
      <c r="L1191" s="12"/>
      <c r="M1191" s="12"/>
      <c r="N1191" s="12"/>
      <c r="O1191" s="13" t="s">
        <v>6600</v>
      </c>
      <c r="P1191" s="13" t="s">
        <v>6601</v>
      </c>
      <c r="Q1191" s="13"/>
      <c r="R1191" s="13"/>
      <c r="S1191" s="13" t="s">
        <v>6602</v>
      </c>
      <c r="T1191" s="12" t="s">
        <v>94</v>
      </c>
      <c r="U1191" s="12" t="s">
        <v>2408</v>
      </c>
    </row>
    <row r="1192" customFormat="false" ht="31.5" hidden="false" customHeight="true" outlineLevel="0" collapsed="false">
      <c r="A1192" s="12" t="n">
        <v>975</v>
      </c>
      <c r="B1192" s="12" t="s">
        <v>6603</v>
      </c>
      <c r="C1192" s="12" t="s">
        <v>2557</v>
      </c>
      <c r="D1192" s="12" t="s">
        <v>113</v>
      </c>
      <c r="E1192" s="12" t="s">
        <v>83</v>
      </c>
      <c r="F1192" s="12"/>
      <c r="G1192" s="12"/>
      <c r="H1192" s="12"/>
      <c r="I1192" s="12"/>
      <c r="J1192" s="12"/>
      <c r="K1192" s="12"/>
      <c r="L1192" s="12"/>
      <c r="M1192" s="12" t="n">
        <v>9.43</v>
      </c>
      <c r="N1192" s="12"/>
      <c r="O1192" s="13"/>
      <c r="P1192" s="13" t="s">
        <v>6604</v>
      </c>
      <c r="Q1192" s="13"/>
      <c r="R1192" s="13"/>
      <c r="S1192" s="13" t="s">
        <v>6605</v>
      </c>
      <c r="T1192" s="12" t="s">
        <v>94</v>
      </c>
      <c r="U1192" s="12" t="s">
        <v>6606</v>
      </c>
    </row>
    <row r="1193" customFormat="false" ht="31.5" hidden="false" customHeight="true" outlineLevel="0" collapsed="false">
      <c r="A1193" s="12" t="n">
        <v>976</v>
      </c>
      <c r="B1193" s="12" t="s">
        <v>6607</v>
      </c>
      <c r="C1193" s="12" t="s">
        <v>2537</v>
      </c>
      <c r="D1193" s="12" t="s">
        <v>596</v>
      </c>
      <c r="E1193" s="12" t="s">
        <v>259</v>
      </c>
      <c r="F1193" s="12"/>
      <c r="G1193" s="12" t="n">
        <v>60.5</v>
      </c>
      <c r="H1193" s="12"/>
      <c r="I1193" s="12"/>
      <c r="J1193" s="12"/>
      <c r="K1193" s="12"/>
      <c r="L1193" s="12"/>
      <c r="M1193" s="12"/>
      <c r="N1193" s="12" t="n">
        <v>60.5</v>
      </c>
      <c r="O1193" s="13"/>
      <c r="P1193" s="13" t="s">
        <v>6608</v>
      </c>
      <c r="Q1193" s="13"/>
      <c r="R1193" s="13"/>
      <c r="S1193" s="13" t="s">
        <v>6609</v>
      </c>
      <c r="T1193" s="12" t="s">
        <v>94</v>
      </c>
      <c r="U1193" s="12" t="s">
        <v>6610</v>
      </c>
    </row>
    <row r="1194" customFormat="false" ht="31.5" hidden="false" customHeight="true" outlineLevel="0" collapsed="false">
      <c r="A1194" s="12" t="n">
        <v>977</v>
      </c>
      <c r="B1194" s="12" t="s">
        <v>6611</v>
      </c>
      <c r="C1194" s="12" t="s">
        <v>2564</v>
      </c>
      <c r="D1194" s="12"/>
      <c r="E1194" s="12" t="s">
        <v>259</v>
      </c>
      <c r="F1194" s="12"/>
      <c r="G1194" s="12"/>
      <c r="H1194" s="12"/>
      <c r="I1194" s="12"/>
      <c r="J1194" s="12"/>
      <c r="K1194" s="12"/>
      <c r="L1194" s="12"/>
      <c r="M1194" s="12"/>
      <c r="N1194" s="12"/>
      <c r="O1194" s="13"/>
      <c r="P1194" s="13" t="s">
        <v>6612</v>
      </c>
      <c r="Q1194" s="13"/>
      <c r="R1194" s="13" t="s">
        <v>6613</v>
      </c>
      <c r="S1194" s="13" t="s">
        <v>6614</v>
      </c>
      <c r="T1194" s="12" t="s">
        <v>312</v>
      </c>
      <c r="U1194" s="12" t="s">
        <v>6615</v>
      </c>
    </row>
    <row r="1195" customFormat="false" ht="31.5" hidden="false" customHeight="true" outlineLevel="0" collapsed="false">
      <c r="A1195" s="12" t="n">
        <v>978</v>
      </c>
      <c r="B1195" s="12" t="s">
        <v>6616</v>
      </c>
      <c r="C1195" s="12" t="s">
        <v>2511</v>
      </c>
      <c r="D1195" s="12"/>
      <c r="E1195" s="12"/>
      <c r="F1195" s="12"/>
      <c r="G1195" s="12"/>
      <c r="H1195" s="12"/>
      <c r="I1195" s="12"/>
      <c r="J1195" s="12"/>
      <c r="K1195" s="12"/>
      <c r="L1195" s="12"/>
      <c r="M1195" s="12"/>
      <c r="N1195" s="12"/>
      <c r="O1195" s="13"/>
      <c r="P1195" s="13" t="s">
        <v>6617</v>
      </c>
      <c r="Q1195" s="13"/>
      <c r="R1195" s="13"/>
      <c r="S1195" s="13" t="s">
        <v>6618</v>
      </c>
      <c r="T1195" s="12" t="s">
        <v>94</v>
      </c>
      <c r="U1195" s="12" t="s">
        <v>6619</v>
      </c>
    </row>
    <row r="1196" customFormat="false" ht="31.5" hidden="false" customHeight="true" outlineLevel="0" collapsed="false">
      <c r="A1196" s="12" t="n">
        <v>978</v>
      </c>
      <c r="B1196" s="12" t="s">
        <v>6616</v>
      </c>
      <c r="C1196" s="12" t="s">
        <v>2527</v>
      </c>
      <c r="D1196" s="12" t="s">
        <v>113</v>
      </c>
      <c r="E1196" s="12"/>
      <c r="F1196" s="12"/>
      <c r="G1196" s="12"/>
      <c r="H1196" s="12"/>
      <c r="I1196" s="12"/>
      <c r="J1196" s="12"/>
      <c r="K1196" s="12"/>
      <c r="L1196" s="12"/>
      <c r="M1196" s="12"/>
      <c r="N1196" s="12" t="n">
        <v>63000</v>
      </c>
      <c r="O1196" s="13"/>
      <c r="P1196" s="13" t="s">
        <v>6620</v>
      </c>
      <c r="Q1196" s="13"/>
      <c r="R1196" s="13" t="s">
        <v>6621</v>
      </c>
      <c r="S1196" s="13" t="s">
        <v>6622</v>
      </c>
      <c r="T1196" s="12" t="s">
        <v>94</v>
      </c>
      <c r="U1196" s="12" t="s">
        <v>6619</v>
      </c>
    </row>
    <row r="1197" customFormat="false" ht="31.5" hidden="false" customHeight="true" outlineLevel="0" collapsed="false">
      <c r="A1197" s="12" t="n">
        <v>979</v>
      </c>
      <c r="B1197" s="12" t="s">
        <v>6623</v>
      </c>
      <c r="C1197" s="12" t="s">
        <v>2502</v>
      </c>
      <c r="D1197" s="12" t="s">
        <v>596</v>
      </c>
      <c r="E1197" s="12"/>
      <c r="F1197" s="12"/>
      <c r="G1197" s="12"/>
      <c r="H1197" s="12"/>
      <c r="I1197" s="12"/>
      <c r="J1197" s="12"/>
      <c r="K1197" s="12"/>
      <c r="L1197" s="12"/>
      <c r="M1197" s="12"/>
      <c r="N1197" s="12"/>
      <c r="O1197" s="13"/>
      <c r="P1197" s="13" t="s">
        <v>6624</v>
      </c>
      <c r="Q1197" s="13"/>
      <c r="R1197" s="13"/>
      <c r="S1197" s="13" t="s">
        <v>6625</v>
      </c>
      <c r="T1197" s="12" t="s">
        <v>312</v>
      </c>
      <c r="U1197" s="12" t="s">
        <v>6626</v>
      </c>
    </row>
    <row r="1198" customFormat="false" ht="31.5" hidden="false" customHeight="true" outlineLevel="0" collapsed="false">
      <c r="A1198" s="12" t="n">
        <v>980</v>
      </c>
      <c r="B1198" s="12" t="s">
        <v>6627</v>
      </c>
      <c r="C1198" s="12" t="s">
        <v>2502</v>
      </c>
      <c r="D1198" s="12"/>
      <c r="E1198" s="12"/>
      <c r="F1198" s="12"/>
      <c r="G1198" s="12"/>
      <c r="H1198" s="12"/>
      <c r="I1198" s="12"/>
      <c r="J1198" s="12"/>
      <c r="K1198" s="12"/>
      <c r="L1198" s="12"/>
      <c r="M1198" s="12"/>
      <c r="N1198" s="12"/>
      <c r="O1198" s="13"/>
      <c r="P1198" s="13" t="s">
        <v>6628</v>
      </c>
      <c r="Q1198" s="13"/>
      <c r="R1198" s="13"/>
      <c r="S1198" s="13" t="s">
        <v>6625</v>
      </c>
      <c r="T1198" s="12" t="s">
        <v>312</v>
      </c>
      <c r="U1198" s="12" t="s">
        <v>6629</v>
      </c>
    </row>
    <row r="1199" customFormat="false" ht="31.5" hidden="false" customHeight="true" outlineLevel="0" collapsed="false">
      <c r="A1199" s="12" t="n">
        <v>981</v>
      </c>
      <c r="B1199" s="12" t="s">
        <v>6630</v>
      </c>
      <c r="C1199" s="12" t="s">
        <v>2557</v>
      </c>
      <c r="D1199" s="12" t="s">
        <v>596</v>
      </c>
      <c r="E1199" s="12" t="s">
        <v>83</v>
      </c>
      <c r="F1199" s="12" t="n">
        <v>56.23</v>
      </c>
      <c r="G1199" s="12"/>
      <c r="H1199" s="12"/>
      <c r="I1199" s="12"/>
      <c r="J1199" s="12"/>
      <c r="K1199" s="12"/>
      <c r="L1199" s="12"/>
      <c r="M1199" s="12" t="n">
        <v>27.77</v>
      </c>
      <c r="N1199" s="12"/>
      <c r="O1199" s="13"/>
      <c r="P1199" s="13" t="s">
        <v>6631</v>
      </c>
      <c r="Q1199" s="13"/>
      <c r="R1199" s="13"/>
      <c r="S1199" s="13" t="s">
        <v>6632</v>
      </c>
      <c r="T1199" s="12" t="s">
        <v>94</v>
      </c>
      <c r="U1199" s="12" t="s">
        <v>6633</v>
      </c>
    </row>
    <row r="1200" customFormat="false" ht="31.5" hidden="false" customHeight="true" outlineLevel="0" collapsed="false">
      <c r="A1200" s="12" t="n">
        <v>981</v>
      </c>
      <c r="B1200" s="12" t="s">
        <v>6630</v>
      </c>
      <c r="C1200" s="12" t="s">
        <v>2557</v>
      </c>
      <c r="D1200" s="12" t="s">
        <v>317</v>
      </c>
      <c r="E1200" s="12" t="s">
        <v>83</v>
      </c>
      <c r="F1200" s="12"/>
      <c r="G1200" s="12"/>
      <c r="H1200" s="12"/>
      <c r="I1200" s="12"/>
      <c r="J1200" s="12"/>
      <c r="K1200" s="12"/>
      <c r="L1200" s="12"/>
      <c r="M1200" s="12" t="n">
        <v>30</v>
      </c>
      <c r="N1200" s="12"/>
      <c r="O1200" s="13"/>
      <c r="P1200" s="13" t="s">
        <v>6634</v>
      </c>
      <c r="Q1200" s="13"/>
      <c r="R1200" s="13"/>
      <c r="S1200" s="13" t="s">
        <v>6632</v>
      </c>
      <c r="T1200" s="12" t="s">
        <v>108</v>
      </c>
      <c r="U1200" s="12" t="s">
        <v>6633</v>
      </c>
    </row>
    <row r="1201" customFormat="false" ht="31.5" hidden="false" customHeight="true" outlineLevel="0" collapsed="false">
      <c r="A1201" s="12" t="n">
        <v>982</v>
      </c>
      <c r="B1201" s="12" t="s">
        <v>2409</v>
      </c>
      <c r="C1201" s="12" t="s">
        <v>2521</v>
      </c>
      <c r="D1201" s="12" t="s">
        <v>113</v>
      </c>
      <c r="E1201" s="12" t="s">
        <v>83</v>
      </c>
      <c r="F1201" s="12" t="n">
        <v>69280</v>
      </c>
      <c r="G1201" s="12" t="n">
        <v>68700</v>
      </c>
      <c r="H1201" s="12" t="s">
        <v>2412</v>
      </c>
      <c r="I1201" s="12" t="n">
        <v>68369</v>
      </c>
      <c r="J1201" s="12"/>
      <c r="K1201" s="12"/>
      <c r="L1201" s="12"/>
      <c r="M1201" s="12"/>
      <c r="N1201" s="12"/>
      <c r="O1201" s="13" t="s">
        <v>6635</v>
      </c>
      <c r="P1201" s="13" t="s">
        <v>6636</v>
      </c>
      <c r="Q1201" s="13"/>
      <c r="R1201" s="13" t="s">
        <v>6637</v>
      </c>
      <c r="S1201" s="13" t="s">
        <v>6638</v>
      </c>
      <c r="T1201" s="12" t="s">
        <v>94</v>
      </c>
      <c r="U1201" s="12" t="s">
        <v>2423</v>
      </c>
    </row>
    <row r="1202" customFormat="false" ht="31.5" hidden="false" customHeight="true" outlineLevel="0" collapsed="false">
      <c r="A1202" s="12" t="n">
        <v>983</v>
      </c>
      <c r="B1202" s="12" t="s">
        <v>6639</v>
      </c>
      <c r="C1202" s="12" t="s">
        <v>2527</v>
      </c>
      <c r="D1202" s="12" t="s">
        <v>113</v>
      </c>
      <c r="E1202" s="12" t="s">
        <v>83</v>
      </c>
      <c r="F1202" s="12"/>
      <c r="G1202" s="12"/>
      <c r="H1202" s="12"/>
      <c r="I1202" s="12"/>
      <c r="J1202" s="12"/>
      <c r="K1202" s="12"/>
      <c r="L1202" s="12"/>
      <c r="M1202" s="12"/>
      <c r="N1202" s="12" t="n">
        <v>71000</v>
      </c>
      <c r="O1202" s="13"/>
      <c r="P1202" s="13" t="s">
        <v>6640</v>
      </c>
      <c r="Q1202" s="13"/>
      <c r="R1202" s="13" t="s">
        <v>6641</v>
      </c>
      <c r="S1202" s="13" t="s">
        <v>6642</v>
      </c>
      <c r="T1202" s="12" t="s">
        <v>94</v>
      </c>
      <c r="U1202" s="12" t="s">
        <v>6643</v>
      </c>
    </row>
    <row r="1203" customFormat="false" ht="31.5" hidden="false" customHeight="true" outlineLevel="0" collapsed="false">
      <c r="A1203" s="12" t="n">
        <v>984</v>
      </c>
      <c r="B1203" s="12" t="s">
        <v>6644</v>
      </c>
      <c r="C1203" s="12" t="s">
        <v>2588</v>
      </c>
      <c r="D1203" s="12" t="s">
        <v>113</v>
      </c>
      <c r="E1203" s="12" t="s">
        <v>83</v>
      </c>
      <c r="F1203" s="12"/>
      <c r="G1203" s="12"/>
      <c r="H1203" s="12"/>
      <c r="I1203" s="12" t="n">
        <v>68420</v>
      </c>
      <c r="J1203" s="12"/>
      <c r="K1203" s="12"/>
      <c r="L1203" s="12"/>
      <c r="M1203" s="12"/>
      <c r="N1203" s="12"/>
      <c r="O1203" s="13"/>
      <c r="P1203" s="13" t="s">
        <v>6645</v>
      </c>
      <c r="Q1203" s="13"/>
      <c r="R1203" s="13"/>
      <c r="S1203" s="13" t="s">
        <v>6646</v>
      </c>
      <c r="T1203" s="12" t="s">
        <v>94</v>
      </c>
      <c r="U1203" s="12" t="s">
        <v>6647</v>
      </c>
    </row>
    <row r="1204" customFormat="false" ht="31.5" hidden="false" customHeight="true" outlineLevel="0" collapsed="false">
      <c r="A1204" s="12" t="n">
        <v>984</v>
      </c>
      <c r="B1204" s="12" t="s">
        <v>6644</v>
      </c>
      <c r="C1204" s="12" t="s">
        <v>2618</v>
      </c>
      <c r="D1204" s="12" t="s">
        <v>113</v>
      </c>
      <c r="E1204" s="12" t="s">
        <v>83</v>
      </c>
      <c r="F1204" s="12"/>
      <c r="G1204" s="12"/>
      <c r="H1204" s="12"/>
      <c r="I1204" s="12"/>
      <c r="J1204" s="12"/>
      <c r="K1204" s="12"/>
      <c r="L1204" s="12" t="n">
        <v>1</v>
      </c>
      <c r="M1204" s="12"/>
      <c r="N1204" s="12"/>
      <c r="O1204" s="13"/>
      <c r="P1204" s="13" t="s">
        <v>6648</v>
      </c>
      <c r="Q1204" s="13"/>
      <c r="R1204" s="13"/>
      <c r="S1204" s="13" t="s">
        <v>6649</v>
      </c>
      <c r="T1204" s="12" t="s">
        <v>94</v>
      </c>
      <c r="U1204" s="12" t="s">
        <v>6647</v>
      </c>
    </row>
    <row r="1205" customFormat="false" ht="31.5" hidden="false" customHeight="true" outlineLevel="0" collapsed="false">
      <c r="A1205" s="12" t="n">
        <v>984</v>
      </c>
      <c r="B1205" s="12" t="s">
        <v>6644</v>
      </c>
      <c r="C1205" s="12" t="s">
        <v>2516</v>
      </c>
      <c r="D1205" s="12" t="s">
        <v>113</v>
      </c>
      <c r="E1205" s="12" t="s">
        <v>83</v>
      </c>
      <c r="F1205" s="12"/>
      <c r="G1205" s="12"/>
      <c r="H1205" s="12"/>
      <c r="I1205" s="12"/>
      <c r="J1205" s="12"/>
      <c r="K1205" s="12"/>
      <c r="L1205" s="12"/>
      <c r="M1205" s="12"/>
      <c r="N1205" s="12" t="n">
        <v>70000</v>
      </c>
      <c r="O1205" s="13"/>
      <c r="P1205" s="13" t="s">
        <v>6650</v>
      </c>
      <c r="Q1205" s="13"/>
      <c r="R1205" s="13"/>
      <c r="S1205" s="13" t="s">
        <v>6651</v>
      </c>
      <c r="T1205" s="12" t="s">
        <v>94</v>
      </c>
      <c r="U1205" s="12" t="s">
        <v>6647</v>
      </c>
    </row>
    <row r="1206" customFormat="false" ht="31.5" hidden="false" customHeight="true" outlineLevel="0" collapsed="false">
      <c r="A1206" s="12" t="n">
        <v>985</v>
      </c>
      <c r="B1206" s="12" t="s">
        <v>6652</v>
      </c>
      <c r="C1206" s="12" t="s">
        <v>2588</v>
      </c>
      <c r="D1206" s="12" t="s">
        <v>113</v>
      </c>
      <c r="E1206" s="12" t="s">
        <v>83</v>
      </c>
      <c r="F1206" s="12"/>
      <c r="G1206" s="12"/>
      <c r="H1206" s="12"/>
      <c r="I1206" s="12" t="n">
        <v>67500</v>
      </c>
      <c r="J1206" s="12"/>
      <c r="K1206" s="12"/>
      <c r="L1206" s="12"/>
      <c r="M1206" s="12"/>
      <c r="N1206" s="12"/>
      <c r="O1206" s="13"/>
      <c r="P1206" s="13" t="s">
        <v>6653</v>
      </c>
      <c r="Q1206" s="13"/>
      <c r="R1206" s="13" t="s">
        <v>6654</v>
      </c>
      <c r="S1206" s="13" t="s">
        <v>6655</v>
      </c>
      <c r="T1206" s="12" t="s">
        <v>94</v>
      </c>
      <c r="U1206" s="12" t="s">
        <v>6656</v>
      </c>
    </row>
    <row r="1207" customFormat="false" ht="31.5" hidden="false" customHeight="true" outlineLevel="0" collapsed="false">
      <c r="A1207" s="12" t="n">
        <v>985</v>
      </c>
      <c r="B1207" s="12" t="s">
        <v>6652</v>
      </c>
      <c r="C1207" s="12" t="s">
        <v>2618</v>
      </c>
      <c r="D1207" s="12" t="s">
        <v>113</v>
      </c>
      <c r="E1207" s="12" t="s">
        <v>83</v>
      </c>
      <c r="F1207" s="12"/>
      <c r="G1207" s="12"/>
      <c r="H1207" s="12" t="s">
        <v>6657</v>
      </c>
      <c r="I1207" s="12"/>
      <c r="J1207" s="12"/>
      <c r="K1207" s="12"/>
      <c r="L1207" s="12"/>
      <c r="M1207" s="12"/>
      <c r="N1207" s="12"/>
      <c r="O1207" s="13"/>
      <c r="P1207" s="13" t="s">
        <v>6658</v>
      </c>
      <c r="Q1207" s="13"/>
      <c r="R1207" s="13" t="s">
        <v>6654</v>
      </c>
      <c r="S1207" s="13" t="s">
        <v>6655</v>
      </c>
      <c r="T1207" s="12" t="s">
        <v>94</v>
      </c>
      <c r="U1207" s="12" t="s">
        <v>6656</v>
      </c>
    </row>
    <row r="1208" customFormat="false" ht="31.5" hidden="false" customHeight="true" outlineLevel="0" collapsed="false">
      <c r="A1208" s="12" t="n">
        <v>986</v>
      </c>
      <c r="B1208" s="12" t="s">
        <v>6659</v>
      </c>
      <c r="C1208" s="12" t="s">
        <v>2630</v>
      </c>
      <c r="D1208" s="12" t="s">
        <v>113</v>
      </c>
      <c r="E1208" s="12" t="s">
        <v>83</v>
      </c>
      <c r="F1208" s="12" t="n">
        <v>69111.2</v>
      </c>
      <c r="G1208" s="12"/>
      <c r="H1208" s="12"/>
      <c r="I1208" s="12"/>
      <c r="J1208" s="12" t="n">
        <v>100</v>
      </c>
      <c r="K1208" s="12" t="n">
        <v>150</v>
      </c>
      <c r="L1208" s="12"/>
      <c r="M1208" s="12" t="n">
        <v>172.83</v>
      </c>
      <c r="N1208" s="12" t="n">
        <v>69907.6</v>
      </c>
      <c r="O1208" s="13"/>
      <c r="P1208" s="13" t="s">
        <v>6660</v>
      </c>
      <c r="Q1208" s="13"/>
      <c r="R1208" s="13"/>
      <c r="S1208" s="13" t="s">
        <v>6661</v>
      </c>
      <c r="T1208" s="12" t="s">
        <v>94</v>
      </c>
      <c r="U1208" s="12" t="s">
        <v>6662</v>
      </c>
    </row>
    <row r="1209" customFormat="false" ht="31.5" hidden="false" customHeight="true" outlineLevel="0" collapsed="false">
      <c r="A1209" s="12" t="n">
        <v>987</v>
      </c>
      <c r="B1209" s="12" t="s">
        <v>2417</v>
      </c>
      <c r="C1209" s="12" t="s">
        <v>2630</v>
      </c>
      <c r="D1209" s="12" t="s">
        <v>113</v>
      </c>
      <c r="E1209" s="12" t="s">
        <v>83</v>
      </c>
      <c r="F1209" s="12" t="n">
        <v>69220.4</v>
      </c>
      <c r="G1209" s="12"/>
      <c r="H1209" s="12"/>
      <c r="I1209" s="12"/>
      <c r="J1209" s="12" t="n">
        <v>100</v>
      </c>
      <c r="K1209" s="12"/>
      <c r="L1209" s="12"/>
      <c r="M1209" s="12"/>
      <c r="N1209" s="12" t="n">
        <v>70999.5</v>
      </c>
      <c r="O1209" s="13"/>
      <c r="P1209" s="13" t="s">
        <v>6663</v>
      </c>
      <c r="Q1209" s="13"/>
      <c r="R1209" s="13"/>
      <c r="S1209" s="13" t="s">
        <v>6664</v>
      </c>
      <c r="T1209" s="12" t="s">
        <v>94</v>
      </c>
      <c r="U1209" s="12" t="s">
        <v>6665</v>
      </c>
    </row>
    <row r="1210" customFormat="false" ht="31.5" hidden="false" customHeight="true" outlineLevel="0" collapsed="false">
      <c r="A1210" s="12" t="n">
        <v>988</v>
      </c>
      <c r="B1210" s="12" t="s">
        <v>2424</v>
      </c>
      <c r="C1210" s="12" t="s">
        <v>2521</v>
      </c>
      <c r="D1210" s="12" t="s">
        <v>113</v>
      </c>
      <c r="E1210" s="12" t="s">
        <v>259</v>
      </c>
      <c r="F1210" s="12" t="n">
        <v>72400</v>
      </c>
      <c r="G1210" s="12" t="n">
        <v>73100</v>
      </c>
      <c r="H1210" s="12"/>
      <c r="I1210" s="12" t="n">
        <v>74100</v>
      </c>
      <c r="J1210" s="12"/>
      <c r="K1210" s="12"/>
      <c r="L1210" s="12"/>
      <c r="M1210" s="12"/>
      <c r="N1210" s="12"/>
      <c r="O1210" s="13" t="s">
        <v>6666</v>
      </c>
      <c r="P1210" s="13" t="s">
        <v>6667</v>
      </c>
      <c r="Q1210" s="13"/>
      <c r="R1210" s="13" t="s">
        <v>6668</v>
      </c>
      <c r="S1210" s="13" t="s">
        <v>6669</v>
      </c>
      <c r="T1210" s="12" t="s">
        <v>94</v>
      </c>
      <c r="U1210" s="12" t="s">
        <v>2436</v>
      </c>
    </row>
    <row r="1211" customFormat="false" ht="31.5" hidden="false" customHeight="true" outlineLevel="0" collapsed="false">
      <c r="A1211" s="12" t="n">
        <v>989</v>
      </c>
      <c r="B1211" s="12" t="s">
        <v>6670</v>
      </c>
      <c r="C1211" s="12" t="s">
        <v>2588</v>
      </c>
      <c r="D1211" s="12" t="s">
        <v>113</v>
      </c>
      <c r="E1211" s="12" t="s">
        <v>259</v>
      </c>
      <c r="F1211" s="12"/>
      <c r="G1211" s="12"/>
      <c r="H1211" s="12"/>
      <c r="I1211" s="12" t="n">
        <v>72400</v>
      </c>
      <c r="J1211" s="12"/>
      <c r="K1211" s="12"/>
      <c r="L1211" s="12"/>
      <c r="M1211" s="12"/>
      <c r="N1211" s="12"/>
      <c r="O1211" s="13"/>
      <c r="P1211" s="13" t="s">
        <v>6671</v>
      </c>
      <c r="Q1211" s="13"/>
      <c r="R1211" s="13"/>
      <c r="S1211" s="13" t="s">
        <v>6672</v>
      </c>
      <c r="T1211" s="12" t="s">
        <v>108</v>
      </c>
      <c r="U1211" s="12" t="s">
        <v>6673</v>
      </c>
    </row>
    <row r="1212" customFormat="false" ht="31.5" hidden="false" customHeight="true" outlineLevel="0" collapsed="false">
      <c r="A1212" s="12" t="n">
        <v>989</v>
      </c>
      <c r="B1212" s="12" t="s">
        <v>6670</v>
      </c>
      <c r="C1212" s="12" t="s">
        <v>2670</v>
      </c>
      <c r="D1212" s="12" t="s">
        <v>113</v>
      </c>
      <c r="E1212" s="12" t="s">
        <v>259</v>
      </c>
      <c r="F1212" s="12"/>
      <c r="G1212" s="12"/>
      <c r="H1212" s="12" t="s">
        <v>6674</v>
      </c>
      <c r="I1212" s="12"/>
      <c r="J1212" s="12" t="n">
        <v>50</v>
      </c>
      <c r="K1212" s="12"/>
      <c r="L1212" s="12"/>
      <c r="M1212" s="12"/>
      <c r="N1212" s="12"/>
      <c r="O1212" s="13"/>
      <c r="P1212" s="13" t="s">
        <v>6675</v>
      </c>
      <c r="Q1212" s="13"/>
      <c r="R1212" s="13"/>
      <c r="S1212" s="13" t="s">
        <v>6676</v>
      </c>
      <c r="T1212" s="12" t="s">
        <v>94</v>
      </c>
      <c r="U1212" s="12" t="s">
        <v>6673</v>
      </c>
    </row>
    <row r="1213" customFormat="false" ht="31.5" hidden="false" customHeight="true" outlineLevel="0" collapsed="false">
      <c r="A1213" s="12" t="n">
        <v>989</v>
      </c>
      <c r="B1213" s="12" t="s">
        <v>6670</v>
      </c>
      <c r="C1213" s="12" t="s">
        <v>2516</v>
      </c>
      <c r="D1213" s="12" t="s">
        <v>113</v>
      </c>
      <c r="E1213" s="12" t="s">
        <v>259</v>
      </c>
      <c r="F1213" s="12"/>
      <c r="G1213" s="12"/>
      <c r="H1213" s="12" t="s">
        <v>6677</v>
      </c>
      <c r="I1213" s="12"/>
      <c r="J1213" s="12"/>
      <c r="K1213" s="12"/>
      <c r="L1213" s="12"/>
      <c r="M1213" s="12"/>
      <c r="N1213" s="12"/>
      <c r="O1213" s="13"/>
      <c r="P1213" s="13" t="s">
        <v>6678</v>
      </c>
      <c r="Q1213" s="13"/>
      <c r="R1213" s="13"/>
      <c r="S1213" s="13" t="s">
        <v>6679</v>
      </c>
      <c r="T1213" s="12" t="s">
        <v>94</v>
      </c>
      <c r="U1213" s="12" t="s">
        <v>6673</v>
      </c>
    </row>
    <row r="1214" customFormat="false" ht="31.5" hidden="false" customHeight="true" outlineLevel="0" collapsed="false">
      <c r="A1214" s="12" t="n">
        <v>990</v>
      </c>
      <c r="B1214" s="12" t="s">
        <v>6680</v>
      </c>
      <c r="C1214" s="12" t="s">
        <v>2516</v>
      </c>
      <c r="D1214" s="12" t="s">
        <v>113</v>
      </c>
      <c r="E1214" s="12" t="s">
        <v>259</v>
      </c>
      <c r="F1214" s="12"/>
      <c r="G1214" s="12"/>
      <c r="H1214" s="12" t="s">
        <v>6681</v>
      </c>
      <c r="I1214" s="12"/>
      <c r="J1214" s="12"/>
      <c r="K1214" s="12"/>
      <c r="L1214" s="12"/>
      <c r="M1214" s="12"/>
      <c r="N1214" s="12"/>
      <c r="O1214" s="13" t="s">
        <v>6682</v>
      </c>
      <c r="P1214" s="13" t="s">
        <v>6683</v>
      </c>
      <c r="Q1214" s="13"/>
      <c r="R1214" s="13"/>
      <c r="S1214" s="13" t="s">
        <v>6684</v>
      </c>
      <c r="T1214" s="12" t="s">
        <v>94</v>
      </c>
      <c r="U1214" s="12" t="s">
        <v>6685</v>
      </c>
    </row>
    <row r="1215" customFormat="false" ht="31.5" hidden="false" customHeight="true" outlineLevel="0" collapsed="false">
      <c r="A1215" s="12" t="n">
        <v>991</v>
      </c>
      <c r="B1215" s="12" t="s">
        <v>2437</v>
      </c>
      <c r="C1215" s="12" t="s">
        <v>2521</v>
      </c>
      <c r="D1215" s="12" t="s">
        <v>2438</v>
      </c>
      <c r="E1215" s="12" t="s">
        <v>259</v>
      </c>
      <c r="F1215" s="12" t="n">
        <v>0.0889</v>
      </c>
      <c r="G1215" s="12"/>
      <c r="H1215" s="12" t="s">
        <v>2440</v>
      </c>
      <c r="I1215" s="12" t="n">
        <v>0.09106</v>
      </c>
      <c r="J1215" s="12"/>
      <c r="K1215" s="12"/>
      <c r="L1215" s="12"/>
      <c r="M1215" s="12"/>
      <c r="N1215" s="12"/>
      <c r="O1215" s="13" t="s">
        <v>2441</v>
      </c>
      <c r="P1215" s="13" t="s">
        <v>6686</v>
      </c>
      <c r="Q1215" s="13"/>
      <c r="R1215" s="13"/>
      <c r="S1215" s="13" t="s">
        <v>6687</v>
      </c>
      <c r="T1215" s="12" t="s">
        <v>94</v>
      </c>
      <c r="U1215" s="12" t="s">
        <v>2446</v>
      </c>
    </row>
    <row r="1216" customFormat="false" ht="31.5" hidden="false" customHeight="true" outlineLevel="0" collapsed="false">
      <c r="A1216" s="12" t="n">
        <v>992</v>
      </c>
      <c r="B1216" s="12" t="s">
        <v>6688</v>
      </c>
      <c r="C1216" s="12" t="s">
        <v>2557</v>
      </c>
      <c r="D1216" s="12" t="s">
        <v>113</v>
      </c>
      <c r="E1216" s="12" t="s">
        <v>259</v>
      </c>
      <c r="F1216" s="12"/>
      <c r="G1216" s="12"/>
      <c r="H1216" s="12"/>
      <c r="I1216" s="12"/>
      <c r="J1216" s="12"/>
      <c r="K1216" s="12"/>
      <c r="L1216" s="12"/>
      <c r="M1216" s="12"/>
      <c r="N1216" s="12"/>
      <c r="O1216" s="13"/>
      <c r="P1216" s="13" t="s">
        <v>6689</v>
      </c>
      <c r="Q1216" s="13"/>
      <c r="R1216" s="13"/>
      <c r="S1216" s="13" t="s">
        <v>6690</v>
      </c>
      <c r="T1216" s="12" t="s">
        <v>94</v>
      </c>
      <c r="U1216" s="12" t="s">
        <v>6691</v>
      </c>
    </row>
    <row r="1217" customFormat="false" ht="31.5" hidden="false" customHeight="true" outlineLevel="0" collapsed="false">
      <c r="A1217" s="12" t="n">
        <v>993</v>
      </c>
      <c r="B1217" s="12" t="s">
        <v>2430</v>
      </c>
      <c r="C1217" s="12" t="s">
        <v>2564</v>
      </c>
      <c r="D1217" s="12" t="s">
        <v>113</v>
      </c>
      <c r="E1217" s="12" t="s">
        <v>259</v>
      </c>
      <c r="F1217" s="12"/>
      <c r="G1217" s="12"/>
      <c r="H1217" s="12"/>
      <c r="I1217" s="12"/>
      <c r="J1217" s="12"/>
      <c r="K1217" s="12"/>
      <c r="L1217" s="12"/>
      <c r="M1217" s="12"/>
      <c r="N1217" s="12"/>
      <c r="O1217" s="13" t="s">
        <v>6692</v>
      </c>
      <c r="P1217" s="13" t="s">
        <v>6693</v>
      </c>
      <c r="Q1217" s="13"/>
      <c r="R1217" s="13"/>
      <c r="S1217" s="13" t="s">
        <v>6694</v>
      </c>
      <c r="T1217" s="12" t="s">
        <v>108</v>
      </c>
      <c r="U1217" s="12" t="s">
        <v>6695</v>
      </c>
    </row>
    <row r="1218" customFormat="false" ht="31.5" hidden="false" customHeight="true" outlineLevel="0" collapsed="false">
      <c r="A1218" s="12" t="n">
        <v>994</v>
      </c>
      <c r="B1218" s="12" t="s">
        <v>2447</v>
      </c>
      <c r="C1218" s="12" t="s">
        <v>2549</v>
      </c>
      <c r="D1218" s="12" t="s">
        <v>552</v>
      </c>
      <c r="E1218" s="12" t="s">
        <v>83</v>
      </c>
      <c r="F1218" s="12" t="n">
        <v>7.2</v>
      </c>
      <c r="G1218" s="12"/>
      <c r="H1218" s="12"/>
      <c r="I1218" s="12"/>
      <c r="J1218" s="12"/>
      <c r="K1218" s="12"/>
      <c r="L1218" s="12"/>
      <c r="M1218" s="12"/>
      <c r="N1218" s="12"/>
      <c r="O1218" s="13"/>
      <c r="P1218" s="13" t="s">
        <v>6696</v>
      </c>
      <c r="Q1218" s="13"/>
      <c r="R1218" s="13" t="s">
        <v>2451</v>
      </c>
      <c r="S1218" s="13" t="s">
        <v>6697</v>
      </c>
      <c r="T1218" s="12" t="s">
        <v>94</v>
      </c>
      <c r="U1218" s="12" t="s">
        <v>2454</v>
      </c>
    </row>
    <row r="1219" customFormat="false" ht="31.5" hidden="false" customHeight="true" outlineLevel="0" collapsed="false">
      <c r="A1219" s="12" t="n">
        <v>994</v>
      </c>
      <c r="B1219" s="12" t="s">
        <v>2447</v>
      </c>
      <c r="C1219" s="12" t="s">
        <v>2549</v>
      </c>
      <c r="D1219" s="12" t="s">
        <v>491</v>
      </c>
      <c r="E1219" s="12" t="s">
        <v>83</v>
      </c>
      <c r="F1219" s="12" t="n">
        <v>0.74</v>
      </c>
      <c r="G1219" s="12"/>
      <c r="H1219" s="12"/>
      <c r="I1219" s="12"/>
      <c r="J1219" s="12"/>
      <c r="K1219" s="12"/>
      <c r="L1219" s="12"/>
      <c r="M1219" s="12"/>
      <c r="N1219" s="12"/>
      <c r="O1219" s="13"/>
      <c r="P1219" s="13" t="s">
        <v>6698</v>
      </c>
      <c r="Q1219" s="13"/>
      <c r="R1219" s="13" t="s">
        <v>2451</v>
      </c>
      <c r="S1219" s="13" t="s">
        <v>6697</v>
      </c>
      <c r="T1219" s="12" t="s">
        <v>94</v>
      </c>
      <c r="U1219" s="12" t="s">
        <v>2454</v>
      </c>
    </row>
    <row r="1220" customFormat="false" ht="31.5" hidden="false" customHeight="true" outlineLevel="0" collapsed="false">
      <c r="A1220" s="12" t="n">
        <v>995</v>
      </c>
      <c r="B1220" s="12" t="s">
        <v>2461</v>
      </c>
      <c r="C1220" s="12" t="s">
        <v>2557</v>
      </c>
      <c r="D1220" s="12" t="s">
        <v>552</v>
      </c>
      <c r="E1220" s="12" t="s">
        <v>83</v>
      </c>
      <c r="F1220" s="12"/>
      <c r="G1220" s="12"/>
      <c r="H1220" s="12"/>
      <c r="I1220" s="12"/>
      <c r="J1220" s="12"/>
      <c r="K1220" s="12"/>
      <c r="L1220" s="12"/>
      <c r="M1220" s="12"/>
      <c r="N1220" s="12"/>
      <c r="O1220" s="13"/>
      <c r="P1220" s="13" t="s">
        <v>6699</v>
      </c>
      <c r="Q1220" s="13"/>
      <c r="R1220" s="13"/>
      <c r="S1220" s="13" t="s">
        <v>6700</v>
      </c>
      <c r="T1220" s="12" t="s">
        <v>94</v>
      </c>
      <c r="U1220" s="12" t="s">
        <v>2468</v>
      </c>
    </row>
    <row r="1221" customFormat="false" ht="31.5" hidden="false" customHeight="true" outlineLevel="0" collapsed="false">
      <c r="A1221" s="12" t="n">
        <v>995</v>
      </c>
      <c r="B1221" s="12" t="s">
        <v>2461</v>
      </c>
      <c r="C1221" s="12" t="s">
        <v>2557</v>
      </c>
      <c r="D1221" s="12" t="s">
        <v>113</v>
      </c>
      <c r="E1221" s="12" t="s">
        <v>83</v>
      </c>
      <c r="F1221" s="12"/>
      <c r="G1221" s="12"/>
      <c r="H1221" s="12"/>
      <c r="I1221" s="12"/>
      <c r="J1221" s="12"/>
      <c r="K1221" s="12"/>
      <c r="L1221" s="12"/>
      <c r="M1221" s="12"/>
      <c r="N1221" s="12"/>
      <c r="O1221" s="13"/>
      <c r="P1221" s="13" t="s">
        <v>6701</v>
      </c>
      <c r="Q1221" s="13"/>
      <c r="R1221" s="13"/>
      <c r="S1221" s="13" t="s">
        <v>6700</v>
      </c>
      <c r="T1221" s="12" t="s">
        <v>94</v>
      </c>
      <c r="U1221" s="12" t="s">
        <v>2468</v>
      </c>
    </row>
    <row r="1222" customFormat="false" ht="31.5" hidden="false" customHeight="true" outlineLevel="0" collapsed="false">
      <c r="A1222" s="12" t="n">
        <v>995</v>
      </c>
      <c r="B1222" s="12" t="s">
        <v>2461</v>
      </c>
      <c r="C1222" s="12" t="s">
        <v>2557</v>
      </c>
      <c r="D1222" s="12" t="s">
        <v>99</v>
      </c>
      <c r="E1222" s="12" t="s">
        <v>83</v>
      </c>
      <c r="F1222" s="12"/>
      <c r="G1222" s="12"/>
      <c r="H1222" s="12"/>
      <c r="I1222" s="12"/>
      <c r="J1222" s="12"/>
      <c r="K1222" s="12"/>
      <c r="L1222" s="12"/>
      <c r="M1222" s="12"/>
      <c r="N1222" s="12"/>
      <c r="O1222" s="13"/>
      <c r="P1222" s="13" t="s">
        <v>6702</v>
      </c>
      <c r="Q1222" s="13"/>
      <c r="R1222" s="13"/>
      <c r="S1222" s="13" t="s">
        <v>6700</v>
      </c>
      <c r="T1222" s="12" t="s">
        <v>94</v>
      </c>
      <c r="U1222" s="12" t="s">
        <v>2468</v>
      </c>
    </row>
    <row r="1223" customFormat="false" ht="31.5" hidden="false" customHeight="true" outlineLevel="0" collapsed="false">
      <c r="A1223" s="12" t="n">
        <v>995</v>
      </c>
      <c r="B1223" s="12" t="s">
        <v>2461</v>
      </c>
      <c r="C1223" s="12" t="s">
        <v>2557</v>
      </c>
      <c r="D1223" s="12" t="s">
        <v>596</v>
      </c>
      <c r="E1223" s="12" t="s">
        <v>83</v>
      </c>
      <c r="F1223" s="12"/>
      <c r="G1223" s="12"/>
      <c r="H1223" s="12"/>
      <c r="I1223" s="12"/>
      <c r="J1223" s="12"/>
      <c r="K1223" s="12"/>
      <c r="L1223" s="12"/>
      <c r="M1223" s="12"/>
      <c r="N1223" s="12"/>
      <c r="O1223" s="13"/>
      <c r="P1223" s="13" t="s">
        <v>6703</v>
      </c>
      <c r="Q1223" s="13"/>
      <c r="R1223" s="13"/>
      <c r="S1223" s="13" t="s">
        <v>6700</v>
      </c>
      <c r="T1223" s="12" t="s">
        <v>94</v>
      </c>
      <c r="U1223" s="12" t="s">
        <v>2468</v>
      </c>
    </row>
    <row r="1224" customFormat="false" ht="31.5" hidden="false" customHeight="true" outlineLevel="0" collapsed="false">
      <c r="A1224" s="12" t="n">
        <v>995</v>
      </c>
      <c r="B1224" s="12" t="s">
        <v>2461</v>
      </c>
      <c r="C1224" s="12" t="s">
        <v>2557</v>
      </c>
      <c r="D1224" s="12" t="s">
        <v>409</v>
      </c>
      <c r="E1224" s="12" t="s">
        <v>83</v>
      </c>
      <c r="F1224" s="12"/>
      <c r="G1224" s="12"/>
      <c r="H1224" s="12"/>
      <c r="I1224" s="12"/>
      <c r="J1224" s="12"/>
      <c r="K1224" s="12"/>
      <c r="L1224" s="12"/>
      <c r="M1224" s="12"/>
      <c r="N1224" s="12"/>
      <c r="O1224" s="13"/>
      <c r="P1224" s="13" t="s">
        <v>6704</v>
      </c>
      <c r="Q1224" s="13"/>
      <c r="R1224" s="13"/>
      <c r="S1224" s="13" t="s">
        <v>6700</v>
      </c>
      <c r="T1224" s="12" t="s">
        <v>94</v>
      </c>
      <c r="U1224" s="12" t="s">
        <v>2468</v>
      </c>
    </row>
    <row r="1225" customFormat="false" ht="31.5" hidden="false" customHeight="true" outlineLevel="0" collapsed="false">
      <c r="A1225" s="12" t="n">
        <v>995</v>
      </c>
      <c r="B1225" s="12" t="s">
        <v>2461</v>
      </c>
      <c r="C1225" s="12" t="s">
        <v>2557</v>
      </c>
      <c r="D1225" s="12" t="s">
        <v>317</v>
      </c>
      <c r="E1225" s="12" t="s">
        <v>83</v>
      </c>
      <c r="F1225" s="12"/>
      <c r="G1225" s="12"/>
      <c r="H1225" s="12"/>
      <c r="I1225" s="12"/>
      <c r="J1225" s="12"/>
      <c r="K1225" s="12"/>
      <c r="L1225" s="12"/>
      <c r="M1225" s="12"/>
      <c r="N1225" s="12"/>
      <c r="O1225" s="13"/>
      <c r="P1225" s="13" t="s">
        <v>6705</v>
      </c>
      <c r="Q1225" s="13"/>
      <c r="R1225" s="13"/>
      <c r="S1225" s="13" t="s">
        <v>6700</v>
      </c>
      <c r="T1225" s="12" t="s">
        <v>94</v>
      </c>
      <c r="U1225" s="12" t="s">
        <v>2468</v>
      </c>
    </row>
    <row r="1226" customFormat="false" ht="31.5" hidden="false" customHeight="true" outlineLevel="0" collapsed="false">
      <c r="A1226" s="12" t="n">
        <v>995</v>
      </c>
      <c r="B1226" s="12" t="s">
        <v>2461</v>
      </c>
      <c r="C1226" s="12" t="s">
        <v>2557</v>
      </c>
      <c r="D1226" s="12" t="s">
        <v>491</v>
      </c>
      <c r="E1226" s="12" t="s">
        <v>83</v>
      </c>
      <c r="F1226" s="12"/>
      <c r="G1226" s="12"/>
      <c r="H1226" s="12"/>
      <c r="I1226" s="12"/>
      <c r="J1226" s="12"/>
      <c r="K1226" s="12"/>
      <c r="L1226" s="12"/>
      <c r="M1226" s="12"/>
      <c r="N1226" s="12"/>
      <c r="O1226" s="13"/>
      <c r="P1226" s="13" t="s">
        <v>6706</v>
      </c>
      <c r="Q1226" s="13"/>
      <c r="R1226" s="13"/>
      <c r="S1226" s="13" t="s">
        <v>6700</v>
      </c>
      <c r="T1226" s="12" t="s">
        <v>94</v>
      </c>
      <c r="U1226" s="12" t="s">
        <v>2468</v>
      </c>
    </row>
    <row r="1227" customFormat="false" ht="31.5" hidden="false" customHeight="true" outlineLevel="0" collapsed="false">
      <c r="A1227" s="12" t="n">
        <v>996</v>
      </c>
      <c r="B1227" s="12" t="s">
        <v>6707</v>
      </c>
      <c r="C1227" s="12" t="s">
        <v>2527</v>
      </c>
      <c r="D1227" s="12" t="s">
        <v>113</v>
      </c>
      <c r="E1227" s="12" t="s">
        <v>83</v>
      </c>
      <c r="F1227" s="12"/>
      <c r="G1227" s="12"/>
      <c r="H1227" s="12"/>
      <c r="I1227" s="12"/>
      <c r="J1227" s="12"/>
      <c r="K1227" s="12"/>
      <c r="L1227" s="12"/>
      <c r="M1227" s="12"/>
      <c r="N1227" s="12" t="n">
        <v>75000</v>
      </c>
      <c r="O1227" s="13"/>
      <c r="P1227" s="13" t="s">
        <v>6708</v>
      </c>
      <c r="Q1227" s="13"/>
      <c r="R1227" s="13" t="s">
        <v>6709</v>
      </c>
      <c r="S1227" s="13" t="s">
        <v>6710</v>
      </c>
      <c r="T1227" s="12" t="s">
        <v>94</v>
      </c>
      <c r="U1227" s="12" t="s">
        <v>6711</v>
      </c>
    </row>
    <row r="1228" customFormat="false" ht="31.5" hidden="false" customHeight="true" outlineLevel="0" collapsed="false">
      <c r="A1228" s="12" t="n">
        <v>997</v>
      </c>
      <c r="B1228" s="12" t="s">
        <v>6712</v>
      </c>
      <c r="C1228" s="12" t="s">
        <v>2511</v>
      </c>
      <c r="D1228" s="12"/>
      <c r="E1228" s="12"/>
      <c r="F1228" s="12"/>
      <c r="G1228" s="12"/>
      <c r="H1228" s="12"/>
      <c r="I1228" s="12"/>
      <c r="J1228" s="12"/>
      <c r="K1228" s="12"/>
      <c r="L1228" s="12"/>
      <c r="M1228" s="12"/>
      <c r="N1228" s="12"/>
      <c r="O1228" s="13" t="s">
        <v>6713</v>
      </c>
      <c r="P1228" s="13" t="s">
        <v>6714</v>
      </c>
      <c r="Q1228" s="13"/>
      <c r="R1228" s="13"/>
      <c r="S1228" s="13" t="s">
        <v>6715</v>
      </c>
      <c r="T1228" s="12" t="s">
        <v>94</v>
      </c>
      <c r="U1228" s="12" t="s">
        <v>6716</v>
      </c>
    </row>
    <row r="1229" customFormat="false" ht="31.5" hidden="false" customHeight="true" outlineLevel="0" collapsed="false">
      <c r="A1229" s="12" t="n">
        <v>997</v>
      </c>
      <c r="B1229" s="12" t="s">
        <v>6712</v>
      </c>
      <c r="C1229" s="12" t="s">
        <v>2506</v>
      </c>
      <c r="D1229" s="12"/>
      <c r="E1229" s="12"/>
      <c r="F1229" s="12"/>
      <c r="G1229" s="12"/>
      <c r="H1229" s="12"/>
      <c r="I1229" s="12"/>
      <c r="J1229" s="12"/>
      <c r="K1229" s="12"/>
      <c r="L1229" s="12"/>
      <c r="M1229" s="12"/>
      <c r="N1229" s="12"/>
      <c r="O1229" s="13"/>
      <c r="P1229" s="13" t="s">
        <v>6717</v>
      </c>
      <c r="Q1229" s="13"/>
      <c r="R1229" s="13"/>
      <c r="S1229" s="13" t="s">
        <v>6718</v>
      </c>
      <c r="T1229" s="12" t="s">
        <v>94</v>
      </c>
      <c r="U1229" s="12" t="s">
        <v>6716</v>
      </c>
    </row>
    <row r="1230" customFormat="false" ht="31.5" hidden="false" customHeight="true" outlineLevel="0" collapsed="false">
      <c r="A1230" s="12" t="n">
        <v>998</v>
      </c>
      <c r="B1230" s="12" t="s">
        <v>6719</v>
      </c>
      <c r="C1230" s="12" t="s">
        <v>2557</v>
      </c>
      <c r="D1230" s="12" t="s">
        <v>113</v>
      </c>
      <c r="E1230" s="12" t="s">
        <v>83</v>
      </c>
      <c r="F1230" s="12" t="n">
        <v>63000</v>
      </c>
      <c r="G1230" s="12"/>
      <c r="H1230" s="12"/>
      <c r="I1230" s="12"/>
      <c r="J1230" s="12"/>
      <c r="K1230" s="12"/>
      <c r="L1230" s="12"/>
      <c r="M1230" s="12" t="n">
        <v>20.95</v>
      </c>
      <c r="N1230" s="12"/>
      <c r="O1230" s="13"/>
      <c r="P1230" s="13" t="s">
        <v>6720</v>
      </c>
      <c r="Q1230" s="13"/>
      <c r="R1230" s="13"/>
      <c r="S1230" s="13" t="s">
        <v>6721</v>
      </c>
      <c r="T1230" s="12" t="s">
        <v>94</v>
      </c>
      <c r="U1230" s="12" t="s">
        <v>6722</v>
      </c>
    </row>
    <row r="1231" customFormat="false" ht="31.5" hidden="false" customHeight="true" outlineLevel="0" collapsed="false">
      <c r="A1231" s="12" t="n">
        <v>999</v>
      </c>
      <c r="B1231" s="12" t="s">
        <v>6723</v>
      </c>
      <c r="C1231" s="12" t="s">
        <v>2557</v>
      </c>
      <c r="D1231" s="12" t="s">
        <v>552</v>
      </c>
      <c r="E1231" s="12" t="s">
        <v>83</v>
      </c>
      <c r="F1231" s="12"/>
      <c r="G1231" s="12"/>
      <c r="H1231" s="12"/>
      <c r="I1231" s="12"/>
      <c r="J1231" s="12"/>
      <c r="K1231" s="12"/>
      <c r="L1231" s="12"/>
      <c r="M1231" s="12"/>
      <c r="N1231" s="12"/>
      <c r="O1231" s="13"/>
      <c r="P1231" s="13" t="s">
        <v>6724</v>
      </c>
      <c r="Q1231" s="13"/>
      <c r="R1231" s="13"/>
      <c r="S1231" s="13" t="s">
        <v>6725</v>
      </c>
      <c r="T1231" s="12" t="s">
        <v>94</v>
      </c>
      <c r="U1231" s="12" t="s">
        <v>6726</v>
      </c>
    </row>
    <row r="1232" customFormat="false" ht="31.5" hidden="false" customHeight="true" outlineLevel="0" collapsed="false">
      <c r="A1232" s="12" t="n">
        <v>999</v>
      </c>
      <c r="B1232" s="12" t="s">
        <v>6723</v>
      </c>
      <c r="C1232" s="12" t="s">
        <v>2527</v>
      </c>
      <c r="D1232" s="12" t="s">
        <v>113</v>
      </c>
      <c r="E1232" s="12" t="s">
        <v>83</v>
      </c>
      <c r="F1232" s="12"/>
      <c r="G1232" s="12"/>
      <c r="H1232" s="12"/>
      <c r="I1232" s="12"/>
      <c r="J1232" s="12"/>
      <c r="K1232" s="12"/>
      <c r="L1232" s="12"/>
      <c r="M1232" s="12"/>
      <c r="N1232" s="12" t="n">
        <v>80000</v>
      </c>
      <c r="O1232" s="13"/>
      <c r="P1232" s="13" t="s">
        <v>6727</v>
      </c>
      <c r="Q1232" s="13" t="s">
        <v>6728</v>
      </c>
      <c r="R1232" s="13" t="s">
        <v>6729</v>
      </c>
      <c r="S1232" s="13" t="s">
        <v>6725</v>
      </c>
      <c r="T1232" s="12" t="s">
        <v>94</v>
      </c>
      <c r="U1232" s="12" t="s">
        <v>6726</v>
      </c>
    </row>
    <row r="1233" customFormat="false" ht="31.5" hidden="false" customHeight="true" outlineLevel="0" collapsed="false">
      <c r="A1233" s="12" t="n">
        <v>999</v>
      </c>
      <c r="B1233" s="12" t="s">
        <v>6723</v>
      </c>
      <c r="C1233" s="12" t="s">
        <v>2557</v>
      </c>
      <c r="D1233" s="12" t="s">
        <v>113</v>
      </c>
      <c r="E1233" s="12" t="s">
        <v>83</v>
      </c>
      <c r="F1233" s="12"/>
      <c r="G1233" s="12"/>
      <c r="H1233" s="12"/>
      <c r="I1233" s="12"/>
      <c r="J1233" s="12"/>
      <c r="K1233" s="12"/>
      <c r="L1233" s="12"/>
      <c r="M1233" s="12" t="n">
        <v>30</v>
      </c>
      <c r="N1233" s="12"/>
      <c r="O1233" s="13"/>
      <c r="P1233" s="13" t="s">
        <v>6730</v>
      </c>
      <c r="Q1233" s="13"/>
      <c r="R1233" s="13"/>
      <c r="S1233" s="13" t="s">
        <v>6725</v>
      </c>
      <c r="T1233" s="12" t="s">
        <v>108</v>
      </c>
      <c r="U1233" s="12" t="s">
        <v>6726</v>
      </c>
    </row>
    <row r="1234" customFormat="false" ht="31.5" hidden="false" customHeight="true" outlineLevel="0" collapsed="false">
      <c r="A1234" s="12" t="n">
        <v>999</v>
      </c>
      <c r="B1234" s="12" t="s">
        <v>6723</v>
      </c>
      <c r="C1234" s="12" t="s">
        <v>2557</v>
      </c>
      <c r="D1234" s="12" t="s">
        <v>596</v>
      </c>
      <c r="E1234" s="12" t="s">
        <v>83</v>
      </c>
      <c r="F1234" s="12"/>
      <c r="G1234" s="12"/>
      <c r="H1234" s="12"/>
      <c r="I1234" s="12"/>
      <c r="J1234" s="12"/>
      <c r="K1234" s="12"/>
      <c r="L1234" s="12"/>
      <c r="M1234" s="12" t="n">
        <v>30</v>
      </c>
      <c r="N1234" s="12"/>
      <c r="O1234" s="13"/>
      <c r="P1234" s="13" t="s">
        <v>6731</v>
      </c>
      <c r="Q1234" s="13"/>
      <c r="R1234" s="13"/>
      <c r="S1234" s="13" t="s">
        <v>6725</v>
      </c>
      <c r="T1234" s="12" t="s">
        <v>108</v>
      </c>
      <c r="U1234" s="12" t="s">
        <v>6726</v>
      </c>
    </row>
    <row r="1235" customFormat="false" ht="31.5" hidden="false" customHeight="true" outlineLevel="0" collapsed="false">
      <c r="A1235" s="12" t="n">
        <v>999</v>
      </c>
      <c r="B1235" s="12" t="s">
        <v>6723</v>
      </c>
      <c r="C1235" s="12" t="s">
        <v>2557</v>
      </c>
      <c r="D1235" s="12" t="s">
        <v>409</v>
      </c>
      <c r="E1235" s="12" t="s">
        <v>83</v>
      </c>
      <c r="F1235" s="12"/>
      <c r="G1235" s="12"/>
      <c r="H1235" s="12"/>
      <c r="I1235" s="12"/>
      <c r="J1235" s="12"/>
      <c r="K1235" s="12"/>
      <c r="L1235" s="12"/>
      <c r="M1235" s="12"/>
      <c r="N1235" s="12"/>
      <c r="O1235" s="13"/>
      <c r="P1235" s="13" t="s">
        <v>6732</v>
      </c>
      <c r="Q1235" s="13"/>
      <c r="R1235" s="13"/>
      <c r="S1235" s="13" t="s">
        <v>6725</v>
      </c>
      <c r="T1235" s="12" t="s">
        <v>94</v>
      </c>
      <c r="U1235" s="12" t="s">
        <v>6726</v>
      </c>
    </row>
    <row r="1236" customFormat="false" ht="31.5" hidden="false" customHeight="true" outlineLevel="0" collapsed="false">
      <c r="A1236" s="12" t="n">
        <v>999</v>
      </c>
      <c r="B1236" s="12" t="s">
        <v>6723</v>
      </c>
      <c r="C1236" s="12" t="s">
        <v>2557</v>
      </c>
      <c r="D1236" s="12" t="s">
        <v>317</v>
      </c>
      <c r="E1236" s="12" t="s">
        <v>83</v>
      </c>
      <c r="F1236" s="12"/>
      <c r="G1236" s="12"/>
      <c r="H1236" s="12"/>
      <c r="I1236" s="12"/>
      <c r="J1236" s="12"/>
      <c r="K1236" s="12"/>
      <c r="L1236" s="12"/>
      <c r="M1236" s="12"/>
      <c r="N1236" s="12"/>
      <c r="O1236" s="13"/>
      <c r="P1236" s="13" t="s">
        <v>6733</v>
      </c>
      <c r="Q1236" s="13"/>
      <c r="R1236" s="13"/>
      <c r="S1236" s="13" t="s">
        <v>6725</v>
      </c>
      <c r="T1236" s="12" t="s">
        <v>94</v>
      </c>
      <c r="U1236" s="12" t="s">
        <v>6726</v>
      </c>
    </row>
    <row r="1237" customFormat="false" ht="31.5" hidden="false" customHeight="true" outlineLevel="0" collapsed="false">
      <c r="A1237" s="12" t="n">
        <v>999</v>
      </c>
      <c r="B1237" s="12" t="s">
        <v>6723</v>
      </c>
      <c r="C1237" s="12" t="s">
        <v>2557</v>
      </c>
      <c r="D1237" s="12" t="s">
        <v>491</v>
      </c>
      <c r="E1237" s="12" t="s">
        <v>83</v>
      </c>
      <c r="F1237" s="12"/>
      <c r="G1237" s="12"/>
      <c r="H1237" s="12"/>
      <c r="I1237" s="12"/>
      <c r="J1237" s="12"/>
      <c r="K1237" s="12"/>
      <c r="L1237" s="12"/>
      <c r="M1237" s="12"/>
      <c r="N1237" s="12"/>
      <c r="O1237" s="13"/>
      <c r="P1237" s="13" t="s">
        <v>6734</v>
      </c>
      <c r="Q1237" s="13"/>
      <c r="R1237" s="13"/>
      <c r="S1237" s="13" t="s">
        <v>6725</v>
      </c>
      <c r="T1237" s="12" t="s">
        <v>94</v>
      </c>
      <c r="U1237" s="12" t="s">
        <v>6726</v>
      </c>
    </row>
    <row r="1238" customFormat="false" ht="31.5" hidden="false" customHeight="true" outlineLevel="0" collapsed="false">
      <c r="A1238" s="12" t="n">
        <v>1000</v>
      </c>
      <c r="B1238" s="12" t="s">
        <v>2469</v>
      </c>
      <c r="C1238" s="12" t="s">
        <v>2549</v>
      </c>
      <c r="D1238" s="12" t="s">
        <v>2470</v>
      </c>
      <c r="E1238" s="12" t="s">
        <v>83</v>
      </c>
      <c r="F1238" s="12" t="n">
        <v>0.19</v>
      </c>
      <c r="G1238" s="12"/>
      <c r="H1238" s="12"/>
      <c r="I1238" s="12"/>
      <c r="J1238" s="12"/>
      <c r="K1238" s="12"/>
      <c r="L1238" s="12"/>
      <c r="M1238" s="12"/>
      <c r="N1238" s="12"/>
      <c r="O1238" s="13" t="s">
        <v>6735</v>
      </c>
      <c r="P1238" s="13" t="s">
        <v>6736</v>
      </c>
      <c r="Q1238" s="13"/>
      <c r="R1238" s="13"/>
      <c r="S1238" s="13" t="s">
        <v>6737</v>
      </c>
      <c r="T1238" s="12" t="s">
        <v>94</v>
      </c>
      <c r="U1238" s="12" t="s">
        <v>2477</v>
      </c>
    </row>
    <row r="1239" customFormat="false" ht="31.5" hidden="false" customHeight="true" outlineLevel="0" collapsed="false">
      <c r="A1239" s="12" t="n">
        <v>1001</v>
      </c>
      <c r="B1239" s="12" t="s">
        <v>6738</v>
      </c>
      <c r="C1239" s="12" t="s">
        <v>2809</v>
      </c>
      <c r="D1239" s="12" t="s">
        <v>2470</v>
      </c>
      <c r="E1239" s="12" t="s">
        <v>83</v>
      </c>
      <c r="F1239" s="12"/>
      <c r="G1239" s="12"/>
      <c r="H1239" s="12"/>
      <c r="I1239" s="12" t="n">
        <v>0.1946</v>
      </c>
      <c r="J1239" s="12"/>
      <c r="K1239" s="12"/>
      <c r="L1239" s="12"/>
      <c r="M1239" s="12"/>
      <c r="N1239" s="12"/>
      <c r="O1239" s="13" t="s">
        <v>6739</v>
      </c>
      <c r="P1239" s="13" t="s">
        <v>6740</v>
      </c>
      <c r="Q1239" s="13"/>
      <c r="R1239" s="13"/>
      <c r="S1239" s="13" t="s">
        <v>6741</v>
      </c>
      <c r="T1239" s="12" t="s">
        <v>108</v>
      </c>
      <c r="U1239" s="12" t="s">
        <v>6742</v>
      </c>
    </row>
    <row r="1240" customFormat="false" ht="31.5" hidden="false" customHeight="true" outlineLevel="0" collapsed="false">
      <c r="A1240" s="12" t="n">
        <v>1002</v>
      </c>
      <c r="B1240" s="12" t="s">
        <v>6743</v>
      </c>
      <c r="C1240" s="12" t="s">
        <v>2527</v>
      </c>
      <c r="D1240" s="12" t="s">
        <v>317</v>
      </c>
      <c r="E1240" s="12" t="s">
        <v>83</v>
      </c>
      <c r="F1240" s="12" t="n">
        <v>80</v>
      </c>
      <c r="G1240" s="12"/>
      <c r="H1240" s="12"/>
      <c r="I1240" s="12"/>
      <c r="J1240" s="12"/>
      <c r="K1240" s="12"/>
      <c r="L1240" s="12"/>
      <c r="M1240" s="12"/>
      <c r="N1240" s="12" t="n">
        <v>90</v>
      </c>
      <c r="O1240" s="13"/>
      <c r="P1240" s="13" t="s">
        <v>6744</v>
      </c>
      <c r="Q1240" s="13"/>
      <c r="R1240" s="13"/>
      <c r="S1240" s="13" t="s">
        <v>6745</v>
      </c>
      <c r="T1240" s="12" t="s">
        <v>94</v>
      </c>
      <c r="U1240" s="12" t="s">
        <v>6746</v>
      </c>
    </row>
    <row r="1241" customFormat="false" ht="31.5" hidden="false" customHeight="true" outlineLevel="0" collapsed="false">
      <c r="A1241" s="12" t="n">
        <v>1003</v>
      </c>
      <c r="B1241" s="12" t="s">
        <v>6747</v>
      </c>
      <c r="C1241" s="12" t="s">
        <v>2557</v>
      </c>
      <c r="D1241" s="12" t="s">
        <v>596</v>
      </c>
      <c r="E1241" s="12" t="s">
        <v>83</v>
      </c>
      <c r="F1241" s="12"/>
      <c r="G1241" s="12"/>
      <c r="H1241" s="12" t="s">
        <v>1245</v>
      </c>
      <c r="I1241" s="12"/>
      <c r="J1241" s="12"/>
      <c r="K1241" s="12"/>
      <c r="L1241" s="12"/>
      <c r="M1241" s="12" t="n">
        <v>40</v>
      </c>
      <c r="N1241" s="12"/>
      <c r="O1241" s="13"/>
      <c r="P1241" s="13" t="s">
        <v>6748</v>
      </c>
      <c r="Q1241" s="13"/>
      <c r="R1241" s="13"/>
      <c r="S1241" s="13" t="s">
        <v>6749</v>
      </c>
      <c r="T1241" s="12" t="s">
        <v>94</v>
      </c>
      <c r="U1241" s="12" t="s">
        <v>6750</v>
      </c>
    </row>
    <row r="1242" customFormat="false" ht="31.5" hidden="false" customHeight="true" outlineLevel="0" collapsed="false">
      <c r="A1242" s="12" t="n">
        <v>1004</v>
      </c>
      <c r="B1242" s="12" t="s">
        <v>2478</v>
      </c>
      <c r="C1242" s="12" t="s">
        <v>2521</v>
      </c>
      <c r="D1242" s="12" t="s">
        <v>113</v>
      </c>
      <c r="E1242" s="12" t="s">
        <v>83</v>
      </c>
      <c r="F1242" s="12" t="n">
        <v>77300</v>
      </c>
      <c r="G1242" s="12"/>
      <c r="H1242" s="12" t="s">
        <v>329</v>
      </c>
      <c r="I1242" s="12" t="n">
        <v>75500</v>
      </c>
      <c r="J1242" s="12"/>
      <c r="K1242" s="12"/>
      <c r="L1242" s="12"/>
      <c r="M1242" s="12"/>
      <c r="N1242" s="12"/>
      <c r="O1242" s="13" t="s">
        <v>6751</v>
      </c>
      <c r="P1242" s="13" t="s">
        <v>6752</v>
      </c>
      <c r="Q1242" s="13"/>
      <c r="R1242" s="13" t="s">
        <v>6753</v>
      </c>
      <c r="S1242" s="13" t="s">
        <v>6754</v>
      </c>
      <c r="T1242" s="12" t="s">
        <v>94</v>
      </c>
      <c r="U1242" s="12" t="s">
        <v>2487</v>
      </c>
    </row>
    <row r="1243" customFormat="false" ht="31.5" hidden="false" customHeight="true" outlineLevel="0" collapsed="false">
      <c r="A1243" s="12" t="n">
        <v>1005</v>
      </c>
      <c r="B1243" s="12" t="s">
        <v>2481</v>
      </c>
      <c r="C1243" s="12" t="s">
        <v>128</v>
      </c>
      <c r="D1243" s="12" t="s">
        <v>113</v>
      </c>
      <c r="E1243" s="12" t="s">
        <v>83</v>
      </c>
      <c r="F1243" s="12"/>
      <c r="G1243" s="12"/>
      <c r="H1243" s="12"/>
      <c r="I1243" s="12"/>
      <c r="J1243" s="12" t="n">
        <v>100</v>
      </c>
      <c r="K1243" s="12"/>
      <c r="L1243" s="12"/>
      <c r="M1243" s="12"/>
      <c r="N1243" s="12"/>
      <c r="O1243" s="13"/>
      <c r="P1243" s="13" t="s">
        <v>6755</v>
      </c>
      <c r="Q1243" s="13"/>
      <c r="R1243" s="13"/>
      <c r="S1243" s="13" t="s">
        <v>6756</v>
      </c>
      <c r="T1243" s="12" t="s">
        <v>108</v>
      </c>
      <c r="U1243" s="12" t="s">
        <v>6757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7"/>
    <col collapsed="false" customWidth="true" hidden="false" outlineLevel="0" max="3" min="3" style="0" width="10"/>
    <col collapsed="false" customWidth="true" hidden="false" outlineLevel="0" max="5" min="4" style="0" width="12"/>
    <col collapsed="false" customWidth="true" hidden="false" outlineLevel="0" max="6" min="6" style="0" width="54"/>
    <col collapsed="false" customWidth="true" hidden="false" outlineLevel="0" max="7" min="7" style="0" width="66"/>
    <col collapsed="false" customWidth="true" hidden="false" outlineLevel="0" max="8" min="8" style="0" width="78"/>
  </cols>
  <sheetData>
    <row r="1" customFormat="false" ht="31.5" hidden="false" customHeight="true" outlineLevel="0" collapsed="false">
      <c r="A1" s="11" t="s">
        <v>6758</v>
      </c>
      <c r="B1" s="11" t="s">
        <v>6759</v>
      </c>
      <c r="C1" s="11" t="s">
        <v>79</v>
      </c>
      <c r="D1" s="11" t="s">
        <v>49</v>
      </c>
      <c r="E1" s="11" t="s">
        <v>6760</v>
      </c>
      <c r="F1" s="11" t="s">
        <v>6761</v>
      </c>
      <c r="G1" s="11" t="s">
        <v>6762</v>
      </c>
      <c r="H1" s="11" t="s">
        <v>6763</v>
      </c>
    </row>
    <row r="2" customFormat="false" ht="90" hidden="false" customHeight="true" outlineLevel="0" collapsed="false">
      <c r="A2" s="13" t="s">
        <v>6764</v>
      </c>
      <c r="B2" s="12" t="s">
        <v>6765</v>
      </c>
      <c r="C2" s="12" t="n">
        <v>35</v>
      </c>
      <c r="D2" s="12" t="s">
        <v>6766</v>
      </c>
      <c r="E2" s="12" t="s">
        <v>6767</v>
      </c>
      <c r="F2" s="13" t="s">
        <v>6768</v>
      </c>
      <c r="G2" s="13" t="s">
        <v>6769</v>
      </c>
      <c r="H2" s="13" t="s">
        <v>6770</v>
      </c>
    </row>
    <row r="3" customFormat="false" ht="90" hidden="false" customHeight="true" outlineLevel="0" collapsed="false">
      <c r="A3" s="13" t="s">
        <v>6771</v>
      </c>
      <c r="B3" s="12" t="s">
        <v>6765</v>
      </c>
      <c r="C3" s="12" t="n">
        <v>14</v>
      </c>
      <c r="D3" s="12" t="s">
        <v>6772</v>
      </c>
      <c r="E3" s="12" t="s">
        <v>6773</v>
      </c>
      <c r="F3" s="13" t="s">
        <v>6774</v>
      </c>
      <c r="G3" s="13" t="s">
        <v>6775</v>
      </c>
      <c r="H3" s="13" t="s">
        <v>6776</v>
      </c>
    </row>
    <row r="4" customFormat="false" ht="90" hidden="false" customHeight="true" outlineLevel="0" collapsed="false">
      <c r="A4" s="13" t="s">
        <v>6777</v>
      </c>
      <c r="B4" s="12" t="s">
        <v>6765</v>
      </c>
      <c r="C4" s="12" t="n">
        <v>5</v>
      </c>
      <c r="D4" s="12" t="s">
        <v>6778</v>
      </c>
      <c r="E4" s="12" t="s">
        <v>6779</v>
      </c>
      <c r="F4" s="13" t="s">
        <v>6780</v>
      </c>
      <c r="G4" s="13" t="s">
        <v>6781</v>
      </c>
      <c r="H4" s="13" t="s">
        <v>6782</v>
      </c>
    </row>
    <row r="5" customFormat="false" ht="90" hidden="false" customHeight="true" outlineLevel="0" collapsed="false">
      <c r="A5" s="13" t="s">
        <v>6783</v>
      </c>
      <c r="B5" s="12" t="s">
        <v>6765</v>
      </c>
      <c r="C5" s="12" t="n">
        <v>5</v>
      </c>
      <c r="D5" s="12" t="s">
        <v>6766</v>
      </c>
      <c r="E5" s="12" t="s">
        <v>6784</v>
      </c>
      <c r="F5" s="13" t="s">
        <v>6785</v>
      </c>
      <c r="G5" s="13" t="s">
        <v>6786</v>
      </c>
      <c r="H5" s="13" t="s">
        <v>6787</v>
      </c>
    </row>
    <row r="6" customFormat="false" ht="90" hidden="false" customHeight="true" outlineLevel="0" collapsed="false">
      <c r="A6" s="13" t="s">
        <v>6788</v>
      </c>
      <c r="B6" s="12" t="s">
        <v>6765</v>
      </c>
      <c r="C6" s="12" t="n">
        <v>47</v>
      </c>
      <c r="D6" s="12" t="s">
        <v>6789</v>
      </c>
      <c r="E6" s="12" t="s">
        <v>6790</v>
      </c>
      <c r="F6" s="13" t="s">
        <v>6791</v>
      </c>
      <c r="G6" s="13" t="s">
        <v>6792</v>
      </c>
      <c r="H6" s="13" t="s">
        <v>6793</v>
      </c>
    </row>
    <row r="7" customFormat="false" ht="90" hidden="false" customHeight="true" outlineLevel="0" collapsed="false">
      <c r="A7" s="13" t="s">
        <v>6794</v>
      </c>
      <c r="B7" s="12" t="s">
        <v>6795</v>
      </c>
      <c r="C7" s="12" t="n">
        <v>14</v>
      </c>
      <c r="D7" s="12" t="s">
        <v>6766</v>
      </c>
      <c r="E7" s="12" t="s">
        <v>6796</v>
      </c>
      <c r="F7" s="13" t="s">
        <v>6797</v>
      </c>
      <c r="G7" s="13" t="s">
        <v>6798</v>
      </c>
      <c r="H7" s="13" t="s">
        <v>6799</v>
      </c>
    </row>
    <row r="8" customFormat="false" ht="90" hidden="false" customHeight="true" outlineLevel="0" collapsed="false">
      <c r="A8" s="13" t="s">
        <v>6800</v>
      </c>
      <c r="B8" s="12" t="s">
        <v>6801</v>
      </c>
      <c r="C8" s="12" t="n">
        <v>8</v>
      </c>
      <c r="D8" s="12" t="s">
        <v>6802</v>
      </c>
      <c r="E8" s="12" t="s">
        <v>6803</v>
      </c>
      <c r="F8" s="13" t="s">
        <v>6804</v>
      </c>
      <c r="G8" s="13" t="s">
        <v>6805</v>
      </c>
      <c r="H8" s="13" t="s">
        <v>6806</v>
      </c>
    </row>
    <row r="9" customFormat="false" ht="90" hidden="false" customHeight="true" outlineLevel="0" collapsed="false">
      <c r="A9" s="13" t="s">
        <v>6807</v>
      </c>
      <c r="B9" s="12" t="s">
        <v>6801</v>
      </c>
      <c r="C9" s="12" t="n">
        <v>12</v>
      </c>
      <c r="D9" s="12" t="s">
        <v>6808</v>
      </c>
      <c r="E9" s="12" t="s">
        <v>6767</v>
      </c>
      <c r="F9" s="13" t="s">
        <v>6809</v>
      </c>
      <c r="G9" s="13" t="s">
        <v>6810</v>
      </c>
      <c r="H9" s="13" t="s">
        <v>6811</v>
      </c>
    </row>
    <row r="10" customFormat="false" ht="90" hidden="false" customHeight="true" outlineLevel="0" collapsed="false">
      <c r="A10" s="13" t="s">
        <v>6812</v>
      </c>
      <c r="B10" s="12" t="s">
        <v>6813</v>
      </c>
      <c r="C10" s="12" t="n">
        <v>14</v>
      </c>
      <c r="D10" s="12" t="s">
        <v>6814</v>
      </c>
      <c r="E10" s="12" t="s">
        <v>6815</v>
      </c>
      <c r="F10" s="13" t="s">
        <v>6816</v>
      </c>
      <c r="G10" s="13" t="s">
        <v>6817</v>
      </c>
      <c r="H10" s="13" t="s">
        <v>6818</v>
      </c>
    </row>
    <row r="11" customFormat="false" ht="90" hidden="false" customHeight="true" outlineLevel="0" collapsed="false">
      <c r="A11" s="13" t="s">
        <v>6819</v>
      </c>
      <c r="B11" s="12" t="s">
        <v>6765</v>
      </c>
      <c r="C11" s="12" t="n">
        <v>6</v>
      </c>
      <c r="D11" s="12" t="s">
        <v>6820</v>
      </c>
      <c r="E11" s="12" t="s">
        <v>6821</v>
      </c>
      <c r="F11" s="13" t="s">
        <v>6822</v>
      </c>
      <c r="G11" s="13" t="s">
        <v>6823</v>
      </c>
      <c r="H11" s="13" t="s">
        <v>6824</v>
      </c>
    </row>
    <row r="12" customFormat="false" ht="90" hidden="false" customHeight="true" outlineLevel="0" collapsed="false">
      <c r="A12" s="13" t="s">
        <v>6825</v>
      </c>
      <c r="B12" s="12" t="s">
        <v>6765</v>
      </c>
      <c r="C12" s="12" t="n">
        <v>8</v>
      </c>
      <c r="D12" s="12" t="s">
        <v>6826</v>
      </c>
      <c r="E12" s="12" t="s">
        <v>6790</v>
      </c>
      <c r="F12" s="13" t="s">
        <v>6827</v>
      </c>
      <c r="G12" s="13" t="s">
        <v>6828</v>
      </c>
      <c r="H12" s="13" t="s">
        <v>6829</v>
      </c>
    </row>
    <row r="13" customFormat="false" ht="90" hidden="false" customHeight="true" outlineLevel="0" collapsed="false">
      <c r="A13" s="13" t="s">
        <v>6830</v>
      </c>
      <c r="B13" s="12" t="s">
        <v>6765</v>
      </c>
      <c r="C13" s="12" t="n">
        <v>9</v>
      </c>
      <c r="D13" s="12" t="s">
        <v>6831</v>
      </c>
      <c r="E13" s="12" t="s">
        <v>6803</v>
      </c>
      <c r="F13" s="13" t="s">
        <v>6832</v>
      </c>
      <c r="G13" s="13" t="s">
        <v>6833</v>
      </c>
      <c r="H13" s="13" t="s">
        <v>6834</v>
      </c>
    </row>
    <row r="14" customFormat="false" ht="90" hidden="false" customHeight="true" outlineLevel="0" collapsed="false">
      <c r="A14" s="13" t="s">
        <v>6835</v>
      </c>
      <c r="B14" s="12" t="s">
        <v>6836</v>
      </c>
      <c r="C14" s="12" t="n">
        <v>4</v>
      </c>
      <c r="D14" s="12" t="s">
        <v>6837</v>
      </c>
      <c r="E14" s="12" t="s">
        <v>6838</v>
      </c>
      <c r="F14" s="13" t="s">
        <v>6839</v>
      </c>
      <c r="G14" s="13" t="s">
        <v>6840</v>
      </c>
      <c r="H14" s="13" t="s">
        <v>6841</v>
      </c>
    </row>
    <row r="15" customFormat="false" ht="90" hidden="false" customHeight="true" outlineLevel="0" collapsed="false">
      <c r="A15" s="13" t="s">
        <v>6842</v>
      </c>
      <c r="B15" s="12" t="s">
        <v>6843</v>
      </c>
      <c r="C15" s="12" t="n">
        <v>6</v>
      </c>
      <c r="D15" s="12" t="s">
        <v>6844</v>
      </c>
      <c r="E15" s="12" t="s">
        <v>6845</v>
      </c>
      <c r="F15" s="13" t="s">
        <v>6846</v>
      </c>
      <c r="G15" s="13" t="s">
        <v>6847</v>
      </c>
      <c r="H15" s="13" t="s">
        <v>6848</v>
      </c>
    </row>
    <row r="16" customFormat="false" ht="90" hidden="false" customHeight="true" outlineLevel="0" collapsed="false">
      <c r="A16" s="13" t="s">
        <v>6849</v>
      </c>
      <c r="B16" s="12" t="s">
        <v>6765</v>
      </c>
      <c r="C16" s="12" t="n">
        <v>6</v>
      </c>
      <c r="D16" s="12" t="s">
        <v>6850</v>
      </c>
      <c r="E16" s="12" t="s">
        <v>6851</v>
      </c>
      <c r="F16" s="13" t="s">
        <v>6852</v>
      </c>
      <c r="G16" s="13" t="s">
        <v>6853</v>
      </c>
      <c r="H16" s="13" t="s">
        <v>6854</v>
      </c>
    </row>
    <row r="17" customFormat="false" ht="90" hidden="false" customHeight="true" outlineLevel="0" collapsed="false">
      <c r="A17" s="13" t="s">
        <v>6855</v>
      </c>
      <c r="B17" s="12" t="s">
        <v>6856</v>
      </c>
      <c r="C17" s="12" t="n">
        <v>8</v>
      </c>
      <c r="D17" s="12" t="s">
        <v>6837</v>
      </c>
      <c r="E17" s="12" t="s">
        <v>6857</v>
      </c>
      <c r="F17" s="13" t="s">
        <v>6858</v>
      </c>
      <c r="G17" s="13" t="s">
        <v>6859</v>
      </c>
      <c r="H17" s="13" t="s">
        <v>6860</v>
      </c>
    </row>
    <row r="18" customFormat="false" ht="90" hidden="false" customHeight="true" outlineLevel="0" collapsed="false">
      <c r="A18" s="13" t="s">
        <v>6861</v>
      </c>
      <c r="B18" s="12" t="s">
        <v>6862</v>
      </c>
      <c r="C18" s="12" t="n">
        <v>8</v>
      </c>
      <c r="D18" s="12"/>
      <c r="E18" s="12"/>
      <c r="F18" s="13"/>
      <c r="G18" s="13" t="s">
        <v>6863</v>
      </c>
      <c r="H18" s="13" t="s">
        <v>6864</v>
      </c>
    </row>
    <row r="19" customFormat="false" ht="90" hidden="false" customHeight="true" outlineLevel="0" collapsed="false">
      <c r="A19" s="13" t="s">
        <v>6865</v>
      </c>
      <c r="B19" s="12" t="s">
        <v>6862</v>
      </c>
      <c r="C19" s="12" t="n">
        <v>5</v>
      </c>
      <c r="D19" s="12"/>
      <c r="E19" s="12"/>
      <c r="F19" s="13"/>
      <c r="G19" s="13" t="s">
        <v>6866</v>
      </c>
      <c r="H19" s="13" t="s">
        <v>6867</v>
      </c>
    </row>
    <row r="20" customFormat="false" ht="90" hidden="false" customHeight="true" outlineLevel="0" collapsed="false">
      <c r="A20" s="13" t="s">
        <v>6868</v>
      </c>
      <c r="B20" s="12" t="s">
        <v>6862</v>
      </c>
      <c r="C20" s="12" t="n">
        <v>54</v>
      </c>
      <c r="D20" s="12"/>
      <c r="E20" s="12"/>
      <c r="F20" s="13"/>
      <c r="G20" s="13" t="s">
        <v>6869</v>
      </c>
      <c r="H20" s="13" t="s">
        <v>6870</v>
      </c>
    </row>
    <row r="21" customFormat="false" ht="90" hidden="false" customHeight="true" outlineLevel="0" collapsed="false">
      <c r="A21" s="13" t="s">
        <v>6871</v>
      </c>
      <c r="B21" s="12" t="s">
        <v>6862</v>
      </c>
      <c r="C21" s="12" t="n">
        <v>18</v>
      </c>
      <c r="D21" s="12"/>
      <c r="E21" s="12"/>
      <c r="F21" s="13"/>
      <c r="G21" s="13" t="s">
        <v>6872</v>
      </c>
      <c r="H21" s="13" t="s">
        <v>6873</v>
      </c>
    </row>
    <row r="22" customFormat="false" ht="90" hidden="false" customHeight="true" outlineLevel="0" collapsed="false">
      <c r="A22" s="13" t="s">
        <v>6874</v>
      </c>
      <c r="B22" s="12" t="s">
        <v>6862</v>
      </c>
      <c r="C22" s="12" t="n">
        <v>8</v>
      </c>
      <c r="D22" s="12"/>
      <c r="E22" s="12"/>
      <c r="F22" s="13"/>
      <c r="G22" s="13" t="s">
        <v>6875</v>
      </c>
      <c r="H22" s="13" t="s">
        <v>6876</v>
      </c>
    </row>
    <row r="23" customFormat="false" ht="90" hidden="false" customHeight="true" outlineLevel="0" collapsed="false">
      <c r="A23" s="13" t="s">
        <v>6877</v>
      </c>
      <c r="B23" s="12" t="s">
        <v>6862</v>
      </c>
      <c r="C23" s="12" t="n">
        <v>2</v>
      </c>
      <c r="D23" s="12"/>
      <c r="E23" s="12"/>
      <c r="F23" s="13"/>
      <c r="G23" s="13" t="s">
        <v>6878</v>
      </c>
      <c r="H23" s="13" t="s">
        <v>6879</v>
      </c>
    </row>
    <row r="24" customFormat="false" ht="90" hidden="false" customHeight="true" outlineLevel="0" collapsed="false">
      <c r="A24" s="13" t="s">
        <v>6880</v>
      </c>
      <c r="B24" s="12" t="s">
        <v>6862</v>
      </c>
      <c r="C24" s="12" t="n">
        <v>4</v>
      </c>
      <c r="D24" s="12"/>
      <c r="E24" s="12"/>
      <c r="F24" s="13"/>
      <c r="G24" s="13" t="s">
        <v>6881</v>
      </c>
      <c r="H24" s="13" t="s">
        <v>6882</v>
      </c>
    </row>
    <row r="25" customFormat="false" ht="90" hidden="false" customHeight="true" outlineLevel="0" collapsed="false">
      <c r="A25" s="13" t="s">
        <v>6883</v>
      </c>
      <c r="B25" s="12" t="s">
        <v>6862</v>
      </c>
      <c r="C25" s="12" t="n">
        <v>3</v>
      </c>
      <c r="D25" s="12"/>
      <c r="E25" s="12"/>
      <c r="F25" s="13"/>
      <c r="G25" s="13" t="s">
        <v>6884</v>
      </c>
      <c r="H25" s="13" t="s">
        <v>6885</v>
      </c>
    </row>
    <row r="26" customFormat="false" ht="90" hidden="false" customHeight="true" outlineLevel="0" collapsed="false">
      <c r="A26" s="13" t="s">
        <v>6886</v>
      </c>
      <c r="B26" s="12" t="s">
        <v>6887</v>
      </c>
      <c r="C26" s="12" t="n">
        <v>139</v>
      </c>
      <c r="D26" s="12"/>
      <c r="E26" s="12"/>
      <c r="F26" s="13"/>
      <c r="G26" s="13" t="s">
        <v>6888</v>
      </c>
      <c r="H26" s="13" t="s">
        <v>6889</v>
      </c>
    </row>
    <row r="27" customFormat="false" ht="90" hidden="false" customHeight="true" outlineLevel="0" collapsed="false">
      <c r="A27" s="13" t="s">
        <v>6890</v>
      </c>
      <c r="B27" s="12" t="s">
        <v>6887</v>
      </c>
      <c r="C27" s="12" t="n">
        <v>162</v>
      </c>
      <c r="D27" s="12"/>
      <c r="E27" s="12"/>
      <c r="F27" s="13"/>
      <c r="G27" s="13" t="s">
        <v>6891</v>
      </c>
      <c r="H27" s="13" t="s">
        <v>6892</v>
      </c>
    </row>
    <row r="28" customFormat="false" ht="90" hidden="false" customHeight="true" outlineLevel="0" collapsed="false">
      <c r="A28" s="13" t="s">
        <v>6893</v>
      </c>
      <c r="B28" s="12" t="s">
        <v>6887</v>
      </c>
      <c r="C28" s="12" t="n">
        <v>12</v>
      </c>
      <c r="D28" s="12"/>
      <c r="E28" s="12"/>
      <c r="F28" s="13"/>
      <c r="G28" s="13" t="s">
        <v>6894</v>
      </c>
      <c r="H28" s="13" t="s">
        <v>6895</v>
      </c>
    </row>
    <row r="29" customFormat="false" ht="90" hidden="false" customHeight="true" outlineLevel="0" collapsed="false">
      <c r="A29" s="13" t="s">
        <v>6896</v>
      </c>
      <c r="B29" s="12" t="s">
        <v>6887</v>
      </c>
      <c r="C29" s="12" t="n">
        <v>139</v>
      </c>
      <c r="D29" s="12"/>
      <c r="E29" s="12"/>
      <c r="F29" s="13"/>
      <c r="G29" s="13" t="s">
        <v>6897</v>
      </c>
      <c r="H29" s="13" t="s">
        <v>6898</v>
      </c>
    </row>
    <row r="30" customFormat="false" ht="90" hidden="false" customHeight="true" outlineLevel="0" collapsed="false">
      <c r="A30" s="13" t="s">
        <v>6899</v>
      </c>
      <c r="B30" s="12" t="s">
        <v>6887</v>
      </c>
      <c r="C30" s="12" t="n">
        <v>44</v>
      </c>
      <c r="D30" s="12"/>
      <c r="E30" s="12"/>
      <c r="F30" s="13"/>
      <c r="G30" s="13" t="s">
        <v>6900</v>
      </c>
      <c r="H30" s="13" t="s">
        <v>6901</v>
      </c>
    </row>
    <row r="31" customFormat="false" ht="90" hidden="false" customHeight="true" outlineLevel="0" collapsed="false">
      <c r="A31" s="13" t="s">
        <v>6902</v>
      </c>
      <c r="B31" s="12" t="s">
        <v>6887</v>
      </c>
      <c r="C31" s="12" t="n">
        <v>7</v>
      </c>
      <c r="D31" s="12"/>
      <c r="E31" s="12"/>
      <c r="F31" s="13"/>
      <c r="G31" s="13" t="s">
        <v>6903</v>
      </c>
      <c r="H31" s="13" t="s">
        <v>6904</v>
      </c>
    </row>
    <row r="32" customFormat="false" ht="90" hidden="false" customHeight="true" outlineLevel="0" collapsed="false">
      <c r="A32" s="13" t="s">
        <v>6905</v>
      </c>
      <c r="B32" s="12" t="s">
        <v>6887</v>
      </c>
      <c r="C32" s="12" t="n">
        <v>10</v>
      </c>
      <c r="D32" s="12"/>
      <c r="E32" s="12"/>
      <c r="F32" s="13"/>
      <c r="G32" s="13" t="s">
        <v>6906</v>
      </c>
      <c r="H32" s="13" t="s">
        <v>6907</v>
      </c>
    </row>
    <row r="33" customFormat="false" ht="90" hidden="false" customHeight="true" outlineLevel="0" collapsed="false">
      <c r="A33" s="13" t="s">
        <v>6908</v>
      </c>
      <c r="B33" s="12" t="s">
        <v>6909</v>
      </c>
      <c r="C33" s="12" t="n">
        <v>44</v>
      </c>
      <c r="D33" s="12"/>
      <c r="E33" s="12"/>
      <c r="F33" s="13"/>
      <c r="G33" s="13" t="s">
        <v>6910</v>
      </c>
      <c r="H33" s="13" t="s">
        <v>6911</v>
      </c>
    </row>
    <row r="34" customFormat="false" ht="90" hidden="false" customHeight="true" outlineLevel="0" collapsed="false">
      <c r="A34" s="13" t="s">
        <v>6912</v>
      </c>
      <c r="B34" s="12" t="s">
        <v>6909</v>
      </c>
      <c r="C34" s="12" t="n">
        <v>28</v>
      </c>
      <c r="D34" s="12"/>
      <c r="E34" s="12"/>
      <c r="F34" s="13"/>
      <c r="G34" s="13" t="s">
        <v>6913</v>
      </c>
      <c r="H34" s="13" t="s">
        <v>6914</v>
      </c>
    </row>
    <row r="35" customFormat="false" ht="90" hidden="false" customHeight="true" outlineLevel="0" collapsed="false">
      <c r="A35" s="13" t="s">
        <v>6915</v>
      </c>
      <c r="B35" s="12" t="s">
        <v>6909</v>
      </c>
      <c r="C35" s="12" t="n">
        <v>44</v>
      </c>
      <c r="D35" s="12"/>
      <c r="E35" s="12"/>
      <c r="F35" s="13"/>
      <c r="G35" s="13" t="s">
        <v>6916</v>
      </c>
      <c r="H35" s="13" t="s">
        <v>6917</v>
      </c>
    </row>
    <row r="36" customFormat="false" ht="90" hidden="false" customHeight="true" outlineLevel="0" collapsed="false">
      <c r="A36" s="13" t="s">
        <v>6918</v>
      </c>
      <c r="B36" s="12" t="s">
        <v>6909</v>
      </c>
      <c r="C36" s="12" t="n">
        <v>31</v>
      </c>
      <c r="D36" s="12"/>
      <c r="E36" s="12"/>
      <c r="F36" s="13"/>
      <c r="G36" s="13" t="s">
        <v>6919</v>
      </c>
      <c r="H36" s="13" t="s">
        <v>6920</v>
      </c>
    </row>
    <row r="37" customFormat="false" ht="90" hidden="false" customHeight="true" outlineLevel="0" collapsed="false">
      <c r="A37" s="13" t="s">
        <v>6921</v>
      </c>
      <c r="B37" s="12" t="s">
        <v>6909</v>
      </c>
      <c r="C37" s="12" t="n">
        <v>30</v>
      </c>
      <c r="D37" s="12"/>
      <c r="E37" s="12"/>
      <c r="F37" s="13"/>
      <c r="G37" s="13" t="s">
        <v>6922</v>
      </c>
      <c r="H37" s="13" t="s">
        <v>6923</v>
      </c>
    </row>
    <row r="38" customFormat="false" ht="90" hidden="false" customHeight="true" outlineLevel="0" collapsed="false">
      <c r="A38" s="13" t="s">
        <v>6924</v>
      </c>
      <c r="B38" s="12" t="s">
        <v>6909</v>
      </c>
      <c r="C38" s="12" t="n">
        <v>16</v>
      </c>
      <c r="D38" s="12"/>
      <c r="E38" s="12"/>
      <c r="F38" s="13"/>
      <c r="G38" s="13" t="s">
        <v>6925</v>
      </c>
      <c r="H38" s="13" t="s">
        <v>6926</v>
      </c>
    </row>
    <row r="39" customFormat="false" ht="90" hidden="false" customHeight="true" outlineLevel="0" collapsed="false">
      <c r="A39" s="13" t="s">
        <v>6927</v>
      </c>
      <c r="B39" s="12" t="s">
        <v>6909</v>
      </c>
      <c r="C39" s="12" t="n">
        <v>8</v>
      </c>
      <c r="D39" s="12"/>
      <c r="E39" s="12"/>
      <c r="F39" s="13"/>
      <c r="G39" s="13" t="s">
        <v>6928</v>
      </c>
      <c r="H39" s="13" t="s">
        <v>6929</v>
      </c>
    </row>
    <row r="40" customFormat="false" ht="90" hidden="false" customHeight="true" outlineLevel="0" collapsed="false">
      <c r="A40" s="13" t="s">
        <v>6930</v>
      </c>
      <c r="B40" s="12" t="s">
        <v>6909</v>
      </c>
      <c r="C40" s="12" t="n">
        <v>40</v>
      </c>
      <c r="D40" s="12"/>
      <c r="E40" s="12"/>
      <c r="F40" s="13"/>
      <c r="G40" s="13" t="s">
        <v>6931</v>
      </c>
      <c r="H40" s="13" t="s">
        <v>6932</v>
      </c>
    </row>
    <row r="41" customFormat="false" ht="90" hidden="false" customHeight="true" outlineLevel="0" collapsed="false">
      <c r="A41" s="13" t="s">
        <v>6933</v>
      </c>
      <c r="B41" s="12" t="s">
        <v>6909</v>
      </c>
      <c r="C41" s="12" t="n">
        <v>7</v>
      </c>
      <c r="D41" s="12"/>
      <c r="E41" s="12"/>
      <c r="F41" s="13"/>
      <c r="G41" s="13" t="s">
        <v>6934</v>
      </c>
      <c r="H41" s="13" t="s">
        <v>6935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2"/>
    <col collapsed="false" customWidth="true" hidden="false" outlineLevel="0" max="3" min="3" style="0" width="26"/>
    <col collapsed="false" customWidth="true" hidden="false" outlineLevel="0" max="4" min="4" style="0" width="52"/>
    <col collapsed="false" customWidth="true" hidden="false" outlineLevel="0" max="5" min="5" style="0" width="7"/>
    <col collapsed="false" customWidth="true" hidden="false" outlineLevel="0" max="6" min="6" style="0" width="8"/>
    <col collapsed="false" customWidth="true" hidden="false" outlineLevel="0" max="7" min="7" style="0" width="6"/>
    <col collapsed="false" customWidth="true" hidden="false" outlineLevel="0" max="8" min="8" style="0" width="7"/>
    <col collapsed="false" customWidth="true" hidden="false" outlineLevel="0" max="9" min="9" style="0" width="22"/>
    <col collapsed="false" customWidth="true" hidden="false" outlineLevel="0" max="10" min="10" style="0" width="66"/>
    <col collapsed="false" customWidth="true" hidden="false" outlineLevel="0" max="11" min="11" style="0" width="36"/>
  </cols>
  <sheetData>
    <row r="1" customFormat="false" ht="31.5" hidden="false" customHeight="true" outlineLevel="0" collapsed="false">
      <c r="A1" s="11" t="s">
        <v>2488</v>
      </c>
      <c r="B1" s="11" t="s">
        <v>6936</v>
      </c>
      <c r="C1" s="11" t="s">
        <v>6937</v>
      </c>
      <c r="D1" s="11" t="s">
        <v>6938</v>
      </c>
      <c r="E1" s="11" t="s">
        <v>6</v>
      </c>
      <c r="F1" s="11" t="s">
        <v>7</v>
      </c>
      <c r="G1" s="11" t="s">
        <v>31</v>
      </c>
      <c r="H1" s="11" t="s">
        <v>6939</v>
      </c>
      <c r="I1" s="11" t="s">
        <v>6940</v>
      </c>
      <c r="J1" s="11" t="s">
        <v>6941</v>
      </c>
      <c r="K1" s="11" t="s">
        <v>2500</v>
      </c>
    </row>
    <row r="2" customFormat="false" ht="42" hidden="false" customHeight="true" outlineLevel="0" collapsed="false">
      <c r="A2" s="12" t="n">
        <v>2</v>
      </c>
      <c r="B2" s="12" t="s">
        <v>6942</v>
      </c>
      <c r="C2" s="13" t="s">
        <v>6943</v>
      </c>
      <c r="D2" s="13" t="s">
        <v>6944</v>
      </c>
      <c r="E2" s="12" t="n">
        <v>22</v>
      </c>
      <c r="F2" s="12" t="n">
        <v>0</v>
      </c>
      <c r="G2" s="12" t="n">
        <v>3</v>
      </c>
      <c r="H2" s="12" t="n">
        <v>25</v>
      </c>
      <c r="I2" s="12"/>
      <c r="J2" s="13" t="s">
        <v>2513</v>
      </c>
      <c r="K2" s="12" t="s">
        <v>2514</v>
      </c>
    </row>
    <row r="3" customFormat="false" ht="42" hidden="false" customHeight="true" outlineLevel="0" collapsed="false">
      <c r="A3" s="12" t="n">
        <v>55</v>
      </c>
      <c r="B3" s="12" t="s">
        <v>6945</v>
      </c>
      <c r="C3" s="13" t="s">
        <v>6946</v>
      </c>
      <c r="D3" s="13" t="s">
        <v>6947</v>
      </c>
      <c r="E3" s="12" t="n">
        <v>8</v>
      </c>
      <c r="F3" s="12" t="n">
        <v>0</v>
      </c>
      <c r="G3" s="12"/>
      <c r="H3" s="12" t="n">
        <v>8</v>
      </c>
      <c r="I3" s="12"/>
      <c r="J3" s="13" t="s">
        <v>2752</v>
      </c>
      <c r="K3" s="12" t="s">
        <v>2753</v>
      </c>
    </row>
    <row r="4" customFormat="false" ht="42" hidden="false" customHeight="true" outlineLevel="0" collapsed="false">
      <c r="A4" s="12" t="n">
        <v>64</v>
      </c>
      <c r="B4" s="12" t="s">
        <v>6948</v>
      </c>
      <c r="C4" s="13" t="s">
        <v>6946</v>
      </c>
      <c r="D4" s="13" t="s">
        <v>6949</v>
      </c>
      <c r="E4" s="12" t="n">
        <v>10</v>
      </c>
      <c r="F4" s="12" t="n">
        <v>0</v>
      </c>
      <c r="G4" s="12"/>
      <c r="H4" s="12" t="n">
        <v>10</v>
      </c>
      <c r="I4" s="12"/>
      <c r="J4" s="13" t="s">
        <v>2781</v>
      </c>
      <c r="K4" s="12" t="s">
        <v>2782</v>
      </c>
    </row>
    <row r="5" customFormat="false" ht="42" hidden="false" customHeight="true" outlineLevel="0" collapsed="false">
      <c r="A5" s="12" t="n">
        <v>65</v>
      </c>
      <c r="B5" s="12" t="s">
        <v>6948</v>
      </c>
      <c r="C5" s="13" t="s">
        <v>6946</v>
      </c>
      <c r="D5" s="13" t="s">
        <v>6950</v>
      </c>
      <c r="E5" s="12" t="n">
        <v>10</v>
      </c>
      <c r="F5" s="12" t="n">
        <v>0</v>
      </c>
      <c r="G5" s="12"/>
      <c r="H5" s="12" t="n">
        <v>10</v>
      </c>
      <c r="I5" s="12"/>
      <c r="J5" s="13" t="s">
        <v>2785</v>
      </c>
      <c r="K5" s="12" t="s">
        <v>2786</v>
      </c>
    </row>
    <row r="6" customFormat="false" ht="42" hidden="false" customHeight="true" outlineLevel="0" collapsed="false">
      <c r="A6" s="12" t="n">
        <v>77</v>
      </c>
      <c r="B6" s="12" t="s">
        <v>6948</v>
      </c>
      <c r="C6" s="13" t="s">
        <v>6946</v>
      </c>
      <c r="D6" s="13" t="s">
        <v>6951</v>
      </c>
      <c r="E6" s="12" t="n">
        <v>12</v>
      </c>
      <c r="F6" s="12" t="n">
        <v>0</v>
      </c>
      <c r="G6" s="12"/>
      <c r="H6" s="12" t="n">
        <v>12</v>
      </c>
      <c r="I6" s="12"/>
      <c r="J6" s="13" t="s">
        <v>2834</v>
      </c>
      <c r="K6" s="12" t="s">
        <v>2835</v>
      </c>
    </row>
    <row r="7" customFormat="false" ht="42" hidden="false" customHeight="true" outlineLevel="0" collapsed="false">
      <c r="A7" s="12" t="n">
        <v>78</v>
      </c>
      <c r="B7" s="12" t="s">
        <v>6948</v>
      </c>
      <c r="C7" s="13" t="s">
        <v>6952</v>
      </c>
      <c r="D7" s="13" t="s">
        <v>6953</v>
      </c>
      <c r="E7" s="12" t="n">
        <v>12</v>
      </c>
      <c r="F7" s="12" t="n">
        <v>2</v>
      </c>
      <c r="G7" s="12" t="n">
        <v>0</v>
      </c>
      <c r="H7" s="12" t="n">
        <v>14</v>
      </c>
      <c r="I7" s="12" t="s">
        <v>6954</v>
      </c>
      <c r="J7" s="13" t="s">
        <v>2838</v>
      </c>
      <c r="K7" s="12" t="s">
        <v>2839</v>
      </c>
    </row>
    <row r="8" customFormat="false" ht="42" hidden="false" customHeight="true" outlineLevel="0" collapsed="false">
      <c r="A8" s="12" t="n">
        <v>87</v>
      </c>
      <c r="B8" s="12" t="s">
        <v>6955</v>
      </c>
      <c r="C8" s="13" t="s">
        <v>6956</v>
      </c>
      <c r="D8" s="13" t="s">
        <v>6957</v>
      </c>
      <c r="E8" s="12" t="n">
        <v>37</v>
      </c>
      <c r="F8" s="12" t="n">
        <v>2</v>
      </c>
      <c r="G8" s="12"/>
      <c r="H8" s="12" t="n">
        <v>39</v>
      </c>
      <c r="I8" s="12" t="s">
        <v>6958</v>
      </c>
      <c r="J8" s="13" t="s">
        <v>2875</v>
      </c>
      <c r="K8" s="12" t="s">
        <v>2876</v>
      </c>
    </row>
    <row r="9" customFormat="false" ht="42" hidden="false" customHeight="true" outlineLevel="0" collapsed="false">
      <c r="A9" s="12" t="n">
        <v>114</v>
      </c>
      <c r="B9" s="12" t="s">
        <v>6808</v>
      </c>
      <c r="C9" s="13" t="s">
        <v>6959</v>
      </c>
      <c r="D9" s="13" t="s">
        <v>6960</v>
      </c>
      <c r="E9" s="12" t="n">
        <v>4</v>
      </c>
      <c r="F9" s="12" t="n">
        <v>0</v>
      </c>
      <c r="G9" s="12"/>
      <c r="H9" s="12" t="n">
        <v>4</v>
      </c>
      <c r="I9" s="12"/>
      <c r="J9" s="13" t="s">
        <v>2974</v>
      </c>
      <c r="K9" s="12" t="s">
        <v>2975</v>
      </c>
    </row>
    <row r="10" customFormat="false" ht="42" hidden="false" customHeight="true" outlineLevel="0" collapsed="false">
      <c r="A10" s="12" t="n">
        <v>119</v>
      </c>
      <c r="B10" s="12" t="s">
        <v>6808</v>
      </c>
      <c r="C10" s="13" t="s">
        <v>6952</v>
      </c>
      <c r="D10" s="13" t="s">
        <v>6961</v>
      </c>
      <c r="E10" s="12" t="n">
        <v>16</v>
      </c>
      <c r="F10" s="12" t="n">
        <v>4</v>
      </c>
      <c r="G10" s="12" t="n">
        <v>0</v>
      </c>
      <c r="H10" s="12" t="n">
        <v>20</v>
      </c>
      <c r="I10" s="12" t="s">
        <v>6962</v>
      </c>
      <c r="J10" s="13" t="s">
        <v>2994</v>
      </c>
      <c r="K10" s="12" t="s">
        <v>2995</v>
      </c>
    </row>
    <row r="11" customFormat="false" ht="42" hidden="false" customHeight="true" outlineLevel="0" collapsed="false">
      <c r="A11" s="12" t="n">
        <v>193</v>
      </c>
      <c r="B11" s="12" t="s">
        <v>6963</v>
      </c>
      <c r="C11" s="13" t="s">
        <v>6964</v>
      </c>
      <c r="D11" s="13" t="s">
        <v>6965</v>
      </c>
      <c r="E11" s="12"/>
      <c r="F11" s="12"/>
      <c r="G11" s="12"/>
      <c r="H11" s="12"/>
      <c r="I11" s="12"/>
      <c r="J11" s="13" t="s">
        <v>3299</v>
      </c>
      <c r="K11" s="12" t="s">
        <v>3300</v>
      </c>
    </row>
    <row r="12" customFormat="false" ht="42" hidden="false" customHeight="true" outlineLevel="0" collapsed="false">
      <c r="A12" s="12" t="n">
        <v>210</v>
      </c>
      <c r="B12" s="12" t="s">
        <v>6963</v>
      </c>
      <c r="C12" s="13" t="s">
        <v>6966</v>
      </c>
      <c r="D12" s="13" t="s">
        <v>6967</v>
      </c>
      <c r="E12" s="12" t="n">
        <v>2</v>
      </c>
      <c r="F12" s="12"/>
      <c r="G12" s="12" t="n">
        <v>1</v>
      </c>
      <c r="H12" s="12"/>
      <c r="I12" s="12" t="s">
        <v>6968</v>
      </c>
      <c r="J12" s="13" t="s">
        <v>3367</v>
      </c>
      <c r="K12" s="12" t="s">
        <v>3368</v>
      </c>
    </row>
    <row r="13" customFormat="false" ht="42" hidden="false" customHeight="true" outlineLevel="0" collapsed="false">
      <c r="A13" s="12" t="n">
        <v>243</v>
      </c>
      <c r="B13" s="12" t="s">
        <v>6969</v>
      </c>
      <c r="C13" s="13" t="s">
        <v>6966</v>
      </c>
      <c r="D13" s="13" t="s">
        <v>6970</v>
      </c>
      <c r="E13" s="12"/>
      <c r="F13" s="12"/>
      <c r="G13" s="12"/>
      <c r="H13" s="12"/>
      <c r="I13" s="12" t="s">
        <v>6971</v>
      </c>
      <c r="J13" s="13" t="s">
        <v>3515</v>
      </c>
      <c r="K13" s="12" t="s">
        <v>3516</v>
      </c>
    </row>
    <row r="14" customFormat="false" ht="42" hidden="false" customHeight="true" outlineLevel="0" collapsed="false">
      <c r="A14" s="12" t="n">
        <v>244</v>
      </c>
      <c r="B14" s="12" t="s">
        <v>6969</v>
      </c>
      <c r="C14" s="13" t="s">
        <v>6966</v>
      </c>
      <c r="D14" s="13" t="s">
        <v>6972</v>
      </c>
      <c r="E14" s="12"/>
      <c r="F14" s="12"/>
      <c r="G14" s="12"/>
      <c r="H14" s="12"/>
      <c r="I14" s="12" t="s">
        <v>6973</v>
      </c>
      <c r="J14" s="13" t="s">
        <v>3519</v>
      </c>
      <c r="K14" s="12" t="s">
        <v>3520</v>
      </c>
    </row>
    <row r="15" customFormat="false" ht="42" hidden="false" customHeight="true" outlineLevel="0" collapsed="false">
      <c r="A15" s="12" t="n">
        <v>315</v>
      </c>
      <c r="B15" s="12" t="s">
        <v>6974</v>
      </c>
      <c r="C15" s="13" t="s">
        <v>6975</v>
      </c>
      <c r="D15" s="13" t="s">
        <v>6976</v>
      </c>
      <c r="E15" s="12" t="n">
        <v>51</v>
      </c>
      <c r="F15" s="12" t="n">
        <v>9</v>
      </c>
      <c r="G15" s="12"/>
      <c r="H15" s="12" t="n">
        <v>60</v>
      </c>
      <c r="I15" s="12" t="s">
        <v>6977</v>
      </c>
      <c r="J15" s="13" t="s">
        <v>3836</v>
      </c>
      <c r="K15" s="12" t="s">
        <v>3837</v>
      </c>
    </row>
    <row r="16" customFormat="false" ht="42" hidden="false" customHeight="true" outlineLevel="0" collapsed="false">
      <c r="A16" s="12" t="n">
        <v>318</v>
      </c>
      <c r="B16" s="12" t="s">
        <v>6974</v>
      </c>
      <c r="C16" s="13" t="s">
        <v>6975</v>
      </c>
      <c r="D16" s="13" t="s">
        <v>6978</v>
      </c>
      <c r="E16" s="12" t="n">
        <v>51</v>
      </c>
      <c r="F16" s="12" t="n">
        <v>9</v>
      </c>
      <c r="G16" s="12"/>
      <c r="H16" s="12" t="n">
        <v>60</v>
      </c>
      <c r="I16" s="12" t="s">
        <v>6979</v>
      </c>
      <c r="J16" s="13" t="s">
        <v>3848</v>
      </c>
      <c r="K16" s="12" t="s">
        <v>3849</v>
      </c>
    </row>
    <row r="17" customFormat="false" ht="42" hidden="false" customHeight="true" outlineLevel="0" collapsed="false">
      <c r="A17" s="12" t="n">
        <v>335</v>
      </c>
      <c r="B17" s="12" t="s">
        <v>6980</v>
      </c>
      <c r="C17" s="13" t="s">
        <v>6981</v>
      </c>
      <c r="D17" s="13" t="s">
        <v>6982</v>
      </c>
      <c r="E17" s="12" t="n">
        <v>3</v>
      </c>
      <c r="F17" s="12" t="n">
        <v>1</v>
      </c>
      <c r="G17" s="12"/>
      <c r="H17" s="12" t="n">
        <v>4</v>
      </c>
      <c r="I17" s="12"/>
      <c r="J17" s="13" t="s">
        <v>3919</v>
      </c>
      <c r="K17" s="12" t="s">
        <v>3920</v>
      </c>
    </row>
    <row r="18" customFormat="false" ht="42" hidden="false" customHeight="true" outlineLevel="0" collapsed="false">
      <c r="A18" s="12" t="n">
        <v>341</v>
      </c>
      <c r="B18" s="12" t="s">
        <v>6837</v>
      </c>
      <c r="C18" s="13" t="s">
        <v>6983</v>
      </c>
      <c r="D18" s="13" t="s">
        <v>6984</v>
      </c>
      <c r="E18" s="12"/>
      <c r="F18" s="12" t="n">
        <v>4</v>
      </c>
      <c r="G18" s="12"/>
      <c r="H18" s="12"/>
      <c r="I18" s="12" t="s">
        <v>6985</v>
      </c>
      <c r="J18" s="13" t="s">
        <v>3945</v>
      </c>
      <c r="K18" s="12" t="s">
        <v>3943</v>
      </c>
    </row>
    <row r="19" customFormat="false" ht="42" hidden="false" customHeight="true" outlineLevel="0" collapsed="false">
      <c r="A19" s="12" t="n">
        <v>465</v>
      </c>
      <c r="B19" s="12" t="s">
        <v>6831</v>
      </c>
      <c r="C19" s="13" t="s">
        <v>6986</v>
      </c>
      <c r="D19" s="13" t="s">
        <v>6987</v>
      </c>
      <c r="E19" s="12" t="n">
        <v>4</v>
      </c>
      <c r="F19" s="12"/>
      <c r="G19" s="12"/>
      <c r="H19" s="12" t="n">
        <v>4</v>
      </c>
      <c r="I19" s="12" t="s">
        <v>6988</v>
      </c>
      <c r="J19" s="13" t="s">
        <v>4464</v>
      </c>
      <c r="K19" s="12" t="s">
        <v>4465</v>
      </c>
    </row>
    <row r="20" customFormat="false" ht="42" hidden="false" customHeight="true" outlineLevel="0" collapsed="false">
      <c r="A20" s="12" t="n">
        <v>673</v>
      </c>
      <c r="B20" s="12" t="s">
        <v>6989</v>
      </c>
      <c r="C20" s="13" t="s">
        <v>6990</v>
      </c>
      <c r="D20" s="13" t="s">
        <v>5330</v>
      </c>
      <c r="E20" s="12" t="n">
        <v>3</v>
      </c>
      <c r="F20" s="12" t="n">
        <v>0</v>
      </c>
      <c r="G20" s="12"/>
      <c r="H20" s="12" t="n">
        <v>3</v>
      </c>
      <c r="I20" s="12"/>
      <c r="J20" s="13" t="s">
        <v>5331</v>
      </c>
      <c r="K20" s="12" t="s">
        <v>5332</v>
      </c>
    </row>
    <row r="21" customFormat="false" ht="42" hidden="false" customHeight="true" outlineLevel="0" collapsed="false">
      <c r="A21" s="12" t="n">
        <v>680</v>
      </c>
      <c r="B21" s="12" t="s">
        <v>6991</v>
      </c>
      <c r="C21" s="13" t="s">
        <v>6992</v>
      </c>
      <c r="D21" s="13" t="s">
        <v>6993</v>
      </c>
      <c r="E21" s="12" t="n">
        <v>5</v>
      </c>
      <c r="F21" s="12" t="n">
        <v>0</v>
      </c>
      <c r="G21" s="12"/>
      <c r="H21" s="12" t="n">
        <v>5</v>
      </c>
      <c r="I21" s="12"/>
      <c r="J21" s="13" t="s">
        <v>5358</v>
      </c>
      <c r="K21" s="12" t="s">
        <v>5359</v>
      </c>
    </row>
    <row r="22" customFormat="false" ht="42" hidden="false" customHeight="true" outlineLevel="0" collapsed="false">
      <c r="A22" s="12" t="n">
        <v>686</v>
      </c>
      <c r="B22" s="12" t="s">
        <v>6991</v>
      </c>
      <c r="C22" s="13" t="s">
        <v>6994</v>
      </c>
      <c r="D22" s="13" t="s">
        <v>6995</v>
      </c>
      <c r="E22" s="12" t="n">
        <v>11</v>
      </c>
      <c r="F22" s="12" t="n">
        <v>0</v>
      </c>
      <c r="G22" s="12"/>
      <c r="H22" s="12" t="n">
        <v>11</v>
      </c>
      <c r="I22" s="12" t="s">
        <v>6996</v>
      </c>
      <c r="J22" s="13" t="s">
        <v>5381</v>
      </c>
      <c r="K22" s="12" t="s">
        <v>5382</v>
      </c>
    </row>
    <row r="23" customFormat="false" ht="42" hidden="false" customHeight="true" outlineLevel="0" collapsed="false">
      <c r="A23" s="12" t="n">
        <v>788</v>
      </c>
      <c r="B23" s="12" t="s">
        <v>6845</v>
      </c>
      <c r="C23" s="13" t="s">
        <v>6997</v>
      </c>
      <c r="D23" s="13" t="s">
        <v>6998</v>
      </c>
      <c r="E23" s="12"/>
      <c r="F23" s="12" t="n">
        <v>1</v>
      </c>
      <c r="G23" s="12"/>
      <c r="H23" s="12"/>
      <c r="I23" s="12"/>
      <c r="J23" s="13" t="s">
        <v>5793</v>
      </c>
      <c r="K23" s="12" t="s">
        <v>5794</v>
      </c>
    </row>
    <row r="24" customFormat="false" ht="42" hidden="false" customHeight="true" outlineLevel="0" collapsed="false">
      <c r="A24" s="12" t="n">
        <v>800</v>
      </c>
      <c r="B24" s="12" t="s">
        <v>6845</v>
      </c>
      <c r="C24" s="13" t="s">
        <v>6999</v>
      </c>
      <c r="D24" s="13" t="s">
        <v>7000</v>
      </c>
      <c r="E24" s="12" t="n">
        <v>30</v>
      </c>
      <c r="F24" s="12" t="n">
        <v>4</v>
      </c>
      <c r="G24" s="12"/>
      <c r="H24" s="12" t="n">
        <v>34</v>
      </c>
      <c r="I24" s="12" t="s">
        <v>7001</v>
      </c>
      <c r="J24" s="13" t="s">
        <v>5840</v>
      </c>
      <c r="K24" s="12" t="s">
        <v>5841</v>
      </c>
    </row>
    <row r="25" customFormat="false" ht="42" hidden="false" customHeight="true" outlineLevel="0" collapsed="false">
      <c r="A25" s="12" t="n">
        <v>848</v>
      </c>
      <c r="B25" s="12" t="s">
        <v>7002</v>
      </c>
      <c r="C25" s="13" t="s">
        <v>7003</v>
      </c>
      <c r="D25" s="13" t="s">
        <v>7004</v>
      </c>
      <c r="E25" s="12" t="n">
        <v>40</v>
      </c>
      <c r="F25" s="12" t="n">
        <v>5</v>
      </c>
      <c r="G25" s="12"/>
      <c r="H25" s="12" t="n">
        <v>45</v>
      </c>
      <c r="I25" s="12" t="s">
        <v>7005</v>
      </c>
      <c r="J25" s="13" t="s">
        <v>6039</v>
      </c>
      <c r="K25" s="12" t="s">
        <v>6040</v>
      </c>
    </row>
    <row r="26" customFormat="false" ht="42" hidden="false" customHeight="true" outlineLevel="0" collapsed="false">
      <c r="A26" s="12" t="n">
        <v>865</v>
      </c>
      <c r="B26" s="12" t="s">
        <v>7006</v>
      </c>
      <c r="C26" s="13" t="s">
        <v>7007</v>
      </c>
      <c r="D26" s="13" t="s">
        <v>7008</v>
      </c>
      <c r="E26" s="12" t="n">
        <v>3</v>
      </c>
      <c r="F26" s="12" t="n">
        <v>0</v>
      </c>
      <c r="G26" s="12"/>
      <c r="H26" s="12" t="n">
        <v>3</v>
      </c>
      <c r="I26" s="12"/>
      <c r="J26" s="13" t="s">
        <v>6116</v>
      </c>
      <c r="K26" s="12" t="s">
        <v>6117</v>
      </c>
    </row>
    <row r="27" customFormat="false" ht="42" hidden="false" customHeight="true" outlineLevel="0" collapsed="false">
      <c r="A27" s="12" t="n">
        <v>874</v>
      </c>
      <c r="B27" s="12" t="s">
        <v>7006</v>
      </c>
      <c r="C27" s="13" t="s">
        <v>7009</v>
      </c>
      <c r="D27" s="13" t="s">
        <v>7010</v>
      </c>
      <c r="E27" s="12" t="n">
        <v>5</v>
      </c>
      <c r="F27" s="12"/>
      <c r="G27" s="12"/>
      <c r="H27" s="12"/>
      <c r="I27" s="12"/>
      <c r="J27" s="13" t="s">
        <v>6168</v>
      </c>
      <c r="K27" s="12" t="s">
        <v>2145</v>
      </c>
    </row>
    <row r="28" customFormat="false" ht="42" hidden="false" customHeight="true" outlineLevel="0" collapsed="false">
      <c r="A28" s="12" t="n">
        <v>923</v>
      </c>
      <c r="B28" s="12" t="s">
        <v>6851</v>
      </c>
      <c r="C28" s="13" t="s">
        <v>7011</v>
      </c>
      <c r="D28" s="13" t="s">
        <v>7012</v>
      </c>
      <c r="E28" s="12" t="n">
        <v>3</v>
      </c>
      <c r="F28" s="12" t="n">
        <v>0</v>
      </c>
      <c r="G28" s="12"/>
      <c r="H28" s="12" t="n">
        <v>3</v>
      </c>
      <c r="I28" s="12"/>
      <c r="J28" s="13" t="s">
        <v>6391</v>
      </c>
      <c r="K28" s="12" t="s">
        <v>6392</v>
      </c>
    </row>
    <row r="29" customFormat="false" ht="42" hidden="false" customHeight="true" outlineLevel="0" collapsed="false">
      <c r="A29" s="12" t="n">
        <v>978</v>
      </c>
      <c r="B29" s="12" t="s">
        <v>6767</v>
      </c>
      <c r="C29" s="13" t="s">
        <v>7013</v>
      </c>
      <c r="D29" s="13" t="s">
        <v>7014</v>
      </c>
      <c r="E29" s="12"/>
      <c r="F29" s="12" t="n">
        <v>3</v>
      </c>
      <c r="G29" s="12"/>
      <c r="H29" s="12"/>
      <c r="I29" s="12"/>
      <c r="J29" s="13" t="s">
        <v>6618</v>
      </c>
      <c r="K29" s="12" t="s">
        <v>6619</v>
      </c>
    </row>
    <row r="30" customFormat="false" ht="42" hidden="false" customHeight="true" outlineLevel="0" collapsed="false">
      <c r="A30" s="12" t="n">
        <v>997</v>
      </c>
      <c r="B30" s="12" t="s">
        <v>6790</v>
      </c>
      <c r="C30" s="13" t="s">
        <v>7015</v>
      </c>
      <c r="D30" s="13" t="s">
        <v>7016</v>
      </c>
      <c r="E30" s="12"/>
      <c r="F30" s="12" t="n">
        <v>5</v>
      </c>
      <c r="G30" s="12"/>
      <c r="H30" s="12"/>
      <c r="I30" s="12"/>
      <c r="J30" s="13" t="s">
        <v>6715</v>
      </c>
      <c r="K30" s="12" t="s">
        <v>6716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2026-08-22T11:11:34Z</dcterms:created>
  <dc:creator>openpyxl</dc:creator>
  <dc:description/>
  <dc:language>en-US</dc:language>
  <cp:lastModifiedBy/>
  <dcterms:modified xsi:type="dcterms:W3CDTF">2026-08-22T11:11:35Z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